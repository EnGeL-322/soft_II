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OTOSDIA-4\"/>
    </mc:Choice>
  </mc:AlternateContent>
  <xr:revisionPtr revIDLastSave="0" documentId="8_{05903405-B4C2-4836-9D0D-C28E90D2C8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eresados" sheetId="2" r:id="rId1"/>
    <sheet name="Reglas de Negocio" sheetId="3" r:id="rId2"/>
    <sheet name="Matriz Requerimientos" sheetId="4" r:id="rId3"/>
    <sheet name="Casos de Prueba" sheetId="5" r:id="rId4"/>
    <sheet name="Matriz Trazabilidad" sheetId="6" r:id="rId5"/>
    <sheet name="Cronograma" sheetId="7" r:id="rId6"/>
  </sheets>
  <calcPr calcId="191029"/>
  <fileRecoveryPr repairLoad="1"/>
</workbook>
</file>

<file path=xl/calcChain.xml><?xml version="1.0" encoding="utf-8"?>
<calcChain xmlns="http://schemas.openxmlformats.org/spreadsheetml/2006/main">
  <c r="I60" i="6" l="1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</calcChain>
</file>

<file path=xl/sharedStrings.xml><?xml version="1.0" encoding="utf-8"?>
<sst xmlns="http://schemas.openxmlformats.org/spreadsheetml/2006/main" count="1834" uniqueCount="754">
  <si>
    <t>INTERESADOS DEL PROYECTO HUATA</t>
  </si>
  <si>
    <t>Actores y grupos relacionados con las Historias de Usuario y actividades EDT del cronograma oficial.</t>
  </si>
  <si>
    <t>ID</t>
  </si>
  <si>
    <t>Interesado / Rol</t>
  </si>
  <si>
    <t>Necesidad principal</t>
  </si>
  <si>
    <t>Influencia</t>
  </si>
  <si>
    <t>HU relacionadas</t>
  </si>
  <si>
    <t>EDT relacionadas</t>
  </si>
  <si>
    <t>Periodo principal</t>
  </si>
  <si>
    <t>INT-01</t>
  </si>
  <si>
    <t>Usuario del sistema</t>
  </si>
  <si>
    <t>Acceder de forma segura y mantener una sesión utilizable.</t>
  </si>
  <si>
    <t>Alta</t>
  </si>
  <si>
    <t>HU01–HU03</t>
  </si>
  <si>
    <t>3.4.1–3.4.3</t>
  </si>
  <si>
    <t>Sprint 3</t>
  </si>
  <si>
    <t>INT-02</t>
  </si>
  <si>
    <t>Administrador</t>
  </si>
  <si>
    <t>Gestionar productores, rutas, centros, liquidaciones, reportes, usuarios y dashboard.</t>
  </si>
  <si>
    <t>HU04–HU08, HU12, HU15, HU19–HU22, HU25</t>
  </si>
  <si>
    <t>4.2.1–4.2.5 / 5.2.2 / 5.3.3 / 6.2.1–6.2.4 / 8.5.2</t>
  </si>
  <si>
    <t>Sprint 4–6 / 8</t>
  </si>
  <si>
    <t>INT-03</t>
  </si>
  <si>
    <t>Acopiador</t>
  </si>
  <si>
    <t>Consultar su ruta, registrar recojos y calidad, operar offline, recibir notificaciones y consultar historial.</t>
  </si>
  <si>
    <t>HU09–HU11, HU13–HU18, HU23–HU24, HU26</t>
  </si>
  <si>
    <t>4.2.6–4.2.7 / 5.2.1 / 5.3.1–5.3.6 / 6.2.5–6.2.6 / 8.5.3</t>
  </si>
  <si>
    <t>INT-04</t>
  </si>
  <si>
    <t>Que sus recojos y liquidaciones queden registrados y puedan ser consultados por la operación.</t>
  </si>
  <si>
    <t>Media</t>
  </si>
  <si>
    <t>Relacionado con HU04, HU11–HU15</t>
  </si>
  <si>
    <t>4.2.1 / 5.2.1–5.3.3</t>
  </si>
  <si>
    <t>Sprint 4–5</t>
  </si>
  <si>
    <t>INT-05</t>
  </si>
  <si>
    <t>Validar requerimientos, prototipos, entregables y conformidad final.</t>
  </si>
  <si>
    <t>Validación del proyecto</t>
  </si>
  <si>
    <t>2.1.2–2.1.4 / 2.2.6 / 9.1.2–9.1.3</t>
  </si>
  <si>
    <t>Sprint 2 / Cierre</t>
  </si>
  <si>
    <t>INT-06</t>
  </si>
  <si>
    <t>Equipo de desarrollo</t>
  </si>
  <si>
    <t>Diseñar, desarrollar, probar, desplegar y documentar la solución web, móvil y backend.</t>
  </si>
  <si>
    <t>Ejecución técnica del cronograma</t>
  </si>
  <si>
    <t>3.3.1–8.4.1 / 7.3.1–7.3.2 / 9.2.1</t>
  </si>
  <si>
    <t>Sprint 3–8 / Cierre</t>
  </si>
  <si>
    <t>INT-07</t>
  </si>
  <si>
    <t>Usuarios finales</t>
  </si>
  <si>
    <t>Contar con capacitación y soporte inicial después del despliegue.</t>
  </si>
  <si>
    <t>HU25–HU27</t>
  </si>
  <si>
    <t>8.5.2–8.5.4</t>
  </si>
  <si>
    <t>Sprint 8</t>
  </si>
  <si>
    <t>REGLAS, RESTRICCIONES Y CONDICIONES DEL PROYECTO</t>
  </si>
  <si>
    <t>Reglas alineadas a los requerimientos, Historias de Usuario y actividades EDT del cronograma oficial.</t>
  </si>
  <si>
    <t>Nombre</t>
  </si>
  <si>
    <t>Regla / condición</t>
  </si>
  <si>
    <t>Tipo</t>
  </si>
  <si>
    <t>Fuente EDT / proyecto</t>
  </si>
  <si>
    <t>Requisitos relacionados</t>
  </si>
  <si>
    <t>RN-01</t>
  </si>
  <si>
    <t>Recojo trazable</t>
  </si>
  <si>
    <t>Cada recojo debe conservar productor, cantidad y fecha para permitir su consulta posterior.</t>
  </si>
  <si>
    <t>Proceso</t>
  </si>
  <si>
    <t>Cronograma EDT 5.2.1 / 5.3.3 / 5.3.4</t>
  </si>
  <si>
    <t>RF-11, RF-15, RF-16</t>
  </si>
  <si>
    <t>HU11, HU15, HU16</t>
  </si>
  <si>
    <t>RN-02</t>
  </si>
  <si>
    <t>Control de calidad</t>
  </si>
  <si>
    <t>El registro de calidad debe contemplar densidad, acidez y temperatura asociados al recojo.</t>
  </si>
  <si>
    <t>Calidad</t>
  </si>
  <si>
    <t>Cronograma EDT 5.3.1</t>
  </si>
  <si>
    <t>RF-13</t>
  </si>
  <si>
    <t>HU13</t>
  </si>
  <si>
    <t>RN-03</t>
  </si>
  <si>
    <t>Liquidación por litros recolectados</t>
  </si>
  <si>
    <t>El cálculo de pago o liquidación debe basarse en los litros registrados del productor.</t>
  </si>
  <si>
    <t>Liquidación</t>
  </si>
  <si>
    <t>Cronograma EDT 5.3.2</t>
  </si>
  <si>
    <t>RF-14</t>
  </si>
  <si>
    <t>HU14</t>
  </si>
  <si>
    <t>RN-04</t>
  </si>
  <si>
    <t>Operación offline-first</t>
  </si>
  <si>
    <t>La app móvil debe permitir registrar recojos sin conexión y sincronizarlos al recuperar Internet.</t>
  </si>
  <si>
    <t>Móvil / Datos</t>
  </si>
  <si>
    <t>Cronograma EDT 5.3.4–5.3.5</t>
  </si>
  <si>
    <t>RF-16, RF-17</t>
  </si>
  <si>
    <t>HU16, HU17</t>
  </si>
  <si>
    <t>RN-05</t>
  </si>
  <si>
    <t>Evidencia de recojo</t>
  </si>
  <si>
    <t>La evidencia capturada mediante fotografía o firma digital debe quedar asociada al recojo correspondiente.</t>
  </si>
  <si>
    <t>Trazabilidad</t>
  </si>
  <si>
    <t>Cronograma EDT 5.3.6</t>
  </si>
  <si>
    <t>RF-18</t>
  </si>
  <si>
    <t>HU18</t>
  </si>
  <si>
    <t>RN-06</t>
  </si>
  <si>
    <t>Reportes operativos</t>
  </si>
  <si>
    <t>Los reportes deben cubrir producción total, por ruta y por productor según lo previsto en el módulo gerencial.</t>
  </si>
  <si>
    <t>Reportes</t>
  </si>
  <si>
    <t>Cronograma EDT 6.2.1 / 6.2.3</t>
  </si>
  <si>
    <t>RF-19, RF-21</t>
  </si>
  <si>
    <t>HU19, HU21</t>
  </si>
  <si>
    <t>RN-07</t>
  </si>
  <si>
    <t>Seguridad y roles</t>
  </si>
  <si>
    <t>El acceso debe estar autenticado y las funciones administrativas deben respetar los roles configurados.</t>
  </si>
  <si>
    <t>Seguridad</t>
  </si>
  <si>
    <t>Cronograma EDT 3.3.8 / 3.4.3 / 6.2.4</t>
  </si>
  <si>
    <t>RF-03, RF-22, RNF-02</t>
  </si>
  <si>
    <t>HU03, HU22</t>
  </si>
  <si>
    <t>RN-08</t>
  </si>
  <si>
    <t>Sin pasarela financiera</t>
  </si>
  <si>
    <t>La versión descrita calcula y consulta liquidaciones, pero no se convierte en una pasarela de pago externa.</t>
  </si>
  <si>
    <t>Exclusión</t>
  </si>
  <si>
    <t>Project Charter / alcance previo del proyecto</t>
  </si>
  <si>
    <t>RF-12, RF-14</t>
  </si>
  <si>
    <t>HU12, HU14</t>
  </si>
  <si>
    <t>RN-09</t>
  </si>
  <si>
    <t>Capacitación antes de cierre</t>
  </si>
  <si>
    <t>Administradores y acopiadores deben recibir la capacitación planificada antes del cierre formal.</t>
  </si>
  <si>
    <t>Implementación</t>
  </si>
  <si>
    <t>Cronograma EDT 8.5.2–8.5.3</t>
  </si>
  <si>
    <t>RI-01, RI-02</t>
  </si>
  <si>
    <t>HU25, HU26</t>
  </si>
  <si>
    <t>RN-10</t>
  </si>
  <si>
    <t>Soporte post-implementación</t>
  </si>
  <si>
    <t>Se debe brindar hipercare inicial para atender dudas o incidencias después del despliegue.</t>
  </si>
  <si>
    <t>Servicio</t>
  </si>
  <si>
    <t>Cronograma EDT 8.5.4</t>
  </si>
  <si>
    <t>RS-01</t>
  </si>
  <si>
    <t>HU27</t>
  </si>
  <si>
    <t>RN-11</t>
  </si>
  <si>
    <t>Documentación obligatoria</t>
  </si>
  <si>
    <t>La entrega debe incluir documentación técnica de API, manual de usuario, manual técnico y documentación final.</t>
  </si>
  <si>
    <t>Entrega</t>
  </si>
  <si>
    <t>Cronograma EDT 4.3.1 / 7.3.1–7.3.2 / 9.2.1</t>
  </si>
  <si>
    <t>RNF-09</t>
  </si>
  <si>
    <t>—</t>
  </si>
  <si>
    <t>MATRIZ DE REQUERIMIENTOS - HUATA LÁCTEOS</t>
  </si>
  <si>
    <t>Alineada a la estructura EDT: HU01–HU24 = funciones del sistema; HU25–HU26 = implementación/capacitación; HU27 = soporte; RNF vinculados a EDT aplicables.</t>
  </si>
  <si>
    <t>HU</t>
  </si>
  <si>
    <t>EDT</t>
  </si>
  <si>
    <t>Descripción (El sistema/proyecto deberá...)</t>
  </si>
  <si>
    <t>Actor</t>
  </si>
  <si>
    <t>Origen</t>
  </si>
  <si>
    <t>Historia de Usuario / referencia</t>
  </si>
  <si>
    <t>Prioridad</t>
  </si>
  <si>
    <t>Criterio de aceptación</t>
  </si>
  <si>
    <t>Componente</t>
  </si>
  <si>
    <t>Dependencias</t>
  </si>
  <si>
    <t>Estado</t>
  </si>
  <si>
    <t>Sprint / periodo</t>
  </si>
  <si>
    <t>Fecha inicio</t>
  </si>
  <si>
    <t>Fecha fin</t>
  </si>
  <si>
    <t>Entregable / tarea EDT</t>
  </si>
  <si>
    <t>RF-01</t>
  </si>
  <si>
    <t>HU01</t>
  </si>
  <si>
    <t>3.4.1</t>
  </si>
  <si>
    <t>Inicio de sesión web</t>
  </si>
  <si>
    <t>El sistema deberá permitir el inicio de sesión desde la plataforma web para que el usuario del sistema pueda acceder a su cuenta de forma segura, cumpliendo la validación de correo y contraseña.</t>
  </si>
  <si>
    <t>Funcional</t>
  </si>
  <si>
    <t>Cronograma EDT</t>
  </si>
  <si>
    <t>HU01: Como usuario del sistema, quiero iniciar sesión con mi correo y contraseña para acceder a mi cuenta de forma segura.</t>
  </si>
  <si>
    <t>Must</t>
  </si>
  <si>
    <t>Con credenciales válidas el usuario accede a la web; con credenciales inválidas el acceso es rechazado.</t>
  </si>
  <si>
    <t>Web / Autenticación</t>
  </si>
  <si>
    <t>HU03</t>
  </si>
  <si>
    <t>Planificado</t>
  </si>
  <si>
    <t>HU01: Desarrollo Web: Pantalla de Login (Angular)</t>
  </si>
  <si>
    <t>RF-02</t>
  </si>
  <si>
    <t>HU02</t>
  </si>
  <si>
    <t>3.4.2</t>
  </si>
  <si>
    <t>Inicio de sesión móvil</t>
  </si>
  <si>
    <t>El sistema deberá permitir el inicio de sesión desde la aplicación móvil para que el usuario del sistema pueda acceder a su cuenta desde el dispositivo móvil, cumpliendo el control de acceso definido.</t>
  </si>
  <si>
    <t>HU02: Como usuario del sistema, quiero iniciar sesión desde mi dispositivo móvil para acceder a mi cuenta de forma segura.</t>
  </si>
  <si>
    <t>Con credenciales válidas el usuario accede desde la app móvil; con credenciales inválidas el acceso es rechazado.</t>
  </si>
  <si>
    <t>Móvil / Autenticación</t>
  </si>
  <si>
    <t>HU02: Desarrollo Móvil: Pantalla de Login (Flutter)</t>
  </si>
  <si>
    <t>RF-03</t>
  </si>
  <si>
    <t>3.4.3</t>
  </si>
  <si>
    <t>Autenticación y sesión segura</t>
  </si>
  <si>
    <t>El sistema deberá autenticar usuarios y mantener la sesión activa para que el usuario del sistema pueda utilizar la aplicación sin reingresar credenciales en cada operación, cumpliendo la seguridad del módulo de autenticación.</t>
  </si>
  <si>
    <t>HU03: Como usuario del sistema, quiero que mi sesión se mantenga activa para no tener que escribir mis credenciales cada vez que uso la aplicación.</t>
  </si>
  <si>
    <t>La autenticación válida crea una sesión utilizable y la sesión permanece activa durante el uso previsto.</t>
  </si>
  <si>
    <t>Backend / Seguridad</t>
  </si>
  <si>
    <t>HU03: Desarrollo Backend: Módulo de Autenticación</t>
  </si>
  <si>
    <t>RF-04</t>
  </si>
  <si>
    <t>HU04</t>
  </si>
  <si>
    <t>4.2.1</t>
  </si>
  <si>
    <t>Administrar productores vía API</t>
  </si>
  <si>
    <t>El sistema deberá registrar, listar, editar y eliminar productores mediante la API REST para que el administrador pueda mantener actualizada la base de datos de proveedores, cumpliendo las operaciones CRUD definidas.</t>
  </si>
  <si>
    <t>HU04: Como administrador, quiero registrar, listar, editar y eliminar productores de leche para mantener actualizada la base de datos de proveedores.</t>
  </si>
  <si>
    <t>La API permite crear, consultar, actualizar y eliminar productores sin perder consistencia de datos.</t>
  </si>
  <si>
    <t>Backend / Productores</t>
  </si>
  <si>
    <t>Sprint 4</t>
  </si>
  <si>
    <t>HU04: Backend: CRUD de Productores (API REST)</t>
  </si>
  <si>
    <t>RF-05</t>
  </si>
  <si>
    <t>HU05</t>
  </si>
  <si>
    <t>4.2.2</t>
  </si>
  <si>
    <t>Administrar acopiadores y rutas vía API</t>
  </si>
  <si>
    <t>El sistema deberá registrar, listar, editar y eliminar acopiadores y rutas mediante la API REST para que el administrador pueda gestionar el personal y la logística de recolección, cumpliendo las operaciones CRUD definidas.</t>
  </si>
  <si>
    <t>HU05: Como administrador, quiero registrar, listar, editar y eliminar acopiadores para gestionar el personal que recolecta la leche en campo.</t>
  </si>
  <si>
    <t>La API permite crear, consultar, actualizar y eliminar acopiadores y rutas.</t>
  </si>
  <si>
    <t>Backend / Acopiadores y Rutas</t>
  </si>
  <si>
    <t>HU05: Backend: CRUD de Acopiadores y Rutas</t>
  </si>
  <si>
    <t>RF-06</t>
  </si>
  <si>
    <t>HU06</t>
  </si>
  <si>
    <t>4.2.3</t>
  </si>
  <si>
    <t>Administrar centros de acopio vía API</t>
  </si>
  <si>
    <t>El sistema deberá registrar, listar, editar y eliminar centros de acopio mediante la API REST para que el administrador pueda controlar los puntos de recepción de leche, cumpliendo las operaciones CRUD definidas.</t>
  </si>
  <si>
    <t>HU06: Como administrador, quiero registrar, listar, editar y eliminar centros de acopio para tener control de los puntos de recepción de leche.</t>
  </si>
  <si>
    <t>La API permite crear, consultar, actualizar y eliminar centros de acopio.</t>
  </si>
  <si>
    <t>Backend / Centros de Acopio</t>
  </si>
  <si>
    <t>HU06: Backend: CRUD de Centros de Acopio</t>
  </si>
  <si>
    <t>RF-07</t>
  </si>
  <si>
    <t>HU07</t>
  </si>
  <si>
    <t>4.2.4</t>
  </si>
  <si>
    <t>Gestionar productores desde la web</t>
  </si>
  <si>
    <t>El sistema deberá permitir gestionar productores desde la plataforma web para que el administrador pueda mantener actualizada la información de proveedores, cumpliendo las funciones de listar, crear, editar y eliminar.</t>
  </si>
  <si>
    <t>HU07: Como administrador, quiero gestionar los productores desde la web para mantener actualizada la base de datos de proveedores.</t>
  </si>
  <si>
    <t>Desde la web se puede listar, crear, editar y eliminar productores.</t>
  </si>
  <si>
    <t>Web / Productores</t>
  </si>
  <si>
    <t>HU07: Web: Módulo de gestión de Productores</t>
  </si>
  <si>
    <t>RF-08</t>
  </si>
  <si>
    <t>HU08</t>
  </si>
  <si>
    <t>4.2.5</t>
  </si>
  <si>
    <t>Gestionar rutas y centros desde la web</t>
  </si>
  <si>
    <t>El sistema deberá permitir gestionar rutas y centros de acopio desde la plataforma web para que el administrador pueda organizar la logística de recolección, cumpliendo la información definida para rutas y centros.</t>
  </si>
  <si>
    <t>HU08: Como administrador, quiero gestionar las rutas y centros de acopio desde la web para organizar la logística de recolección.</t>
  </si>
  <si>
    <t>Desde la web se pueden gestionar rutas y centros de acopio y consultar los cambios guardados.</t>
  </si>
  <si>
    <t>Web / Rutas y Centros</t>
  </si>
  <si>
    <t>HU05, HU06</t>
  </si>
  <si>
    <t>HU08: Web: Módulo de gestión de Rutas y Centros de Acopio</t>
  </si>
  <si>
    <t>RF-09</t>
  </si>
  <si>
    <t>HU09</t>
  </si>
  <si>
    <t>4.2.6</t>
  </si>
  <si>
    <t>Consultar productores asignados</t>
  </si>
  <si>
    <t>El sistema deberá mostrar en la aplicación móvil los productores asignados para que el acopiador pueda identificar a quiénes debe visitar, cumpliendo la asignación vigente de su ruta.</t>
  </si>
  <si>
    <t>HU09: Como acopiador, quiero consultar los productores que tengo asignados en mi ruta para saber a quiénes debo visitar durante el día.</t>
  </si>
  <si>
    <t>El acopiador visualiza únicamente los productores asignados a su operación.</t>
  </si>
  <si>
    <t>Móvil / Productores</t>
  </si>
  <si>
    <t>HU04, HU05</t>
  </si>
  <si>
    <t>HU09: Móvil: Módulo de consulta de productores asignados</t>
  </si>
  <si>
    <t>RF-10</t>
  </si>
  <si>
    <t>HU10</t>
  </si>
  <si>
    <t>4.2.7</t>
  </si>
  <si>
    <t>Consultar ruta del día</t>
  </si>
  <si>
    <t>El sistema deberá mostrar la ruta del día en la aplicación móvil para que el acopiador pueda organizar su recorrido, cumpliendo los productores y centros de acopio asignados.</t>
  </si>
  <si>
    <t>HU10: Como acopiador, quiero ver mi ruta del día con los productores y centros de acopio asignados para organizar mi recorrido de forma eficiente.</t>
  </si>
  <si>
    <t>La app muestra la ruta del día con los productores y centros asignados.</t>
  </si>
  <si>
    <t>Móvil / Rutas</t>
  </si>
  <si>
    <t>HU10: Móvil: Módulo de gestión de ruta del día</t>
  </si>
  <si>
    <t>RF-11</t>
  </si>
  <si>
    <t>HU11</t>
  </si>
  <si>
    <t>5.2.1</t>
  </si>
  <si>
    <t>Registrar recojo de leche</t>
  </si>
  <si>
    <t>El sistema deberá registrar la cantidad de leche recolectada por productor para que el acopiador pueda llevar un control preciso de la producción diaria, cumpliendo el registro de cantidad, productor y fecha.</t>
  </si>
  <si>
    <t>HU11: Como acopiador, quiero registrar la cantidad de leche recolectada de cada productor para llevar un control preciso de la producción diaria.</t>
  </si>
  <si>
    <t>Un recojo válido queda almacenado con productor, cantidad y fecha y puede ser recuperado.</t>
  </si>
  <si>
    <t>Backend / Recojo</t>
  </si>
  <si>
    <t>Sprint 5</t>
  </si>
  <si>
    <t>HU11: Backend: API de Registro de Recojo de Leche</t>
  </si>
  <si>
    <t>RF-12</t>
  </si>
  <si>
    <t>HU12</t>
  </si>
  <si>
    <t>5.2.2</t>
  </si>
  <si>
    <t>Consultar liquidaciones</t>
  </si>
  <si>
    <t>El sistema deberá permitir consultar liquidaciones por productor y fecha para que el administrador pueda revisar y validar los pagos registrados, cumpliendo los filtros definidos.</t>
  </si>
  <si>
    <t>HU12: Como administrador, quiero consultar las liquidaciones por productor y por fecha para revisar y validar los pagos realizados.</t>
  </si>
  <si>
    <t>El filtro por productor y fecha devuelve las liquidaciones correspondientes.</t>
  </si>
  <si>
    <t>Web / Liquidaciones</t>
  </si>
  <si>
    <t>HU12: Web: Módulo de consulta de liquidaciones</t>
  </si>
  <si>
    <t>5.3.1</t>
  </si>
  <si>
    <t>Registrar parámetros de calidad</t>
  </si>
  <si>
    <t>El sistema deberá registrar densidad, acidez y temperatura de la leche para que el acopiador pueda documentar la calidad del producto, cumpliendo los parámetros de calidad definidos.</t>
  </si>
  <si>
    <t>HU13: Como acopiador, quiero registrar los parámetros de calidad de la leche (densidad, acidez, temperatura) para asegurar que cumple con los estándares requeridos.</t>
  </si>
  <si>
    <t>El registro conserva densidad, acidez y temperatura asociadas al recojo.</t>
  </si>
  <si>
    <t>Backend / Calidad</t>
  </si>
  <si>
    <t>HU13: Backend: Registro de parámetros de calidad</t>
  </si>
  <si>
    <t>5.3.2</t>
  </si>
  <si>
    <t>Calcular pago o liquidación</t>
  </si>
  <si>
    <t>El sistema deberá calcular automáticamente el pago o liquidación según los litros recolectados para que el acopiador pueda liquidar al productor de forma rápida y consistente, cumpliendo los datos registrados del recojo.</t>
  </si>
  <si>
    <t>HU14: Como acopiador, quiero que el sistema calcule automáticamente el pago del productor según los litros recolectados para liquidar de forma rápida y sin errores.</t>
  </si>
  <si>
    <t>La liquidación calculada utiliza los litros registrados y el resultado queda disponible para consulta.</t>
  </si>
  <si>
    <t>Backend / Liquidaciones</t>
  </si>
  <si>
    <t>HU11, HU13</t>
  </si>
  <si>
    <t>HU14: Backend: Cálculo de pago / liquidación</t>
  </si>
  <si>
    <t>RF-15</t>
  </si>
  <si>
    <t>HU15</t>
  </si>
  <si>
    <t>5.3.3</t>
  </si>
  <si>
    <t>Registrar y consultar recojos desde la web</t>
  </si>
  <si>
    <t>El sistema deberá permitir registrar y consultar recojos de leche desde la plataforma web para que el administrador pueda llevar un control centralizado de la producción, cumpliendo la persistencia de los registros.</t>
  </si>
  <si>
    <t>HU15: Como administrador, quiero registrar y consultar los recojos de leche desde la web para llevar un control centralizado de la producción.</t>
  </si>
  <si>
    <t>Desde la web se puede registrar un recojo y posteriormente consultarlo.</t>
  </si>
  <si>
    <t>Web / Recojo</t>
  </si>
  <si>
    <t>HU15: Web: Módulo de registro y consulta de recojos</t>
  </si>
  <si>
    <t>RF-16</t>
  </si>
  <si>
    <t>HU16</t>
  </si>
  <si>
    <t>5.3.4</t>
  </si>
  <si>
    <t>Registrar recojo sin conexión</t>
  </si>
  <si>
    <t>El sistema deberá permitir registrar recojos de leche sin conexión a Internet para que el acopiador pueda continuar trabajando en zonas rurales sin cobertura, cumpliendo el almacenamiento local de la información.</t>
  </si>
  <si>
    <t>HU16: Como acopiador, quiero registrar el recojo de leche aunque no tenga conexión a internet para seguir trabajando en zonas rurales sin cobertura.</t>
  </si>
  <si>
    <t>Sin conexión, el recojo puede guardarse localmente sin perder la información capturada.</t>
  </si>
  <si>
    <t>Móvil / Recojo Offline</t>
  </si>
  <si>
    <t>HU16: Móvil: Pantalla de registro de recojo de leche (offline-first)</t>
  </si>
  <si>
    <t>RF-17</t>
  </si>
  <si>
    <t>HU17</t>
  </si>
  <si>
    <t>5.3.5</t>
  </si>
  <si>
    <t>Sincronizar datos offline</t>
  </si>
  <si>
    <t>El sistema deberá sincronizar automáticamente los registros almacenados localmente cuando exista conexión para que el acopiador pueda conservar la información capturada offline, cumpliendo el uso de SQLite y la sincronización con el backend.</t>
  </si>
  <si>
    <t>HU17: Como acopiador, quiero que los datos registrados sin conexión se sincronicen automáticamente cuando tenga internet para no perder información.</t>
  </si>
  <si>
    <t>Al recuperar conectividad, los registros pendientes se sincronizan y quedan disponibles en el backend.</t>
  </si>
  <si>
    <t>Móvil / SQLite y Sincronización</t>
  </si>
  <si>
    <t>HU17: Móvil: Almacenamiento local (SQLite) y sincronización</t>
  </si>
  <si>
    <t>5.3.6</t>
  </si>
  <si>
    <t>Capturar evidencia del recojo</t>
  </si>
  <si>
    <t>El sistema deberá permitir capturar una fotografía o firma digital por recojo para que el acopiador pueda disponer de evidencia del registro, cumpliendo la asociación de la evidencia con el recojo correspondiente.</t>
  </si>
  <si>
    <t>HU18: Como acopiador, quiero tomar una foto o capturar la firma del productor como evidencia del recojo para tener un respaldo del registro.</t>
  </si>
  <si>
    <t>Should</t>
  </si>
  <si>
    <t>La foto o firma capturada queda vinculada al recojo correcto y puede recuperarse con el registro.</t>
  </si>
  <si>
    <t>Móvil / Evidencias</t>
  </si>
  <si>
    <t>HU18: Móvil: Captura de evidencia (firma digital / foto)</t>
  </si>
  <si>
    <t>RF-19</t>
  </si>
  <si>
    <t>HU19</t>
  </si>
  <si>
    <t>6.2.1</t>
  </si>
  <si>
    <t>Generar reportes gerenciales</t>
  </si>
  <si>
    <t>El sistema deberá generar reportes de producción total, por ruta y por productor para que el administrador pueda evaluar el desempeño operativo, cumpliendo los criterios de consulta definidos.</t>
  </si>
  <si>
    <t>HU19: Como administrador, quiero ver reportes gerenciales de producción total, por ruta y por productor para evaluar el desempeño de cada zona.</t>
  </si>
  <si>
    <t>Los reportes muestran producción total y desagregada por ruta y productor con datos consistentes.</t>
  </si>
  <si>
    <t>Backend / Reportes</t>
  </si>
  <si>
    <t>Sprint 6</t>
  </si>
  <si>
    <t>HU19: Backend: Módulo de reportes gerenciales</t>
  </si>
  <si>
    <t>RF-20</t>
  </si>
  <si>
    <t>HU20</t>
  </si>
  <si>
    <t>6.2.2</t>
  </si>
  <si>
    <t>Generar notificaciones</t>
  </si>
  <si>
    <t>El sistema deberá generar notificaciones por los canales previstos para que el administrador pueda conocer eventos importantes del sistema, cumpliendo la configuración de notificaciones definida.</t>
  </si>
  <si>
    <t>HU20: Como administrador, quiero recibir notificaciones por correo electrónico para estar al tanto de eventos importantes del sistema.</t>
  </si>
  <si>
    <t>El sistema genera una notificación configurada por el canal previsto.</t>
  </si>
  <si>
    <t>Backend / Notificaciones</t>
  </si>
  <si>
    <t>HU20: Backend: Módulo de notificaciones (email / push)</t>
  </si>
  <si>
    <t>RF-21</t>
  </si>
  <si>
    <t>HU21</t>
  </si>
  <si>
    <t>6.2.3</t>
  </si>
  <si>
    <t>Visualizar dashboard con gráficos</t>
  </si>
  <si>
    <t>El sistema deberá mostrar un dashboard con gráficos de producción y tendencias para que el administrador pueda visualizar rápidamente el estado del negocio, cumpliendo la consistencia con los datos registrados.</t>
  </si>
  <si>
    <t>HU21: Como administrador, quiero ver un dashboard con gráficos de producción y tendencias para tener una visión rápida del estado del negocio.</t>
  </si>
  <si>
    <t>Los gráficos del dashboard reflejan los datos de producción y tendencias registrados.</t>
  </si>
  <si>
    <t>Web / Dashboard</t>
  </si>
  <si>
    <t>HU21: Web: Dashboard de reportes con gráficos</t>
  </si>
  <si>
    <t>RF-22</t>
  </si>
  <si>
    <t>HU22</t>
  </si>
  <si>
    <t>6.2.4</t>
  </si>
  <si>
    <t>Administrar usuarios y roles</t>
  </si>
  <si>
    <t>El sistema deberá permitir administrar usuarios y roles desde la plataforma web para que el administrador pueda controlar el acceso a las funcionalidades, cumpliendo los permisos asignados a cada rol.</t>
  </si>
  <si>
    <t>HU22: Como administrador, quiero gestionar los usuarios del sistema y sus roles para controlar quién tiene acceso a cada funcionalidad.</t>
  </si>
  <si>
    <t>El administrador puede crear/editar usuarios, asignar roles y verificar que los permisos se apliquen.</t>
  </si>
  <si>
    <t>Web / Usuarios y Roles</t>
  </si>
  <si>
    <t>HU22: Web: Módulo de administración de usuarios y roles</t>
  </si>
  <si>
    <t>RF-23</t>
  </si>
  <si>
    <t>HU23</t>
  </si>
  <si>
    <t>6.2.5</t>
  </si>
  <si>
    <t>Recibir notificaciones push</t>
  </si>
  <si>
    <t>El sistema deberá enviar notificaciones push a la aplicación móvil para que el acopiador pueda recibir novedades y alertas, cumpliendo la integración prevista con Firebase Cloud Messaging.</t>
  </si>
  <si>
    <t>HU23: Como acopiador, quiero recibir notificaciones push en mi dispositivo móvil para estar informado sobre novedades y alertas en el campo.</t>
  </si>
  <si>
    <t>La app móvil recibe una notificación push enviada mediante el mecanismo configurado.</t>
  </si>
  <si>
    <t>Móvil / Notificaciones</t>
  </si>
  <si>
    <t>HU23: Móvil: Notificaciones push (Firebase Cloud Messaging)</t>
  </si>
  <si>
    <t>RF-24</t>
  </si>
  <si>
    <t>HU24</t>
  </si>
  <si>
    <t>6.2.6</t>
  </si>
  <si>
    <t>Consultar historial de recojos</t>
  </si>
  <si>
    <t>El sistema deberá permitir consultar el historial de recojos y reportes personales desde la aplicación móvil para que el acopiador pueda controlar su trabajo diario, cumpliendo la visualización de sus propios registros.</t>
  </si>
  <si>
    <t>HU24: Como acopiador, quiero consultar mi historial de recojos y reportes personales desde la app móvil para llevar un control de mi trabajo diario.</t>
  </si>
  <si>
    <t>El acopiador visualiza su historial de recojos y reportes personales.</t>
  </si>
  <si>
    <t>Móvil / Historial</t>
  </si>
  <si>
    <t>HU24: Móvil: Pantalla de historial de recojos y reportes personales</t>
  </si>
  <si>
    <t>RI-01</t>
  </si>
  <si>
    <t>HU25</t>
  </si>
  <si>
    <t>8.5.2</t>
  </si>
  <si>
    <t>Capacitar administradores del sistema</t>
  </si>
  <si>
    <t>El proyecto deberá capacitar a los administradores en el uso del módulo web para que puedan gestionar las operaciones del sistema, cumpliendo la sesión de capacitación prevista en el Sprint 8.</t>
  </si>
  <si>
    <t>HU25: Como administrador, quiero recibir capacitación sobre el uso del sistema web para gestionar eficientemente las operaciones.</t>
  </si>
  <si>
    <t>Se realiza la capacitación web prevista y los administradores reciben el material o guía correspondiente.</t>
  </si>
  <si>
    <t>Implementación / Capacitación Web</t>
  </si>
  <si>
    <t>HU21, HU22</t>
  </si>
  <si>
    <t>HU25: Capacitación a administradores del sistema (módulo Web)</t>
  </si>
  <si>
    <t>RI-02</t>
  </si>
  <si>
    <t>HU26</t>
  </si>
  <si>
    <t>8.5.3</t>
  </si>
  <si>
    <t>Capacitar acopiadores en la app móvil</t>
  </si>
  <si>
    <t>El proyecto deberá capacitar a los acopiadores y usuarios finales en el uso de la aplicación móvil para que puedan registrar correctamente los recojos en campo, cumpliendo la capacitación prevista en Huata.</t>
  </si>
  <si>
    <t>HU26: Como acopiador, quiero recibir capacitación sobre el uso de la aplicación móvil en campo para aprender a registrar los recojos de leche correctamente.</t>
  </si>
  <si>
    <t>Se realiza la capacitación móvil en Huata y los acopiadores practican el registro de recojos.</t>
  </si>
  <si>
    <t>Implementación / Capacitación Móvil</t>
  </si>
  <si>
    <t>HU16, HU24</t>
  </si>
  <si>
    <t>HU26: Capacitación a acopiadores / usuarios finales (App Móvil) en Huata</t>
  </si>
  <si>
    <t>8.5.4</t>
  </si>
  <si>
    <t>Brindar soporte post-implementación</t>
  </si>
  <si>
    <t>El servicio deberá brindar soporte post-implementación para que los usuarios puedan resolver dudas o incidencias iniciales, cumpliendo el periodo de hipercare planificado.</t>
  </si>
  <si>
    <t>HU27: Como usuario del sistema, quiero contar con soporte post-implementación para resolver dudas o problemas durante los primeros días de uso.</t>
  </si>
  <si>
    <t>Durante el hipercare se registran y atienden las dudas o incidencias reportadas por los usuarios.</t>
  </si>
  <si>
    <t>Servicio / Soporte</t>
  </si>
  <si>
    <t>HU27: Soporte post-implementación (hipercare)</t>
  </si>
  <si>
    <t>RNF-01</t>
  </si>
  <si>
    <t>2.2.1–2.2.7 / 6.3.1</t>
  </si>
  <si>
    <t>Interfaz intuitiva y usable</t>
  </si>
  <si>
    <t>El sistema deberá mantener una interfaz clara y usable para que los usuarios puedan completar los flujos principales, cumpliendo los prototipos y ajustes UI/UX planificados.</t>
  </si>
  <si>
    <t>No funcional</t>
  </si>
  <si>
    <t>Todos</t>
  </si>
  <si>
    <t>Project Charter + Cronograma EDT</t>
  </si>
  <si>
    <t>Diseño y validación de interfaces / ajustes UI/UX</t>
  </si>
  <si>
    <t>Los flujos principales pueden ejecutarse sin pérdida de controles y los ajustes de UI/UX planificados quedan incorporados.</t>
  </si>
  <si>
    <t>Transversal / UX</t>
  </si>
  <si>
    <t>Sprint 2 / Sprint 6</t>
  </si>
  <si>
    <t>Prototipos + ajustes UI/UX</t>
  </si>
  <si>
    <t>RNF-02</t>
  </si>
  <si>
    <t>3.3.8 / 3.4.3 / 7.2.9</t>
  </si>
  <si>
    <t>Seguridad de la información</t>
  </si>
  <si>
    <t>El sistema deberá proteger el acceso a las funcionalidades para que solo usuarios autorizados puedan operar, cumpliendo Spring Security, JWT y las pruebas de seguridad planificadas.</t>
  </si>
  <si>
    <t>Seguridad, autenticación y pruebas no funcionales</t>
  </si>
  <si>
    <t>Las funciones protegidas requieren autenticación válida y las pruebas de seguridad no presentan fallos críticos.</t>
  </si>
  <si>
    <t>RF-01, RF-02, RF-03, RF-22</t>
  </si>
  <si>
    <t>Sprint 3 / Sprint 7</t>
  </si>
  <si>
    <t>Seguridad base + pruebas no funcionales</t>
  </si>
  <si>
    <t>RNF-03</t>
  </si>
  <si>
    <t>8.2.4</t>
  </si>
  <si>
    <t>Compatibilidad Android</t>
  </si>
  <si>
    <t>La aplicación móvil deberá poder distribuirse e instalarse en Android para que los acopiadores puedan utilizarla en campo, cumpliendo la generación y distribución de la APK planificada.</t>
  </si>
  <si>
    <t>Generación y distribución de la app móvil (APK)</t>
  </si>
  <si>
    <t>La APK se genera, se distribuye y permite ejecutar los flujos móviles previstos.</t>
  </si>
  <si>
    <t>Móvil</t>
  </si>
  <si>
    <t>RF-02, RF-09, RF-10, RF-16, RF-17, RF-18, RF-23, RF-24</t>
  </si>
  <si>
    <t>APK distribuida</t>
  </si>
  <si>
    <t>RNF-04</t>
  </si>
  <si>
    <t>Compatibilidad web</t>
  </si>
  <si>
    <t>La plataforma web deberá operar en los navegadores definidos por el proyecto para que los administradores puedan utilizar sus módulos, cumpliendo la restricción de compatibilidad establecida en el Project Charter.</t>
  </si>
  <si>
    <t>Project Charter</t>
  </si>
  <si>
    <t>Restricción de compatibilidad web</t>
  </si>
  <si>
    <t>Las funciones web críticas pueden ejecutarse en los navegadores objetivo definidos por el proyecto.</t>
  </si>
  <si>
    <t>Web</t>
  </si>
  <si>
    <t>RF-01, RF-07, RF-08, RF-12, RF-15, RF-21, RF-22</t>
  </si>
  <si>
    <t>Transversal</t>
  </si>
  <si>
    <t>Validación transversal de compatibilidad web</t>
  </si>
  <si>
    <t>RNF-05</t>
  </si>
  <si>
    <t>7.2.9</t>
  </si>
  <si>
    <t>Rendimiento y estabilidad</t>
  </si>
  <si>
    <t>El sistema deberá mantener un comportamiento estable durante los flujos habituales para que los usuarios puedan operar sin bloqueos críticos, cumpliendo las pruebas no funcionales de rendimiento y seguridad.</t>
  </si>
  <si>
    <t>Pruebas no funcionales (rendimiento, seguridad)</t>
  </si>
  <si>
    <t>Las pruebas no funcionales no detectan fallos críticos de rendimiento o estabilidad.</t>
  </si>
  <si>
    <t>Sprint 7</t>
  </si>
  <si>
    <t>Reporte de pruebas no funcionales</t>
  </si>
  <si>
    <t>RNF-06</t>
  </si>
  <si>
    <t>3.3.3 / 5.3.5</t>
  </si>
  <si>
    <t>Persistencia de datos</t>
  </si>
  <si>
    <t>El sistema deberá persistir la información operativa para que los datos de servidor y los registros offline puedan conservarse y recuperarse, cumpliendo PostgreSQL en backend y SQLite en móvil.</t>
  </si>
  <si>
    <t>PostgreSQL + SQLite y sincronización</t>
  </si>
  <si>
    <t>Los datos del backend quedan almacenados en PostgreSQL y los registros offline se conservan en SQLite hasta su sincronización.</t>
  </si>
  <si>
    <t>Datos</t>
  </si>
  <si>
    <t>Sprint 3 / Sprint 5</t>
  </si>
  <si>
    <t>BD PostgreSQL + módulo de sincronización</t>
  </si>
  <si>
    <t>RNF-07</t>
  </si>
  <si>
    <t>8.2.1–8.2.3 / 8.4.1</t>
  </si>
  <si>
    <t>Disponibilidad en producción</t>
  </si>
  <si>
    <t>El sistema deberá quedar operativo en el entorno de producción para que los usuarios puedan acceder a la solución desplegada, cumpliendo el despliegue de backend, frontend y las pruebas de humo.</t>
  </si>
  <si>
    <t>Producción + smoke testing</t>
  </si>
  <si>
    <t>Backend y frontend quedan desplegados y superan las pruebas de humo planificadas.</t>
  </si>
  <si>
    <t>Infraestructura</t>
  </si>
  <si>
    <t>Entorno productivo validado</t>
  </si>
  <si>
    <t>RNF-08</t>
  </si>
  <si>
    <t>8.3.1</t>
  </si>
  <si>
    <t>Integridad de carga inicial</t>
  </si>
  <si>
    <t>La implementación deberá validar la migración y carga inicial de datos para que la puesta en producción conserve información consistente, cumpliendo la tarea de carga de datos maestros prevista.</t>
  </si>
  <si>
    <t>Administrador / Equipo</t>
  </si>
  <si>
    <t>Migración y carga inicial de datos maestros</t>
  </si>
  <si>
    <t>La carga inicial finaliza con los datos maestros disponibles y sin inconsistencias críticas detectadas.</t>
  </si>
  <si>
    <t>Datos maestros cargados</t>
  </si>
  <si>
    <t>4.3.1 / 7.3.1 / 7.3.2 / 9.2.1</t>
  </si>
  <si>
    <t>Mantenibilidad y documentación</t>
  </si>
  <si>
    <t>La solución deberá contar con documentación técnica y de usuario para que el equipo pueda desplegar, soportar y mantener el sistema, cumpliendo Swagger/OpenAPI, manual de usuario, manual técnico y entrega documental.</t>
  </si>
  <si>
    <t>Documentación técnica y de usuario</t>
  </si>
  <si>
    <t>Se entregan la documentación de API, el manual de usuario, el manual técnico y la documentación final previstas.</t>
  </si>
  <si>
    <t>Documentación</t>
  </si>
  <si>
    <t>Sprint 4 / Sprint 7 / Cierre</t>
  </si>
  <si>
    <t>Swagger + manuales + documentación final</t>
  </si>
  <si>
    <t>CASOS DE PRUEBA - HUATA LÁCTEOS</t>
  </si>
  <si>
    <t>Casos trazados a requerimientos, Historias de Usuario, EDT, Sprint y fechas del cronograma.</t>
  </si>
  <si>
    <t>Requisito</t>
  </si>
  <si>
    <t>Escenario</t>
  </si>
  <si>
    <t>Datos / precondición</t>
  </si>
  <si>
    <t>Resultado esperado</t>
  </si>
  <si>
    <t>CP-01</t>
  </si>
  <si>
    <t>Validar inicio de sesión web conforme a HU01.</t>
  </si>
  <si>
    <t>Usuario/actor con permisos correspondientes y datos válidos para la tarea 3.4.1.</t>
  </si>
  <si>
    <t>Pendiente</t>
  </si>
  <si>
    <t>CP-02</t>
  </si>
  <si>
    <t>Validar inicio de sesión móvil conforme a HU02.</t>
  </si>
  <si>
    <t>Usuario/actor con permisos correspondientes y datos válidos para la tarea 3.4.2.</t>
  </si>
  <si>
    <t>CP-03</t>
  </si>
  <si>
    <t>Validar autenticación y sesión segura conforme a HU03.</t>
  </si>
  <si>
    <t>Usuario/actor con permisos correspondientes y datos válidos para la tarea 3.4.3.</t>
  </si>
  <si>
    <t>CP-04</t>
  </si>
  <si>
    <t>Validar administrar productores vía api conforme a HU04.</t>
  </si>
  <si>
    <t>Usuario/actor con permisos correspondientes y datos válidos para la tarea 4.2.1.</t>
  </si>
  <si>
    <t>CP-05</t>
  </si>
  <si>
    <t>Validar administrar acopiadores y rutas vía api conforme a HU05.</t>
  </si>
  <si>
    <t>Usuario/actor con permisos correspondientes y datos válidos para la tarea 4.2.2.</t>
  </si>
  <si>
    <t>CP-06</t>
  </si>
  <si>
    <t>Validar administrar centros de acopio vía api conforme a HU06.</t>
  </si>
  <si>
    <t>Usuario/actor con permisos correspondientes y datos válidos para la tarea 4.2.3.</t>
  </si>
  <si>
    <t>CP-07</t>
  </si>
  <si>
    <t>Validar gestionar productores desde la web conforme a HU07.</t>
  </si>
  <si>
    <t>Usuario/actor con permisos correspondientes y datos válidos para la tarea 4.2.4.</t>
  </si>
  <si>
    <t>CP-08</t>
  </si>
  <si>
    <t>Validar gestionar rutas y centros desde la web conforme a HU08.</t>
  </si>
  <si>
    <t>Usuario/actor con permisos correspondientes y datos válidos para la tarea 4.2.5.</t>
  </si>
  <si>
    <t>CP-09</t>
  </si>
  <si>
    <t>Validar consultar productores asignados conforme a HU09.</t>
  </si>
  <si>
    <t>Usuario/actor con permisos correspondientes y datos válidos para la tarea 4.2.6.</t>
  </si>
  <si>
    <t>CP-10</t>
  </si>
  <si>
    <t>Validar consultar ruta del día conforme a HU10.</t>
  </si>
  <si>
    <t>Usuario/actor con permisos correspondientes y datos válidos para la tarea 4.2.7.</t>
  </si>
  <si>
    <t>CP-11</t>
  </si>
  <si>
    <t>Validar registrar recojo de leche conforme a HU11.</t>
  </si>
  <si>
    <t>Usuario/actor con permisos correspondientes y datos válidos para la tarea 5.2.1.</t>
  </si>
  <si>
    <t>CP-12</t>
  </si>
  <si>
    <t>Validar consultar liquidaciones conforme a HU12.</t>
  </si>
  <si>
    <t>Usuario/actor con permisos correspondientes y datos válidos para la tarea 5.2.2.</t>
  </si>
  <si>
    <t>CP-13</t>
  </si>
  <si>
    <t>Validar registrar parámetros de calidad conforme a HU13.</t>
  </si>
  <si>
    <t>Usuario/actor con permisos correspondientes y datos válidos para la tarea 5.3.1.</t>
  </si>
  <si>
    <t>CP-14</t>
  </si>
  <si>
    <t>Validar calcular pago o liquidación conforme a HU14.</t>
  </si>
  <si>
    <t>Usuario/actor con permisos correspondientes y datos válidos para la tarea 5.3.2.</t>
  </si>
  <si>
    <t>CP-15</t>
  </si>
  <si>
    <t>Validar registrar y consultar recojos desde la web conforme a HU15.</t>
  </si>
  <si>
    <t>Usuario/actor con permisos correspondientes y datos válidos para la tarea 5.3.3.</t>
  </si>
  <si>
    <t>CP-16</t>
  </si>
  <si>
    <t>Validar registrar recojo sin conexión conforme a HU16.</t>
  </si>
  <si>
    <t>Usuario/actor con permisos correspondientes y datos válidos para la tarea 5.3.4.</t>
  </si>
  <si>
    <t>CP-17</t>
  </si>
  <si>
    <t>Validar sincronizar datos offline conforme a HU17.</t>
  </si>
  <si>
    <t>Usuario/actor con permisos correspondientes y datos válidos para la tarea 5.3.5.</t>
  </si>
  <si>
    <t>CP-18</t>
  </si>
  <si>
    <t>Validar capturar evidencia del recojo conforme a HU18.</t>
  </si>
  <si>
    <t>Usuario/actor con permisos correspondientes y datos válidos para la tarea 5.3.6.</t>
  </si>
  <si>
    <t>CP-19</t>
  </si>
  <si>
    <t>Validar generar reportes gerenciales conforme a HU19.</t>
  </si>
  <si>
    <t>Usuario/actor con permisos correspondientes y datos válidos para la tarea 6.2.1.</t>
  </si>
  <si>
    <t>CP-20</t>
  </si>
  <si>
    <t>Validar generar notificaciones conforme a HU20.</t>
  </si>
  <si>
    <t>Usuario/actor con permisos correspondientes y datos válidos para la tarea 6.2.2.</t>
  </si>
  <si>
    <t>CP-21</t>
  </si>
  <si>
    <t>Validar visualizar dashboard con gráficos conforme a HU21.</t>
  </si>
  <si>
    <t>Usuario/actor con permisos correspondientes y datos válidos para la tarea 6.2.3.</t>
  </si>
  <si>
    <t>CP-22</t>
  </si>
  <si>
    <t>Validar administrar usuarios y roles conforme a HU22.</t>
  </si>
  <si>
    <t>Usuario/actor con permisos correspondientes y datos válidos para la tarea 6.2.4.</t>
  </si>
  <si>
    <t>CP-23</t>
  </si>
  <si>
    <t>Validar recibir notificaciones push conforme a HU23.</t>
  </si>
  <si>
    <t>Usuario/actor con permisos correspondientes y datos válidos para la tarea 6.2.5.</t>
  </si>
  <si>
    <t>CP-24</t>
  </si>
  <si>
    <t>Validar consultar historial de recojos conforme a HU24.</t>
  </si>
  <si>
    <t>Usuario/actor con permisos correspondientes y datos válidos para la tarea 6.2.6.</t>
  </si>
  <si>
    <t>CP-25</t>
  </si>
  <si>
    <t>Verificar ejecución de capacitar administradores del sistema conforme a HU25.</t>
  </si>
  <si>
    <t>Sistema desplegado, material de capacitación disponible y participantes convocados.</t>
  </si>
  <si>
    <t>CP-26</t>
  </si>
  <si>
    <t>Verificar ejecución de capacitar acopiadores en la app móvil conforme a HU26.</t>
  </si>
  <si>
    <t>CP-27</t>
  </si>
  <si>
    <t>Verificar brindar soporte post-implementación conforme a HU27.</t>
  </si>
  <si>
    <t>Sistema desplegado y usuarios con acceso al canal de soporte.</t>
  </si>
  <si>
    <t>CP-28</t>
  </si>
  <si>
    <t>Verificar requisito no funcional: interfaz intuitiva y usable.</t>
  </si>
  <si>
    <t>Ambiente de prueba configurado y datos representativos del flujo.</t>
  </si>
  <si>
    <t>CP-29</t>
  </si>
  <si>
    <t>Verificar requisito no funcional: seguridad de la información.</t>
  </si>
  <si>
    <t>CP-30</t>
  </si>
  <si>
    <t>Verificar requisito no funcional: compatibilidad android.</t>
  </si>
  <si>
    <t>CP-31</t>
  </si>
  <si>
    <t>Verificar requisito no funcional: compatibilidad web.</t>
  </si>
  <si>
    <t>CP-32</t>
  </si>
  <si>
    <t>Verificar requisito no funcional: rendimiento y estabilidad.</t>
  </si>
  <si>
    <t>CP-33</t>
  </si>
  <si>
    <t>Verificar requisito no funcional: persistencia de datos.</t>
  </si>
  <si>
    <t>CP-34</t>
  </si>
  <si>
    <t>Verificar requisito no funcional: disponibilidad en producción.</t>
  </si>
  <si>
    <t>CP-35</t>
  </si>
  <si>
    <t>Verificar requisito no funcional: integridad de carga inicial.</t>
  </si>
  <si>
    <t>CP-36</t>
  </si>
  <si>
    <t>Verificar requisito no funcional: mantenibilidad y documentación.</t>
  </si>
  <si>
    <t>MATRIZ DE TRAZABILIDAD - HUATA LÁCTEOS</t>
  </si>
  <si>
    <t>Trazabilidad completa: Requisito → HU → EDT → Sprint/fechas → Caso de prueba → Entregable.</t>
  </si>
  <si>
    <t>ID requisito</t>
  </si>
  <si>
    <t>Fuente</t>
  </si>
  <si>
    <t>Caso de prueba</t>
  </si>
  <si>
    <t>Entregable / evidencia</t>
  </si>
  <si>
    <t>Completa</t>
  </si>
  <si>
    <t>CRONOGRAMA DEL PROYECTO · HUATA LÁCTEOS</t>
  </si>
  <si>
    <t>Estructura EDT oficial según archivo proporcionado: tarea, comienzo, fin e historia de usuario.</t>
  </si>
  <si>
    <t>Nombre de tarea</t>
  </si>
  <si>
    <t>Comienzo</t>
  </si>
  <si>
    <t>Fin</t>
  </si>
  <si>
    <t>Historia de Usuario</t>
  </si>
  <si>
    <t>1.1.1</t>
  </si>
  <si>
    <t>Kick off del proyecto y conformación del equipo</t>
  </si>
  <si>
    <t>1.1.2</t>
  </si>
  <si>
    <t>Elaboración del Project Charter</t>
  </si>
  <si>
    <t>1.1.3</t>
  </si>
  <si>
    <t>Definición de objetivos, alcance y stakeholders</t>
  </si>
  <si>
    <t>1.1.4</t>
  </si>
  <si>
    <t>Elaboración de cronograma preliminar en MS Project</t>
  </si>
  <si>
    <t>1.1.5</t>
  </si>
  <si>
    <t>Levantamiento de información en campo (Huata)</t>
  </si>
  <si>
    <t>1.1.6</t>
  </si>
  <si>
    <t>Identificación de actores del sistema</t>
  </si>
  <si>
    <t>1.1.7</t>
  </si>
  <si>
    <t>Elaboración de Requerimientos Funcionales (RF)</t>
  </si>
  <si>
    <t>1.1.8</t>
  </si>
  <si>
    <t>Elaboración de Requerimientos No Funcionales (RNF)</t>
  </si>
  <si>
    <t>1.1.9</t>
  </si>
  <si>
    <t>Elaboración de Historias de Usuario / Casos de Uso</t>
  </si>
  <si>
    <t>1.1.10</t>
  </si>
  <si>
    <t>Priorización del Backlog (MoSCoW)</t>
  </si>
  <si>
    <t>1.1.11</t>
  </si>
  <si>
    <t>Elaboración de Plan de Gestión del Proyecto</t>
  </si>
  <si>
    <t>1.1.12</t>
  </si>
  <si>
    <t>Revisión y consolidación de documentos de la Sprint 1</t>
  </si>
  <si>
    <t>1.1.13</t>
  </si>
  <si>
    <t>Sprint Review + Retrospectiva Sprint 1</t>
  </si>
  <si>
    <t>2.1.1</t>
  </si>
  <si>
    <t>Sprint Planning Sprint 2</t>
  </si>
  <si>
    <t>2.1.2</t>
  </si>
  <si>
    <t>Presentación de requerimientos (RF/RNF) al cliente</t>
  </si>
  <si>
    <t>2.1.3</t>
  </si>
  <si>
    <t>Levantamiento de observaciones y ajustes a requerimientos</t>
  </si>
  <si>
    <t>2.1.4</t>
  </si>
  <si>
    <t>Firma de Acta de Aprobación de Requerimientos</t>
  </si>
  <si>
    <t>2.1.5</t>
  </si>
  <si>
    <t>Sprint Review + Retrospectiva Sprint 2</t>
  </si>
  <si>
    <t>2.2.1</t>
  </si>
  <si>
    <t>Diseño de wireframes de baja fidelidad (Web y Móvil)</t>
  </si>
  <si>
    <t>2.2.2</t>
  </si>
  <si>
    <t>Definición de guía de estilos / Design System</t>
  </si>
  <si>
    <t>2.2.3</t>
  </si>
  <si>
    <t>Diseño de prototipo de alta fidelidad en Figma - Web</t>
  </si>
  <si>
    <t>2.2.4</t>
  </si>
  <si>
    <t>Diseño de prototipo de alta fidelidad en Figma - Móvil</t>
  </si>
  <si>
    <t>2.2.5</t>
  </si>
  <si>
    <t>Maquetación del prototipo navegable en HTML/CSS (Web)</t>
  </si>
  <si>
    <t>2.2.6</t>
  </si>
  <si>
    <t>Revisión de prototipos (Figma + HTML) con el cliente</t>
  </si>
  <si>
    <t>2.2.7</t>
  </si>
  <si>
    <t>Ajustes de prototipos según observaciones</t>
  </si>
  <si>
    <t>3.1.1</t>
  </si>
  <si>
    <t>Sprint Planning Sprint 3</t>
  </si>
  <si>
    <t>3.1.2</t>
  </si>
  <si>
    <t>Sprint Review + Retrospectiva Sprint 3</t>
  </si>
  <si>
    <t>3.2.1</t>
  </si>
  <si>
    <t>Firma / Aprobación final de prototipos</t>
  </si>
  <si>
    <t>3.3.1</t>
  </si>
  <si>
    <t>Diseño de la arquitectura del sistema</t>
  </si>
  <si>
    <t>3.3.2</t>
  </si>
  <si>
    <t>Diseño del modelo de datos (MER)</t>
  </si>
  <si>
    <t>3.3.3</t>
  </si>
  <si>
    <t>Creación de la base de datos en PostgreSQL</t>
  </si>
  <si>
    <t>3.3.4</t>
  </si>
  <si>
    <t>Configuración de repositorio Git y GitFlow</t>
  </si>
  <si>
    <t>3.3.5</t>
  </si>
  <si>
    <t>Configuración de entorno backend (Java 21, Spring Boot)</t>
  </si>
  <si>
    <t>3.3.6</t>
  </si>
  <si>
    <t>Configuración de entorno frontend Angular</t>
  </si>
  <si>
    <t>3.3.7</t>
  </si>
  <si>
    <t>Configuración de entorno móvil Flutter</t>
  </si>
  <si>
    <t>3.3.8</t>
  </si>
  <si>
    <t>Configuración de seguridad (Spring Security + JWT)</t>
  </si>
  <si>
    <t>3.3.9</t>
  </si>
  <si>
    <t>Configuración de integración continua (CI) básica</t>
  </si>
  <si>
    <t>3.4.4</t>
  </si>
  <si>
    <t>Pruebas de integración del módulo de autenticación</t>
  </si>
  <si>
    <t>4.1.1</t>
  </si>
  <si>
    <t>Sprint Planning Sprint 4</t>
  </si>
  <si>
    <t>4.1.2</t>
  </si>
  <si>
    <t>Sprint Review + Retrospectiva Sprint 4</t>
  </si>
  <si>
    <t>4.2.8</t>
  </si>
  <si>
    <t>Pruebas unitarias backend (JUnit)</t>
  </si>
  <si>
    <t>4.2.9</t>
  </si>
  <si>
    <t>Pruebas funcionales módulo Productores (Web y Móvil)</t>
  </si>
  <si>
    <t>4.3.1</t>
  </si>
  <si>
    <t>Documentación técnica de API (Swagger / OpenAPI)</t>
  </si>
  <si>
    <t>5.1.1</t>
  </si>
  <si>
    <t>Sprint Planning Sprint 5</t>
  </si>
  <si>
    <t>5.1.2</t>
  </si>
  <si>
    <t>Sprint Review + Retrospectiva Sprint 5</t>
  </si>
  <si>
    <t>5.3.7</t>
  </si>
  <si>
    <t>Pruebas unitarias e integración del módulo de Recojo</t>
  </si>
  <si>
    <t>6.1.1</t>
  </si>
  <si>
    <t>Sprint Planning Sprint 6</t>
  </si>
  <si>
    <t>6.1.2</t>
  </si>
  <si>
    <t>Sprint Review + Retrospectiva Sprint 6</t>
  </si>
  <si>
    <t>6.2.7</t>
  </si>
  <si>
    <t>Pruebas unitarias módulo de Reportes y Notificaciones</t>
  </si>
  <si>
    <t>6.3.1</t>
  </si>
  <si>
    <t>Ajustes de UI/UX según pruebas internas</t>
  </si>
  <si>
    <t>6.4.1</t>
  </si>
  <si>
    <t>Congelamiento de funcionalidades (Feature Freeze)</t>
  </si>
  <si>
    <t>7.1.1</t>
  </si>
  <si>
    <t>Sprint Planning Sprint 7</t>
  </si>
  <si>
    <t>7.1.2</t>
  </si>
  <si>
    <t>Sprint Review + Retrospectiva Sprint 7</t>
  </si>
  <si>
    <t>7.2.1</t>
  </si>
  <si>
    <t>Elaboración del Plan de Pruebas y Casos de Prueba</t>
  </si>
  <si>
    <t>7.2.2</t>
  </si>
  <si>
    <t>Pruebas de integración Backend - Web</t>
  </si>
  <si>
    <t>7.2.3</t>
  </si>
  <si>
    <t>Pruebas de integración Backend - Móvil</t>
  </si>
  <si>
    <t>7.2.4</t>
  </si>
  <si>
    <t>Pruebas funcionales completas</t>
  </si>
  <si>
    <t>7.2.5</t>
  </si>
  <si>
    <t>Pruebas de aceptación de usuario (UAT)</t>
  </si>
  <si>
    <t>7.2.6</t>
  </si>
  <si>
    <t>Registro y priorización de incidencias/bugs</t>
  </si>
  <si>
    <t>7.2.7</t>
  </si>
  <si>
    <t>Corrección de bugs críticos y altos</t>
  </si>
  <si>
    <t>7.2.8</t>
  </si>
  <si>
    <t>Pruebas de regresión</t>
  </si>
  <si>
    <t>7.3.1</t>
  </si>
  <si>
    <t>Elaboración del Manual de Usuario (Web y Móvil)</t>
  </si>
  <si>
    <t>7.3.2</t>
  </si>
  <si>
    <t>Elaboración del Manual Técnico</t>
  </si>
  <si>
    <t>8.1.1</t>
  </si>
  <si>
    <t>Sprint Planning Sprint 8</t>
  </si>
  <si>
    <t>8.1.2</t>
  </si>
  <si>
    <t>Sprint Review + Retrospectiva Sprint 8</t>
  </si>
  <si>
    <t>8.2.1</t>
  </si>
  <si>
    <t>Preparación del entorno de producción</t>
  </si>
  <si>
    <t>8.2.2</t>
  </si>
  <si>
    <t>Despliegue del Backend en producción</t>
  </si>
  <si>
    <t>8.2.3</t>
  </si>
  <si>
    <t>Despliegue del Frontend Web en producción</t>
  </si>
  <si>
    <t>8.4.1</t>
  </si>
  <si>
    <t>Pruebas de humo (smoke testing) en producción</t>
  </si>
  <si>
    <t>8.5.1</t>
  </si>
  <si>
    <t>Elaboración de material de capacitación</t>
  </si>
  <si>
    <t>9.1.1</t>
  </si>
  <si>
    <t>Elaboración del Acta de Cierre del Proyecto</t>
  </si>
  <si>
    <t>9.1.2</t>
  </si>
  <si>
    <t>Firma de conformidad final del cliente</t>
  </si>
  <si>
    <t>9.1.3</t>
  </si>
  <si>
    <t>Reunión de cierre con stakeholders</t>
  </si>
  <si>
    <t>9.2.1</t>
  </si>
  <si>
    <t>Entrega final de documentación</t>
  </si>
  <si>
    <t>Productores de leche de Huata</t>
  </si>
  <si>
    <t>Acopiadores de leche</t>
  </si>
  <si>
    <t>Administrador del sistema (Lic. Rosy) / Gerencia de operaciones(Ing. Gino Rodriguez )</t>
  </si>
  <si>
    <t>Personal de planta (Melnai, Jessica, Senorita, Testear la leche)/ centro de acopio</t>
  </si>
  <si>
    <t>Equipo de desarrollo JPK-RESOLUTION S.A.C.</t>
  </si>
  <si>
    <t>Patrocinador / Cliente  (Ing. Gino Rodriguez )</t>
  </si>
  <si>
    <t>INCOMPLETA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</si>
</sst>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</font>
    <font>
      <sz val="9"/>
      <color rgb="FF1C1C1C"/>
      <name val="Arial"/>
      <family val="2"/>
    </font>
    <font>
      <b/>
      <sz val="15"/>
      <color rgb="FFFFFFFF"/>
      <name val="Calibri"/>
      <family val="2"/>
    </font>
    <font>
      <i/>
      <sz val="10"/>
      <color rgb="FF5C4300"/>
      <name val="Calibri"/>
      <family val="2"/>
    </font>
    <font>
      <b/>
      <sz val="9"/>
      <color rgb="FF3A2A00"/>
      <name val="Calibri"/>
      <family val="2"/>
    </font>
    <font>
      <sz val="9"/>
      <color rgb="FF243447"/>
      <name val="Calibri"/>
      <family val="2"/>
    </font>
    <font>
      <sz val="9"/>
      <color rgb="FF5C4300"/>
      <name val="Calibri"/>
      <family val="2"/>
    </font>
    <font>
      <b/>
      <sz val="8"/>
      <color rgb="FF3A2A00"/>
      <name val="Calibri"/>
      <family val="2"/>
    </font>
    <font>
      <sz val="8"/>
      <color rgb="FF243447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6DC"/>
      </patternFill>
    </fill>
    <fill>
      <patternFill patternType="solid">
        <fgColor rgb="FF17365D"/>
      </patternFill>
    </fill>
    <fill>
      <patternFill patternType="solid">
        <fgColor rgb="FFFFF0B3"/>
      </patternFill>
    </fill>
    <fill>
      <patternFill patternType="solid">
        <fgColor rgb="FFE8B84A"/>
      </patternFill>
    </fill>
    <fill>
      <patternFill patternType="solid">
        <fgColor rgb="FFEAF2F8"/>
      </patternFill>
    </fill>
    <fill>
      <patternFill patternType="solid">
        <fgColor rgb="FFFFF1C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FF0B3"/>
      </patternFill>
    </fill>
    <fill>
      <patternFill patternType="solid">
        <fgColor rgb="FFE8B84A"/>
      </patternFill>
    </fill>
    <fill>
      <patternFill patternType="solid">
        <fgColor rgb="FFFFF8E8"/>
      </patternFill>
    </fill>
    <fill>
      <patternFill patternType="solid">
        <fgColor rgb="FFFFF1C7"/>
      </patternFill>
    </fill>
    <fill>
      <patternFill patternType="solid">
        <fgColor rgb="FFEAF2F8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C9D3E4"/>
      </left>
      <right style="thin">
        <color rgb="FFC9D3E4"/>
      </right>
      <top style="thin">
        <color rgb="FFC9D3E4"/>
      </top>
      <bottom style="thin">
        <color rgb="FFC9D3E4"/>
      </bottom>
      <diagonal/>
    </border>
    <border>
      <left style="thin">
        <color rgb="FFC79A2E"/>
      </left>
      <right/>
      <top style="thin">
        <color rgb="FF8A6508"/>
      </top>
      <bottom style="thin">
        <color rgb="FF8A6508"/>
      </bottom>
      <diagonal/>
    </border>
    <border>
      <left/>
      <right/>
      <top style="thin">
        <color rgb="FF8A6508"/>
      </top>
      <bottom style="thin">
        <color rgb="FF8A6508"/>
      </bottom>
      <diagonal/>
    </border>
    <border>
      <left/>
      <right style="thin">
        <color rgb="FFC79A2E"/>
      </right>
      <top style="thin">
        <color rgb="FF8A6508"/>
      </top>
      <bottom style="thin">
        <color rgb="FF8A6508"/>
      </bottom>
      <diagonal/>
    </border>
    <border>
      <left style="hair">
        <color rgb="FFD5C9A6"/>
      </left>
      <right/>
      <top style="hair">
        <color rgb="FFD5C9A6"/>
      </top>
      <bottom/>
      <diagonal/>
    </border>
    <border>
      <left/>
      <right/>
      <top style="hair">
        <color rgb="FFD5C9A6"/>
      </top>
      <bottom/>
      <diagonal/>
    </border>
    <border>
      <left/>
      <right style="hair">
        <color rgb="FFD5C9A6"/>
      </right>
      <top style="hair">
        <color rgb="FFD5C9A6"/>
      </top>
      <bottom/>
      <diagonal/>
    </border>
    <border>
      <left style="hair">
        <color rgb="FFD5C9A6"/>
      </left>
      <right/>
      <top/>
      <bottom/>
      <diagonal/>
    </border>
    <border>
      <left/>
      <right style="hair">
        <color rgb="FFD5C9A6"/>
      </right>
      <top/>
      <bottom/>
      <diagonal/>
    </border>
    <border>
      <left style="hair">
        <color rgb="FFD5C9A6"/>
      </left>
      <right/>
      <top/>
      <bottom style="hair">
        <color rgb="FFD5C9A6"/>
      </bottom>
      <diagonal/>
    </border>
    <border>
      <left/>
      <right/>
      <top/>
      <bottom style="hair">
        <color rgb="FFD5C9A6"/>
      </bottom>
      <diagonal/>
    </border>
    <border>
      <left/>
      <right style="hair">
        <color rgb="FFD5C9A6"/>
      </right>
      <top/>
      <bottom style="hair">
        <color rgb="FFD5C9A6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vertical="top" wrapText="1"/>
    </xf>
    <xf numFmtId="0" fontId="5" fillId="6" borderId="8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10" xfId="0" applyFont="1" applyFill="1" applyBorder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7" borderId="10" xfId="0" applyFont="1" applyFill="1" applyBorder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6" fillId="4" borderId="10" xfId="0" applyFont="1" applyFill="1" applyBorder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5" fillId="9" borderId="10" xfId="0" applyFont="1" applyFill="1" applyBorder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5" fillId="10" borderId="10" xfId="0" applyFont="1" applyFill="1" applyBorder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5" fillId="11" borderId="10" xfId="0" applyFont="1" applyFill="1" applyBorder="1" applyAlignment="1">
      <alignment vertical="top" wrapText="1"/>
    </xf>
    <xf numFmtId="0" fontId="5" fillId="8" borderId="12" xfId="0" applyFont="1" applyFill="1" applyBorder="1" applyAlignment="1">
      <alignment vertical="top" wrapText="1"/>
    </xf>
    <xf numFmtId="0" fontId="5" fillId="8" borderId="13" xfId="0" applyFont="1" applyFill="1" applyBorder="1" applyAlignment="1">
      <alignment vertical="top" wrapText="1"/>
    </xf>
    <xf numFmtId="0" fontId="5" fillId="6" borderId="6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horizontal="center" vertical="top" wrapText="1"/>
    </xf>
    <xf numFmtId="0" fontId="5" fillId="7" borderId="9" xfId="0" applyFont="1" applyFill="1" applyBorder="1" applyAlignment="1">
      <alignment horizontal="center" vertical="top" wrapText="1"/>
    </xf>
    <xf numFmtId="0" fontId="5" fillId="8" borderId="9" xfId="0" applyFont="1" applyFill="1" applyBorder="1" applyAlignment="1">
      <alignment horizontal="center" vertical="top" wrapText="1"/>
    </xf>
    <xf numFmtId="0" fontId="5" fillId="9" borderId="9" xfId="0" applyFont="1" applyFill="1" applyBorder="1" applyAlignment="1">
      <alignment horizontal="center" vertical="top" wrapText="1"/>
    </xf>
    <xf numFmtId="0" fontId="5" fillId="10" borderId="9" xfId="0" applyFont="1" applyFill="1" applyBorder="1" applyAlignment="1">
      <alignment horizontal="center" vertical="top" wrapText="1"/>
    </xf>
    <xf numFmtId="0" fontId="5" fillId="11" borderId="9" xfId="0" applyFont="1" applyFill="1" applyBorder="1" applyAlignment="1">
      <alignment horizontal="center" vertical="top" wrapText="1"/>
    </xf>
    <xf numFmtId="0" fontId="5" fillId="8" borderId="11" xfId="0" applyFont="1" applyFill="1" applyBorder="1" applyAlignment="1">
      <alignment horizontal="center" vertical="top" wrapText="1"/>
    </xf>
    <xf numFmtId="164" fontId="5" fillId="6" borderId="7" xfId="0" applyNumberFormat="1" applyFont="1" applyFill="1" applyBorder="1" applyAlignment="1">
      <alignment horizontal="center" vertical="top" wrapText="1"/>
    </xf>
    <xf numFmtId="164" fontId="5" fillId="6" borderId="0" xfId="0" applyNumberFormat="1" applyFont="1" applyFill="1" applyAlignment="1">
      <alignment horizontal="center" vertical="top" wrapText="1"/>
    </xf>
    <xf numFmtId="164" fontId="5" fillId="7" borderId="0" xfId="0" applyNumberFormat="1" applyFont="1" applyFill="1" applyAlignment="1">
      <alignment horizontal="center" vertical="top" wrapText="1"/>
    </xf>
    <xf numFmtId="164" fontId="5" fillId="8" borderId="0" xfId="0" applyNumberFormat="1" applyFont="1" applyFill="1" applyAlignment="1">
      <alignment horizontal="center" vertical="top" wrapText="1"/>
    </xf>
    <xf numFmtId="164" fontId="5" fillId="9" borderId="0" xfId="0" applyNumberFormat="1" applyFont="1" applyFill="1" applyAlignment="1">
      <alignment horizontal="center" vertical="top" wrapText="1"/>
    </xf>
    <xf numFmtId="164" fontId="5" fillId="10" borderId="0" xfId="0" applyNumberFormat="1" applyFont="1" applyFill="1" applyAlignment="1">
      <alignment horizontal="center" vertical="top" wrapText="1"/>
    </xf>
    <xf numFmtId="164" fontId="5" fillId="11" borderId="0" xfId="0" applyNumberFormat="1" applyFont="1" applyFill="1" applyAlignment="1">
      <alignment horizontal="center" vertical="top" wrapText="1"/>
    </xf>
    <xf numFmtId="164" fontId="5" fillId="8" borderId="12" xfId="0" applyNumberFormat="1" applyFont="1" applyFill="1" applyBorder="1" applyAlignment="1">
      <alignment horizontal="center" vertical="top" wrapText="1"/>
    </xf>
    <xf numFmtId="0" fontId="7" fillId="14" borderId="3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vertical="top" wrapText="1"/>
    </xf>
    <xf numFmtId="0" fontId="8" fillId="15" borderId="7" xfId="0" applyFont="1" applyFill="1" applyBorder="1" applyAlignment="1">
      <alignment vertical="top" wrapText="1"/>
    </xf>
    <xf numFmtId="164" fontId="8" fillId="15" borderId="7" xfId="0" applyNumberFormat="1" applyFont="1" applyFill="1" applyBorder="1" applyAlignment="1">
      <alignment vertical="top" wrapText="1"/>
    </xf>
    <xf numFmtId="0" fontId="8" fillId="15" borderId="8" xfId="0" applyFont="1" applyFill="1" applyBorder="1" applyAlignment="1">
      <alignment vertical="top" wrapText="1"/>
    </xf>
    <xf numFmtId="0" fontId="8" fillId="15" borderId="9" xfId="0" applyFont="1" applyFill="1" applyBorder="1" applyAlignment="1">
      <alignment vertical="top" wrapText="1"/>
    </xf>
    <xf numFmtId="0" fontId="8" fillId="15" borderId="0" xfId="0" applyFont="1" applyFill="1" applyAlignment="1">
      <alignment vertical="top" wrapText="1"/>
    </xf>
    <xf numFmtId="164" fontId="8" fillId="15" borderId="0" xfId="0" applyNumberFormat="1" applyFont="1" applyFill="1" applyAlignment="1">
      <alignment vertical="top" wrapText="1"/>
    </xf>
    <xf numFmtId="0" fontId="8" fillId="15" borderId="10" xfId="0" applyFont="1" applyFill="1" applyBorder="1" applyAlignment="1">
      <alignment vertical="top" wrapText="1"/>
    </xf>
    <xf numFmtId="0" fontId="8" fillId="16" borderId="9" xfId="0" applyFont="1" applyFill="1" applyBorder="1" applyAlignment="1">
      <alignment vertical="top" wrapText="1"/>
    </xf>
    <xf numFmtId="0" fontId="8" fillId="16" borderId="0" xfId="0" applyFont="1" applyFill="1" applyAlignment="1">
      <alignment vertical="top" wrapText="1"/>
    </xf>
    <xf numFmtId="164" fontId="8" fillId="16" borderId="0" xfId="0" applyNumberFormat="1" applyFont="1" applyFill="1" applyAlignment="1">
      <alignment vertical="top" wrapText="1"/>
    </xf>
    <xf numFmtId="0" fontId="8" fillId="16" borderId="10" xfId="0" applyFont="1" applyFill="1" applyBorder="1" applyAlignment="1">
      <alignment vertical="top" wrapText="1"/>
    </xf>
    <xf numFmtId="0" fontId="8" fillId="17" borderId="9" xfId="0" applyFont="1" applyFill="1" applyBorder="1" applyAlignment="1">
      <alignment vertical="top" wrapText="1"/>
    </xf>
    <xf numFmtId="0" fontId="8" fillId="17" borderId="0" xfId="0" applyFont="1" applyFill="1" applyAlignment="1">
      <alignment vertical="top" wrapText="1"/>
    </xf>
    <xf numFmtId="164" fontId="8" fillId="17" borderId="0" xfId="0" applyNumberFormat="1" applyFont="1" applyFill="1" applyAlignment="1">
      <alignment vertical="top" wrapText="1"/>
    </xf>
    <xf numFmtId="0" fontId="8" fillId="17" borderId="10" xfId="0" applyFont="1" applyFill="1" applyBorder="1" applyAlignment="1">
      <alignment vertical="top" wrapText="1"/>
    </xf>
    <xf numFmtId="0" fontId="8" fillId="17" borderId="11" xfId="0" applyFont="1" applyFill="1" applyBorder="1" applyAlignment="1">
      <alignment vertical="top" wrapText="1"/>
    </xf>
    <xf numFmtId="0" fontId="8" fillId="17" borderId="12" xfId="0" applyFont="1" applyFill="1" applyBorder="1" applyAlignment="1">
      <alignment vertical="top" wrapText="1"/>
    </xf>
    <xf numFmtId="164" fontId="8" fillId="17" borderId="12" xfId="0" applyNumberFormat="1" applyFont="1" applyFill="1" applyBorder="1" applyAlignment="1">
      <alignment vertical="top" wrapText="1"/>
    </xf>
    <xf numFmtId="0" fontId="8" fillId="17" borderId="13" xfId="0" applyFont="1" applyFill="1" applyBorder="1" applyAlignment="1">
      <alignment vertical="top" wrapText="1"/>
    </xf>
    <xf numFmtId="0" fontId="4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vertical="top" wrapText="1"/>
    </xf>
    <xf numFmtId="0" fontId="5" fillId="15" borderId="12" xfId="0" applyFont="1" applyFill="1" applyBorder="1" applyAlignment="1">
      <alignment vertical="top" wrapText="1"/>
    </xf>
    <xf numFmtId="0" fontId="7" fillId="14" borderId="0" xfId="0" applyFont="1" applyFill="1" applyAlignment="1">
      <alignment horizontal="center" vertical="center" wrapText="1"/>
    </xf>
    <xf numFmtId="164" fontId="8" fillId="15" borderId="8" xfId="0" applyNumberFormat="1" applyFont="1" applyFill="1" applyBorder="1" applyAlignment="1">
      <alignment vertical="top" wrapText="1"/>
    </xf>
    <xf numFmtId="164" fontId="8" fillId="15" borderId="10" xfId="0" applyNumberFormat="1" applyFont="1" applyFill="1" applyBorder="1" applyAlignment="1">
      <alignment vertical="top" wrapText="1"/>
    </xf>
    <xf numFmtId="164" fontId="8" fillId="17" borderId="10" xfId="0" applyNumberFormat="1" applyFont="1" applyFill="1" applyBorder="1" applyAlignment="1">
      <alignment vertical="top" wrapText="1"/>
    </xf>
    <xf numFmtId="164" fontId="8" fillId="17" borderId="13" xfId="0" applyNumberFormat="1" applyFont="1" applyFill="1" applyBorder="1" applyAlignment="1">
      <alignment vertical="top" wrapText="1"/>
    </xf>
    <xf numFmtId="0" fontId="2" fillId="12" borderId="0" xfId="0" applyFont="1" applyFill="1"/>
    <xf numFmtId="0" fontId="3" fillId="13" borderId="0" xfId="0" applyFont="1" applyFill="1"/>
    <xf numFmtId="0" fontId="2" fillId="12" borderId="0" xfId="0" applyFont="1" applyFill="1" applyAlignment="1">
      <alignment vertical="center"/>
    </xf>
    <xf numFmtId="0" fontId="3" fillId="13" borderId="0" xfId="0" applyFont="1" applyFill="1" applyAlignment="1">
      <alignment vertical="center" wrapText="1"/>
    </xf>
    <xf numFmtId="0" fontId="5" fillId="7" borderId="9" xfId="0" applyFont="1" applyFill="1" applyBorder="1" applyAlignment="1">
      <alignment horizontal="center" vertical="top" wrapText="1"/>
    </xf>
    <xf numFmtId="0" fontId="5" fillId="7" borderId="0" xfId="0" applyFont="1" applyFill="1" applyAlignment="1">
      <alignment vertical="top" wrapText="1"/>
    </xf>
    <xf numFmtId="164" fontId="5" fillId="7" borderId="0" xfId="0" applyNumberFormat="1" applyFont="1" applyFill="1" applyAlignment="1">
      <alignment horizontal="center" vertical="top" wrapText="1"/>
    </xf>
    <xf numFmtId="0" fontId="5" fillId="7" borderId="10" xfId="0" applyFont="1" applyFill="1" applyBorder="1" applyAlignment="1">
      <alignment vertical="top" wrapText="1"/>
    </xf>
    <xf numFmtId="0" fontId="0" fillId="0" borderId="0" xfId="0"/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8" fillId="17" borderId="1" xfId="0" applyFont="1" applyFill="1" applyBorder="1" applyAlignment="1">
      <alignment vertical="top" wrapText="1"/>
    </xf>
    <xf numFmtId="164" fontId="8" fillId="17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A2A00"/>
        <name val="Calibri"/>
        <family val="2"/>
        <scheme val="none"/>
      </font>
      <fill>
        <patternFill patternType="solid">
          <fgColor indexed="64"/>
          <bgColor rgb="FFE8B84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  <border diagonalUp="0" diagonalDown="0">
        <left/>
        <right style="hair">
          <color rgb="FFD5C9A6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numFmt numFmtId="164" formatCode="dd/mm/yyyy"/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numFmt numFmtId="164" formatCode="dd/mm/yyyy"/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3447"/>
        <name val="Calibri"/>
        <family val="2"/>
        <scheme val="none"/>
      </font>
      <fill>
        <patternFill patternType="solid">
          <fgColor indexed="64"/>
          <bgColor rgb="FFEAF2F8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rgb="FFD5C9A6"/>
        </left>
        <right/>
        <top/>
        <bottom/>
        <vertical/>
        <horizontal/>
      </border>
    </dxf>
    <dxf>
      <border outline="0">
        <bottom style="hair">
          <color rgb="FFD5C9A6"/>
        </bottom>
      </border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C6E0B4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sz val="9"/>
        <color rgb="FFC0392B"/>
        <name val="Arial"/>
      </font>
      <fill>
        <patternFill>
          <bgColor rgb="FFFBDDDC"/>
        </patternFill>
      </fill>
    </dxf>
    <dxf>
      <font>
        <b/>
        <sz val="9"/>
        <color rgb="FF1E7B34"/>
        <name val="Arial"/>
      </font>
      <fill>
        <patternFill>
          <bgColor rgb="FFE4F2E4"/>
        </patternFill>
      </fill>
    </dxf>
    <dxf>
      <font>
        <b/>
        <sz val="9"/>
        <color rgb="FFC0392B"/>
        <name val="Arial"/>
      </font>
      <fill>
        <patternFill>
          <bgColor rgb="FFFBDDD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sz val="9"/>
        <color rgb="FFC0392B"/>
        <name val="Arial"/>
      </font>
      <fill>
        <patternFill>
          <bgColor rgb="FFFBDDDC"/>
        </patternFill>
      </fill>
    </dxf>
    <dxf>
      <font>
        <b/>
        <sz val="9"/>
        <color rgb="FF1E7B34"/>
        <name val="Arial"/>
      </font>
      <fill>
        <patternFill>
          <bgColor rgb="FFE4F2E4"/>
        </patternFill>
      </fill>
    </dxf>
    <dxf>
      <fill>
        <patternFill>
          <bgColor rgb="FFE8EDF5"/>
        </patternFill>
      </fill>
    </dxf>
    <dxf>
      <fill>
        <patternFill>
          <bgColor rgb="FFD6E4F7"/>
        </patternFill>
      </fill>
    </dxf>
    <dxf>
      <font>
        <b/>
        <sz val="9"/>
        <color rgb="FFFFFFFF"/>
        <name val="Arial"/>
      </font>
      <fill>
        <patternFill>
          <bgColor rgb="FF12294D"/>
        </patternFill>
      </fill>
    </dxf>
    <dxf>
      <fill>
        <patternFill>
          <bgColor rgb="FFFBDD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98600"/>
      <rgbColor rgb="FF800080"/>
      <rgbColor rgb="FF008080"/>
      <rgbColor rgb="FFD6E4F7"/>
      <rgbColor rgb="FF808080"/>
      <rgbColor rgb="FF9999FF"/>
      <rgbColor rgb="FF993366"/>
      <rgbColor rgb="FFFFF6DC"/>
      <rgbColor rgb="FFE8EDF5"/>
      <rgbColor rgb="FF660066"/>
      <rgbColor rgb="FFFF8080"/>
      <rgbColor rgb="FF0066CC"/>
      <rgbColor rgb="FFC9D3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E4F2E4"/>
      <rgbColor rgb="FFF4F6FA"/>
      <rgbColor rgb="FF99CCFF"/>
      <rgbColor rgb="FFFF99CC"/>
      <rgbColor rgb="FFCC99FF"/>
      <rgbColor rgb="FFFBDDDC"/>
      <rgbColor rgb="FF3366FF"/>
      <rgbColor rgb="FF33CCCC"/>
      <rgbColor rgb="FF99CC00"/>
      <rgbColor rgb="FFFFC000"/>
      <rgbColor rgb="FFFF9900"/>
      <rgbColor rgb="FFFF6600"/>
      <rgbColor rgb="FF5A6472"/>
      <rgbColor rgb="FF969696"/>
      <rgbColor rgb="FF12294D"/>
      <rgbColor rgb="FF339966"/>
      <rgbColor rgb="FF003300"/>
      <rgbColor rgb="FF333300"/>
      <rgbColor rgb="FFC0392B"/>
      <rgbColor rgb="FF993366"/>
      <rgbColor rgb="FF1F3A6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6EFDE-A5D2-40A7-BD44-E170AC51F051}" name="Tabla1" displayName="Tabla1" ref="A4:M40" totalsRowShown="0" headerRowDxfId="0" dataDxfId="1" tableBorderDxfId="15">
  <autoFilter ref="A4:M40" xr:uid="{4C96EFDE-A5D2-40A7-BD44-E170AC51F051}"/>
  <tableColumns count="13">
    <tableColumn id="1" xr3:uid="{3654A4B2-9943-4753-9A03-908DDB6D65C2}" name="ID requisito" dataDxfId="14"/>
    <tableColumn id="2" xr3:uid="{24BDB279-7CE7-451A-A53C-6FDB77AF22B2}" name="HU" dataDxfId="13"/>
    <tableColumn id="3" xr3:uid="{243CCEEF-D3E6-46BC-B2B4-16FA11186288}" name="EDT" dataDxfId="12"/>
    <tableColumn id="4" xr3:uid="{DC1540D4-A6BE-441B-94E2-C2324096B1FB}" name="Nombre" dataDxfId="11"/>
    <tableColumn id="5" xr3:uid="{76321B8C-BE27-497D-8375-85EC059E0AF3}" name="Tipo" dataDxfId="10"/>
    <tableColumn id="6" xr3:uid="{C31AFFC6-E252-41C8-A7A0-D5184F099561}" name="Fuente" dataDxfId="9"/>
    <tableColumn id="7" xr3:uid="{0DA3576A-FB1E-41D9-B074-285FEA2BEAFD}" name="Sprint / periodo" dataDxfId="8"/>
    <tableColumn id="8" xr3:uid="{FB529470-0ABB-482A-9B03-E6F26D23584D}" name="Fecha inicio" dataDxfId="7"/>
    <tableColumn id="9" xr3:uid="{2F6200D2-C707-4AE8-999D-4FD5ACECF4AA}" name="Fecha fin" dataDxfId="6">
      <calculatedColumnFormula>IF(A5="","",IF(AND(C5&lt;&gt;"",E5&lt;&gt;"",F5&lt;&gt;"SIN PRUEBA",G5&lt;&gt;""),"Completa","Incompleta"))</calculatedColumnFormula>
    </tableColumn>
    <tableColumn id="10" xr3:uid="{EF85C44D-0940-40F2-95AF-51CD0572B3A1}" name="Caso de prueba" dataDxfId="5"/>
    <tableColumn id="11" xr3:uid="{86BC69E1-6B5C-403F-AA89-23FA188B2E5B}" name="Entregable / evidencia" dataDxfId="4"/>
    <tableColumn id="12" xr3:uid="{63AC5170-5656-4EFE-910A-7F00FCCA62ED}" name="Estado" dataDxfId="3"/>
    <tableColumn id="13" xr3:uid="{37D84F37-496E-4B67-9DEA-99694A358610}" name="Trazabilid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66"/>
  </sheetPr>
  <dimension ref="A1:G19"/>
  <sheetViews>
    <sheetView showGridLines="0" workbookViewId="0">
      <selection activeCell="C12" sqref="C12"/>
    </sheetView>
  </sheetViews>
  <sheetFormatPr baseColWidth="10" defaultColWidth="8.7109375" defaultRowHeight="15" x14ac:dyDescent="0.25"/>
  <cols>
    <col min="1" max="1" width="10" customWidth="1"/>
    <col min="2" max="2" width="25" customWidth="1"/>
    <col min="3" max="3" width="55" customWidth="1"/>
    <col min="4" max="4" width="12" customWidth="1"/>
    <col min="5" max="5" width="35" customWidth="1"/>
    <col min="6" max="6" width="45" customWidth="1"/>
    <col min="7" max="7" width="20" customWidth="1"/>
  </cols>
  <sheetData>
    <row r="1" spans="1:7" ht="30" customHeight="1" x14ac:dyDescent="0.3">
      <c r="A1" s="67" t="s">
        <v>0</v>
      </c>
      <c r="B1" s="67"/>
      <c r="C1" s="67"/>
      <c r="D1" s="67"/>
      <c r="E1" s="67"/>
      <c r="F1" s="67"/>
      <c r="G1" s="67"/>
    </row>
    <row r="2" spans="1:7" ht="18" customHeight="1" x14ac:dyDescent="0.25">
      <c r="A2" s="68" t="s">
        <v>1</v>
      </c>
      <c r="B2" s="68"/>
      <c r="C2" s="68"/>
      <c r="D2" s="68"/>
      <c r="E2" s="68"/>
      <c r="F2" s="68"/>
      <c r="G2" s="68"/>
    </row>
    <row r="4" spans="1:7" ht="27.75" customHeight="1" x14ac:dyDescent="0.25">
      <c r="A4" s="59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</row>
    <row r="5" spans="1:7" ht="45" customHeight="1" x14ac:dyDescent="0.25">
      <c r="A5" s="60" t="s">
        <v>9</v>
      </c>
      <c r="B5" s="1" t="s">
        <v>747</v>
      </c>
      <c r="C5" s="60" t="s">
        <v>11</v>
      </c>
      <c r="D5" s="60" t="s">
        <v>12</v>
      </c>
      <c r="E5" s="60" t="s">
        <v>13</v>
      </c>
      <c r="F5" s="60" t="s">
        <v>14</v>
      </c>
      <c r="G5" s="60" t="s">
        <v>15</v>
      </c>
    </row>
    <row r="6" spans="1:7" ht="45" customHeight="1" x14ac:dyDescent="0.25">
      <c r="A6" s="60" t="s">
        <v>16</v>
      </c>
      <c r="B6" s="1" t="s">
        <v>748</v>
      </c>
      <c r="C6" s="60" t="s">
        <v>18</v>
      </c>
      <c r="D6" s="60" t="s">
        <v>12</v>
      </c>
      <c r="E6" s="60" t="s">
        <v>19</v>
      </c>
      <c r="F6" s="60" t="s">
        <v>20</v>
      </c>
      <c r="G6" s="60" t="s">
        <v>21</v>
      </c>
    </row>
    <row r="7" spans="1:7" ht="45" customHeight="1" x14ac:dyDescent="0.25">
      <c r="A7" s="60" t="s">
        <v>22</v>
      </c>
      <c r="B7" s="1" t="s">
        <v>749</v>
      </c>
      <c r="C7" s="60" t="s">
        <v>24</v>
      </c>
      <c r="D7" s="60" t="s">
        <v>12</v>
      </c>
      <c r="E7" s="60" t="s">
        <v>25</v>
      </c>
      <c r="F7" s="60" t="s">
        <v>26</v>
      </c>
      <c r="G7" s="60" t="s">
        <v>21</v>
      </c>
    </row>
    <row r="8" spans="1:7" ht="45" customHeight="1" x14ac:dyDescent="0.25">
      <c r="A8" s="60" t="s">
        <v>27</v>
      </c>
      <c r="B8" s="1" t="s">
        <v>750</v>
      </c>
      <c r="C8" s="60" t="s">
        <v>28</v>
      </c>
      <c r="D8" s="60" t="s">
        <v>29</v>
      </c>
      <c r="E8" s="60" t="s">
        <v>30</v>
      </c>
      <c r="F8" s="60" t="s">
        <v>31</v>
      </c>
      <c r="G8" s="60" t="s">
        <v>32</v>
      </c>
    </row>
    <row r="9" spans="1:7" ht="45" customHeight="1" x14ac:dyDescent="0.25">
      <c r="A9" s="60" t="s">
        <v>33</v>
      </c>
      <c r="B9" s="1" t="s">
        <v>751</v>
      </c>
      <c r="C9" s="60" t="s">
        <v>34</v>
      </c>
      <c r="D9" s="60" t="s">
        <v>12</v>
      </c>
      <c r="E9" s="60" t="s">
        <v>35</v>
      </c>
      <c r="F9" s="60" t="s">
        <v>36</v>
      </c>
      <c r="G9" s="60" t="s">
        <v>37</v>
      </c>
    </row>
    <row r="10" spans="1:7" ht="45" customHeight="1" x14ac:dyDescent="0.25">
      <c r="A10" s="60" t="s">
        <v>38</v>
      </c>
      <c r="B10" s="2" t="s">
        <v>752</v>
      </c>
      <c r="C10" s="60" t="s">
        <v>40</v>
      </c>
      <c r="D10" s="60" t="s">
        <v>12</v>
      </c>
      <c r="E10" s="60" t="s">
        <v>41</v>
      </c>
      <c r="F10" s="60" t="s">
        <v>42</v>
      </c>
      <c r="G10" s="60" t="s">
        <v>43</v>
      </c>
    </row>
    <row r="11" spans="1:7" ht="45" customHeight="1" x14ac:dyDescent="0.25">
      <c r="A11" s="61" t="s">
        <v>44</v>
      </c>
      <c r="B11" s="61" t="s">
        <v>45</v>
      </c>
      <c r="C11" s="61" t="s">
        <v>46</v>
      </c>
      <c r="D11" s="61" t="s">
        <v>29</v>
      </c>
      <c r="E11" s="61" t="s">
        <v>47</v>
      </c>
      <c r="F11" s="61" t="s">
        <v>48</v>
      </c>
      <c r="G11" s="61" t="s">
        <v>49</v>
      </c>
    </row>
    <row r="12" spans="1:7" ht="25.5" customHeight="1" x14ac:dyDescent="0.25"/>
    <row r="13" spans="1:7" ht="25.5" customHeight="1" x14ac:dyDescent="0.25"/>
    <row r="14" spans="1:7" ht="25.5" customHeight="1" x14ac:dyDescent="0.25"/>
    <row r="15" spans="1:7" ht="25.5" customHeight="1" x14ac:dyDescent="0.25"/>
    <row r="16" spans="1:7" ht="25.5" customHeight="1" x14ac:dyDescent="0.25"/>
    <row r="17" ht="25.5" customHeight="1" x14ac:dyDescent="0.25"/>
    <row r="18" ht="25.5" customHeight="1" x14ac:dyDescent="0.25"/>
    <row r="19" ht="25.5" customHeight="1" x14ac:dyDescent="0.25"/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66"/>
  </sheetPr>
  <dimension ref="A1:G21"/>
  <sheetViews>
    <sheetView showGridLines="0" tabSelected="1" topLeftCell="A7" workbookViewId="0">
      <selection sqref="A1:G1"/>
    </sheetView>
  </sheetViews>
  <sheetFormatPr baseColWidth="10" defaultColWidth="8.7109375" defaultRowHeight="15" x14ac:dyDescent="0.25"/>
  <cols>
    <col min="1" max="1" width="10" customWidth="1"/>
    <col min="2" max="2" width="28" customWidth="1"/>
    <col min="3" max="3" width="60" customWidth="1"/>
    <col min="4" max="4" width="17" customWidth="1"/>
    <col min="5" max="5" width="43" customWidth="1"/>
    <col min="6" max="6" width="30" customWidth="1"/>
    <col min="7" max="7" width="25" customWidth="1"/>
  </cols>
  <sheetData>
    <row r="1" spans="1:7" ht="30" customHeight="1" x14ac:dyDescent="0.3">
      <c r="A1" s="67" t="s">
        <v>50</v>
      </c>
      <c r="B1" s="67"/>
      <c r="C1" s="67"/>
      <c r="D1" s="67"/>
      <c r="E1" s="67"/>
      <c r="F1" s="67"/>
      <c r="G1" s="67"/>
    </row>
    <row r="2" spans="1:7" ht="18" customHeight="1" x14ac:dyDescent="0.25">
      <c r="A2" s="68" t="s">
        <v>51</v>
      </c>
      <c r="B2" s="68"/>
      <c r="C2" s="68"/>
      <c r="D2" s="68"/>
      <c r="E2" s="68"/>
      <c r="F2" s="68"/>
      <c r="G2" s="68"/>
    </row>
    <row r="4" spans="1:7" ht="27.75" customHeight="1" x14ac:dyDescent="0.25">
      <c r="A4" s="59" t="s">
        <v>2</v>
      </c>
      <c r="B4" s="59" t="s">
        <v>52</v>
      </c>
      <c r="C4" s="59" t="s">
        <v>53</v>
      </c>
      <c r="D4" s="59" t="s">
        <v>54</v>
      </c>
      <c r="E4" s="59" t="s">
        <v>55</v>
      </c>
      <c r="F4" s="59" t="s">
        <v>56</v>
      </c>
      <c r="G4" s="59" t="s">
        <v>6</v>
      </c>
    </row>
    <row r="5" spans="1:7" ht="42" customHeight="1" x14ac:dyDescent="0.25">
      <c r="A5" s="60" t="s">
        <v>57</v>
      </c>
      <c r="B5" s="60" t="s">
        <v>58</v>
      </c>
      <c r="C5" s="60" t="s">
        <v>59</v>
      </c>
      <c r="D5" s="60" t="s">
        <v>60</v>
      </c>
      <c r="E5" s="60" t="s">
        <v>61</v>
      </c>
      <c r="F5" s="60" t="s">
        <v>62</v>
      </c>
      <c r="G5" s="60" t="s">
        <v>63</v>
      </c>
    </row>
    <row r="6" spans="1:7" ht="42" customHeight="1" x14ac:dyDescent="0.25">
      <c r="A6" s="60" t="s">
        <v>64</v>
      </c>
      <c r="B6" s="60" t="s">
        <v>65</v>
      </c>
      <c r="C6" s="60" t="s">
        <v>66</v>
      </c>
      <c r="D6" s="60" t="s">
        <v>67</v>
      </c>
      <c r="E6" s="60" t="s">
        <v>68</v>
      </c>
      <c r="F6" s="60" t="s">
        <v>69</v>
      </c>
      <c r="G6" s="60" t="s">
        <v>70</v>
      </c>
    </row>
    <row r="7" spans="1:7" ht="42" customHeight="1" x14ac:dyDescent="0.25">
      <c r="A7" s="60" t="s">
        <v>71</v>
      </c>
      <c r="B7" s="60" t="s">
        <v>72</v>
      </c>
      <c r="C7" s="60" t="s">
        <v>73</v>
      </c>
      <c r="D7" s="60" t="s">
        <v>74</v>
      </c>
      <c r="E7" s="60" t="s">
        <v>75</v>
      </c>
      <c r="F7" s="60" t="s">
        <v>76</v>
      </c>
      <c r="G7" s="60" t="s">
        <v>77</v>
      </c>
    </row>
    <row r="8" spans="1:7" ht="42" customHeight="1" x14ac:dyDescent="0.25">
      <c r="A8" s="60" t="s">
        <v>78</v>
      </c>
      <c r="B8" s="60" t="s">
        <v>79</v>
      </c>
      <c r="C8" s="60" t="s">
        <v>80</v>
      </c>
      <c r="D8" s="60" t="s">
        <v>81</v>
      </c>
      <c r="E8" s="60" t="s">
        <v>82</v>
      </c>
      <c r="F8" s="60" t="s">
        <v>83</v>
      </c>
      <c r="G8" s="60" t="s">
        <v>84</v>
      </c>
    </row>
    <row r="9" spans="1:7" ht="42" customHeight="1" x14ac:dyDescent="0.25">
      <c r="A9" s="60" t="s">
        <v>85</v>
      </c>
      <c r="B9" s="60" t="s">
        <v>86</v>
      </c>
      <c r="C9" s="60" t="s">
        <v>87</v>
      </c>
      <c r="D9" s="60" t="s">
        <v>88</v>
      </c>
      <c r="E9" s="60" t="s">
        <v>89</v>
      </c>
      <c r="F9" s="60" t="s">
        <v>90</v>
      </c>
      <c r="G9" s="60" t="s">
        <v>91</v>
      </c>
    </row>
    <row r="10" spans="1:7" ht="42" customHeight="1" x14ac:dyDescent="0.25">
      <c r="A10" s="60" t="s">
        <v>92</v>
      </c>
      <c r="B10" s="60" t="s">
        <v>93</v>
      </c>
      <c r="C10" s="60" t="s">
        <v>94</v>
      </c>
      <c r="D10" s="60" t="s">
        <v>95</v>
      </c>
      <c r="E10" s="60" t="s">
        <v>96</v>
      </c>
      <c r="F10" s="60" t="s">
        <v>97</v>
      </c>
      <c r="G10" s="60" t="s">
        <v>98</v>
      </c>
    </row>
    <row r="11" spans="1:7" ht="42" customHeight="1" x14ac:dyDescent="0.25">
      <c r="A11" s="60" t="s">
        <v>99</v>
      </c>
      <c r="B11" s="60" t="s">
        <v>100</v>
      </c>
      <c r="C11" s="60" t="s">
        <v>101</v>
      </c>
      <c r="D11" s="60" t="s">
        <v>102</v>
      </c>
      <c r="E11" s="60" t="s">
        <v>103</v>
      </c>
      <c r="F11" s="60" t="s">
        <v>104</v>
      </c>
      <c r="G11" s="60" t="s">
        <v>105</v>
      </c>
    </row>
    <row r="12" spans="1:7" ht="42" customHeight="1" x14ac:dyDescent="0.25">
      <c r="A12" s="60" t="s">
        <v>106</v>
      </c>
      <c r="B12" s="60" t="s">
        <v>107</v>
      </c>
      <c r="C12" s="60" t="s">
        <v>108</v>
      </c>
      <c r="D12" s="60" t="s">
        <v>109</v>
      </c>
      <c r="E12" s="60" t="s">
        <v>110</v>
      </c>
      <c r="F12" s="60" t="s">
        <v>111</v>
      </c>
      <c r="G12" s="60" t="s">
        <v>112</v>
      </c>
    </row>
    <row r="13" spans="1:7" ht="42" customHeight="1" x14ac:dyDescent="0.25">
      <c r="A13" s="60" t="s">
        <v>113</v>
      </c>
      <c r="B13" s="60" t="s">
        <v>114</v>
      </c>
      <c r="C13" s="60" t="s">
        <v>115</v>
      </c>
      <c r="D13" s="60" t="s">
        <v>116</v>
      </c>
      <c r="E13" s="60" t="s">
        <v>117</v>
      </c>
      <c r="F13" s="60" t="s">
        <v>118</v>
      </c>
      <c r="G13" s="60" t="s">
        <v>119</v>
      </c>
    </row>
    <row r="14" spans="1:7" ht="42" customHeight="1" x14ac:dyDescent="0.25">
      <c r="A14" s="60" t="s">
        <v>120</v>
      </c>
      <c r="B14" s="60" t="s">
        <v>121</v>
      </c>
      <c r="C14" s="60" t="s">
        <v>122</v>
      </c>
      <c r="D14" s="60" t="s">
        <v>123</v>
      </c>
      <c r="E14" s="60" t="s">
        <v>124</v>
      </c>
      <c r="F14" s="60" t="s">
        <v>125</v>
      </c>
      <c r="G14" s="60" t="s">
        <v>126</v>
      </c>
    </row>
    <row r="15" spans="1:7" ht="42" customHeight="1" x14ac:dyDescent="0.25">
      <c r="A15" s="61" t="s">
        <v>127</v>
      </c>
      <c r="B15" s="61" t="s">
        <v>128</v>
      </c>
      <c r="C15" s="61" t="s">
        <v>129</v>
      </c>
      <c r="D15" s="61" t="s">
        <v>130</v>
      </c>
      <c r="E15" s="61" t="s">
        <v>131</v>
      </c>
      <c r="F15" s="61" t="s">
        <v>132</v>
      </c>
      <c r="G15" s="61" t="s">
        <v>133</v>
      </c>
    </row>
    <row r="16" spans="1:7" ht="25.5" customHeight="1" x14ac:dyDescent="0.25"/>
    <row r="17" ht="25.5" customHeight="1" x14ac:dyDescent="0.25"/>
    <row r="18" ht="25.5" customHeight="1" x14ac:dyDescent="0.25"/>
    <row r="19" ht="25.5" customHeight="1" x14ac:dyDescent="0.25"/>
    <row r="20" ht="25.5" customHeight="1" x14ac:dyDescent="0.25"/>
    <row r="21" ht="25.5" customHeight="1" x14ac:dyDescent="0.25"/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R60"/>
  <sheetViews>
    <sheetView showGridLines="0" topLeftCell="A26" zoomScale="145" zoomScaleNormal="145" workbookViewId="0">
      <selection activeCell="A40" sqref="A40"/>
    </sheetView>
  </sheetViews>
  <sheetFormatPr baseColWidth="10" defaultColWidth="8.7109375" defaultRowHeight="15" x14ac:dyDescent="0.25"/>
  <cols>
    <col min="1" max="1" width="10" customWidth="1"/>
    <col min="2" max="2" width="8" customWidth="1"/>
    <col min="3" max="3" width="17" customWidth="1"/>
    <col min="4" max="4" width="29" customWidth="1"/>
    <col min="5" max="5" width="58" customWidth="1"/>
    <col min="6" max="6" width="16" customWidth="1"/>
    <col min="7" max="8" width="20" customWidth="1"/>
    <col min="9" max="9" width="62" customWidth="1"/>
    <col min="10" max="10" width="11" customWidth="1"/>
    <col min="11" max="11" width="46" customWidth="1"/>
    <col min="12" max="12" width="25" customWidth="1"/>
    <col min="13" max="13" width="21" customWidth="1"/>
    <col min="14" max="14" width="13" customWidth="1"/>
    <col min="15" max="15" width="20" customWidth="1"/>
    <col min="16" max="17" width="13" customWidth="1"/>
    <col min="18" max="18" width="40" customWidth="1"/>
  </cols>
  <sheetData>
    <row r="1" spans="1:18" ht="26.1" customHeight="1" x14ac:dyDescent="0.25">
      <c r="A1" s="69" t="s">
        <v>134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30" customHeight="1" x14ac:dyDescent="0.25">
      <c r="A2" s="70" t="s">
        <v>135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4" spans="1:18" ht="33.950000000000003" customHeight="1" x14ac:dyDescent="0.25">
      <c r="A4" s="36" t="s">
        <v>2</v>
      </c>
      <c r="B4" s="37" t="s">
        <v>136</v>
      </c>
      <c r="C4" s="37" t="s">
        <v>137</v>
      </c>
      <c r="D4" s="37" t="s">
        <v>52</v>
      </c>
      <c r="E4" s="37" t="s">
        <v>138</v>
      </c>
      <c r="F4" s="37" t="s">
        <v>54</v>
      </c>
      <c r="G4" s="37" t="s">
        <v>139</v>
      </c>
      <c r="H4" s="37" t="s">
        <v>140</v>
      </c>
      <c r="I4" s="37" t="s">
        <v>141</v>
      </c>
      <c r="J4" s="37" t="s">
        <v>142</v>
      </c>
      <c r="K4" s="37" t="s">
        <v>143</v>
      </c>
      <c r="L4" s="37" t="s">
        <v>144</v>
      </c>
      <c r="M4" s="37" t="s">
        <v>145</v>
      </c>
      <c r="N4" s="37" t="s">
        <v>146</v>
      </c>
      <c r="O4" s="37" t="s">
        <v>147</v>
      </c>
      <c r="P4" s="37" t="s">
        <v>148</v>
      </c>
      <c r="Q4" s="37" t="s">
        <v>149</v>
      </c>
      <c r="R4" s="38" t="s">
        <v>150</v>
      </c>
    </row>
    <row r="5" spans="1:18" ht="57.95" customHeight="1" x14ac:dyDescent="0.25">
      <c r="A5" s="39" t="s">
        <v>151</v>
      </c>
      <c r="B5" s="40" t="s">
        <v>152</v>
      </c>
      <c r="C5" s="40" t="s">
        <v>153</v>
      </c>
      <c r="D5" s="40" t="s">
        <v>154</v>
      </c>
      <c r="E5" s="40" t="s">
        <v>155</v>
      </c>
      <c r="F5" s="40" t="s">
        <v>156</v>
      </c>
      <c r="G5" s="40" t="s">
        <v>10</v>
      </c>
      <c r="H5" s="40" t="s">
        <v>157</v>
      </c>
      <c r="I5" s="40" t="s">
        <v>158</v>
      </c>
      <c r="J5" s="40" t="s">
        <v>159</v>
      </c>
      <c r="K5" s="40" t="s">
        <v>160</v>
      </c>
      <c r="L5" s="40" t="s">
        <v>161</v>
      </c>
      <c r="M5" s="40" t="s">
        <v>162</v>
      </c>
      <c r="N5" s="40" t="s">
        <v>163</v>
      </c>
      <c r="O5" s="40" t="s">
        <v>15</v>
      </c>
      <c r="P5" s="41">
        <v>46271</v>
      </c>
      <c r="Q5" s="41">
        <v>46271</v>
      </c>
      <c r="R5" s="42" t="s">
        <v>164</v>
      </c>
    </row>
    <row r="6" spans="1:18" ht="57.95" customHeight="1" x14ac:dyDescent="0.25">
      <c r="A6" s="47" t="s">
        <v>165</v>
      </c>
      <c r="B6" s="48" t="s">
        <v>166</v>
      </c>
      <c r="C6" s="48" t="s">
        <v>167</v>
      </c>
      <c r="D6" s="48" t="s">
        <v>168</v>
      </c>
      <c r="E6" s="48" t="s">
        <v>169</v>
      </c>
      <c r="F6" s="48" t="s">
        <v>156</v>
      </c>
      <c r="G6" s="48" t="s">
        <v>10</v>
      </c>
      <c r="H6" s="48" t="s">
        <v>157</v>
      </c>
      <c r="I6" s="48" t="s">
        <v>170</v>
      </c>
      <c r="J6" s="48" t="s">
        <v>159</v>
      </c>
      <c r="K6" s="48" t="s">
        <v>171</v>
      </c>
      <c r="L6" s="48" t="s">
        <v>172</v>
      </c>
      <c r="M6" s="48" t="s">
        <v>162</v>
      </c>
      <c r="N6" s="48" t="s">
        <v>163</v>
      </c>
      <c r="O6" s="48" t="s">
        <v>15</v>
      </c>
      <c r="P6" s="49">
        <v>46271</v>
      </c>
      <c r="Q6" s="49">
        <v>46271</v>
      </c>
      <c r="R6" s="50" t="s">
        <v>173</v>
      </c>
    </row>
    <row r="7" spans="1:18" ht="57.95" customHeight="1" x14ac:dyDescent="0.25">
      <c r="A7" s="43" t="s">
        <v>174</v>
      </c>
      <c r="B7" s="44" t="s">
        <v>162</v>
      </c>
      <c r="C7" s="44" t="s">
        <v>175</v>
      </c>
      <c r="D7" s="44" t="s">
        <v>176</v>
      </c>
      <c r="E7" s="44" t="s">
        <v>177</v>
      </c>
      <c r="F7" s="44" t="s">
        <v>156</v>
      </c>
      <c r="G7" s="44" t="s">
        <v>10</v>
      </c>
      <c r="H7" s="44" t="s">
        <v>157</v>
      </c>
      <c r="I7" s="44" t="s">
        <v>178</v>
      </c>
      <c r="J7" s="44" t="s">
        <v>159</v>
      </c>
      <c r="K7" s="44" t="s">
        <v>179</v>
      </c>
      <c r="L7" s="44" t="s">
        <v>180</v>
      </c>
      <c r="M7" s="44" t="s">
        <v>133</v>
      </c>
      <c r="N7" s="44" t="s">
        <v>163</v>
      </c>
      <c r="O7" s="44" t="s">
        <v>15</v>
      </c>
      <c r="P7" s="45">
        <v>46270</v>
      </c>
      <c r="Q7" s="45">
        <v>46271</v>
      </c>
      <c r="R7" s="46" t="s">
        <v>181</v>
      </c>
    </row>
    <row r="8" spans="1:18" ht="57.95" customHeight="1" x14ac:dyDescent="0.25">
      <c r="A8" s="47" t="s">
        <v>182</v>
      </c>
      <c r="B8" s="48" t="s">
        <v>183</v>
      </c>
      <c r="C8" s="48" t="s">
        <v>184</v>
      </c>
      <c r="D8" s="48" t="s">
        <v>185</v>
      </c>
      <c r="E8" s="48" t="s">
        <v>186</v>
      </c>
      <c r="F8" s="48" t="s">
        <v>156</v>
      </c>
      <c r="G8" s="48" t="s">
        <v>17</v>
      </c>
      <c r="H8" s="48" t="s">
        <v>157</v>
      </c>
      <c r="I8" s="48" t="s">
        <v>187</v>
      </c>
      <c r="J8" s="48" t="s">
        <v>159</v>
      </c>
      <c r="K8" s="48" t="s">
        <v>188</v>
      </c>
      <c r="L8" s="48" t="s">
        <v>189</v>
      </c>
      <c r="M8" s="48" t="s">
        <v>133</v>
      </c>
      <c r="N8" s="48" t="s">
        <v>163</v>
      </c>
      <c r="O8" s="48" t="s">
        <v>190</v>
      </c>
      <c r="P8" s="49">
        <v>46274</v>
      </c>
      <c r="Q8" s="49">
        <v>46275</v>
      </c>
      <c r="R8" s="50" t="s">
        <v>191</v>
      </c>
    </row>
    <row r="9" spans="1:18" ht="57.95" customHeight="1" x14ac:dyDescent="0.25">
      <c r="A9" s="43" t="s">
        <v>192</v>
      </c>
      <c r="B9" s="44" t="s">
        <v>193</v>
      </c>
      <c r="C9" s="44" t="s">
        <v>194</v>
      </c>
      <c r="D9" s="44" t="s">
        <v>195</v>
      </c>
      <c r="E9" s="44" t="s">
        <v>196</v>
      </c>
      <c r="F9" s="44" t="s">
        <v>156</v>
      </c>
      <c r="G9" s="44" t="s">
        <v>17</v>
      </c>
      <c r="H9" s="44" t="s">
        <v>157</v>
      </c>
      <c r="I9" s="44" t="s">
        <v>197</v>
      </c>
      <c r="J9" s="44" t="s">
        <v>159</v>
      </c>
      <c r="K9" s="44" t="s">
        <v>198</v>
      </c>
      <c r="L9" s="44" t="s">
        <v>199</v>
      </c>
      <c r="M9" s="44" t="s">
        <v>133</v>
      </c>
      <c r="N9" s="44" t="s">
        <v>163</v>
      </c>
      <c r="O9" s="44" t="s">
        <v>190</v>
      </c>
      <c r="P9" s="45">
        <v>46275</v>
      </c>
      <c r="Q9" s="45">
        <v>46276</v>
      </c>
      <c r="R9" s="46" t="s">
        <v>200</v>
      </c>
    </row>
    <row r="10" spans="1:18" ht="57.95" customHeight="1" x14ac:dyDescent="0.25">
      <c r="A10" s="47" t="s">
        <v>201</v>
      </c>
      <c r="B10" s="48" t="s">
        <v>202</v>
      </c>
      <c r="C10" s="48" t="s">
        <v>203</v>
      </c>
      <c r="D10" s="48" t="s">
        <v>204</v>
      </c>
      <c r="E10" s="48" t="s">
        <v>205</v>
      </c>
      <c r="F10" s="48" t="s">
        <v>156</v>
      </c>
      <c r="G10" s="48" t="s">
        <v>17</v>
      </c>
      <c r="H10" s="48" t="s">
        <v>157</v>
      </c>
      <c r="I10" s="48" t="s">
        <v>206</v>
      </c>
      <c r="J10" s="48" t="s">
        <v>159</v>
      </c>
      <c r="K10" s="48" t="s">
        <v>207</v>
      </c>
      <c r="L10" s="48" t="s">
        <v>208</v>
      </c>
      <c r="M10" s="48" t="s">
        <v>133</v>
      </c>
      <c r="N10" s="48" t="s">
        <v>163</v>
      </c>
      <c r="O10" s="48" t="s">
        <v>190</v>
      </c>
      <c r="P10" s="49">
        <v>46276</v>
      </c>
      <c r="Q10" s="49">
        <v>46276</v>
      </c>
      <c r="R10" s="50" t="s">
        <v>209</v>
      </c>
    </row>
    <row r="11" spans="1:18" ht="57.95" customHeight="1" x14ac:dyDescent="0.25">
      <c r="A11" s="43" t="s">
        <v>210</v>
      </c>
      <c r="B11" s="44" t="s">
        <v>211</v>
      </c>
      <c r="C11" s="44" t="s">
        <v>212</v>
      </c>
      <c r="D11" s="44" t="s">
        <v>213</v>
      </c>
      <c r="E11" s="44" t="s">
        <v>214</v>
      </c>
      <c r="F11" s="44" t="s">
        <v>156</v>
      </c>
      <c r="G11" s="44" t="s">
        <v>17</v>
      </c>
      <c r="H11" s="44" t="s">
        <v>157</v>
      </c>
      <c r="I11" s="44" t="s">
        <v>215</v>
      </c>
      <c r="J11" s="44" t="s">
        <v>159</v>
      </c>
      <c r="K11" s="44" t="s">
        <v>216</v>
      </c>
      <c r="L11" s="44" t="s">
        <v>217</v>
      </c>
      <c r="M11" s="44" t="s">
        <v>183</v>
      </c>
      <c r="N11" s="44" t="s">
        <v>163</v>
      </c>
      <c r="O11" s="44" t="s">
        <v>190</v>
      </c>
      <c r="P11" s="45">
        <v>46276</v>
      </c>
      <c r="Q11" s="45">
        <v>46277</v>
      </c>
      <c r="R11" s="46" t="s">
        <v>218</v>
      </c>
    </row>
    <row r="12" spans="1:18" ht="57.95" customHeight="1" x14ac:dyDescent="0.25">
      <c r="A12" s="47" t="s">
        <v>219</v>
      </c>
      <c r="B12" s="48" t="s">
        <v>220</v>
      </c>
      <c r="C12" s="48" t="s">
        <v>221</v>
      </c>
      <c r="D12" s="48" t="s">
        <v>222</v>
      </c>
      <c r="E12" s="48" t="s">
        <v>223</v>
      </c>
      <c r="F12" s="48" t="s">
        <v>156</v>
      </c>
      <c r="G12" s="48" t="s">
        <v>17</v>
      </c>
      <c r="H12" s="48" t="s">
        <v>157</v>
      </c>
      <c r="I12" s="48" t="s">
        <v>224</v>
      </c>
      <c r="J12" s="48" t="s">
        <v>159</v>
      </c>
      <c r="K12" s="48" t="s">
        <v>225</v>
      </c>
      <c r="L12" s="48" t="s">
        <v>226</v>
      </c>
      <c r="M12" s="48" t="s">
        <v>227</v>
      </c>
      <c r="N12" s="48" t="s">
        <v>163</v>
      </c>
      <c r="O12" s="48" t="s">
        <v>190</v>
      </c>
      <c r="P12" s="49">
        <v>46277</v>
      </c>
      <c r="Q12" s="49">
        <v>46278</v>
      </c>
      <c r="R12" s="50" t="s">
        <v>228</v>
      </c>
    </row>
    <row r="13" spans="1:18" ht="57.95" customHeight="1" x14ac:dyDescent="0.25">
      <c r="A13" s="43" t="s">
        <v>229</v>
      </c>
      <c r="B13" s="44" t="s">
        <v>230</v>
      </c>
      <c r="C13" s="44" t="s">
        <v>231</v>
      </c>
      <c r="D13" s="44" t="s">
        <v>232</v>
      </c>
      <c r="E13" s="44" t="s">
        <v>233</v>
      </c>
      <c r="F13" s="44" t="s">
        <v>156</v>
      </c>
      <c r="G13" s="44" t="s">
        <v>23</v>
      </c>
      <c r="H13" s="44" t="s">
        <v>157</v>
      </c>
      <c r="I13" s="44" t="s">
        <v>234</v>
      </c>
      <c r="J13" s="44" t="s">
        <v>159</v>
      </c>
      <c r="K13" s="44" t="s">
        <v>235</v>
      </c>
      <c r="L13" s="44" t="s">
        <v>236</v>
      </c>
      <c r="M13" s="44" t="s">
        <v>237</v>
      </c>
      <c r="N13" s="44" t="s">
        <v>163</v>
      </c>
      <c r="O13" s="44" t="s">
        <v>190</v>
      </c>
      <c r="P13" s="45">
        <v>46276</v>
      </c>
      <c r="Q13" s="45">
        <v>46277</v>
      </c>
      <c r="R13" s="46" t="s">
        <v>238</v>
      </c>
    </row>
    <row r="14" spans="1:18" ht="57.95" customHeight="1" x14ac:dyDescent="0.25">
      <c r="A14" s="47" t="s">
        <v>239</v>
      </c>
      <c r="B14" s="48" t="s">
        <v>240</v>
      </c>
      <c r="C14" s="48" t="s">
        <v>241</v>
      </c>
      <c r="D14" s="48" t="s">
        <v>242</v>
      </c>
      <c r="E14" s="48" t="s">
        <v>243</v>
      </c>
      <c r="F14" s="48" t="s">
        <v>156</v>
      </c>
      <c r="G14" s="48" t="s">
        <v>23</v>
      </c>
      <c r="H14" s="48" t="s">
        <v>157</v>
      </c>
      <c r="I14" s="48" t="s">
        <v>244</v>
      </c>
      <c r="J14" s="48" t="s">
        <v>159</v>
      </c>
      <c r="K14" s="48" t="s">
        <v>245</v>
      </c>
      <c r="L14" s="48" t="s">
        <v>246</v>
      </c>
      <c r="M14" s="48" t="s">
        <v>227</v>
      </c>
      <c r="N14" s="48" t="s">
        <v>163</v>
      </c>
      <c r="O14" s="48" t="s">
        <v>190</v>
      </c>
      <c r="P14" s="49">
        <v>46277</v>
      </c>
      <c r="Q14" s="49">
        <v>46278</v>
      </c>
      <c r="R14" s="50" t="s">
        <v>247</v>
      </c>
    </row>
    <row r="15" spans="1:18" ht="57.95" customHeight="1" x14ac:dyDescent="0.25">
      <c r="A15" s="43" t="s">
        <v>248</v>
      </c>
      <c r="B15" s="44" t="s">
        <v>249</v>
      </c>
      <c r="C15" s="44" t="s">
        <v>250</v>
      </c>
      <c r="D15" s="44" t="s">
        <v>251</v>
      </c>
      <c r="E15" s="44" t="s">
        <v>252</v>
      </c>
      <c r="F15" s="44" t="s">
        <v>156</v>
      </c>
      <c r="G15" s="44" t="s">
        <v>23</v>
      </c>
      <c r="H15" s="44" t="s">
        <v>157</v>
      </c>
      <c r="I15" s="44" t="s">
        <v>253</v>
      </c>
      <c r="J15" s="44" t="s">
        <v>159</v>
      </c>
      <c r="K15" s="44" t="s">
        <v>254</v>
      </c>
      <c r="L15" s="44" t="s">
        <v>255</v>
      </c>
      <c r="M15" s="44" t="s">
        <v>183</v>
      </c>
      <c r="N15" s="44" t="s">
        <v>163</v>
      </c>
      <c r="O15" s="44" t="s">
        <v>256</v>
      </c>
      <c r="P15" s="45">
        <v>46281</v>
      </c>
      <c r="Q15" s="45">
        <v>46282</v>
      </c>
      <c r="R15" s="46" t="s">
        <v>257</v>
      </c>
    </row>
    <row r="16" spans="1:18" ht="57.95" customHeight="1" x14ac:dyDescent="0.25">
      <c r="A16" s="47" t="s">
        <v>258</v>
      </c>
      <c r="B16" s="48" t="s">
        <v>259</v>
      </c>
      <c r="C16" s="48" t="s">
        <v>260</v>
      </c>
      <c r="D16" s="48" t="s">
        <v>261</v>
      </c>
      <c r="E16" s="48" t="s">
        <v>262</v>
      </c>
      <c r="F16" s="48" t="s">
        <v>156</v>
      </c>
      <c r="G16" s="48" t="s">
        <v>17</v>
      </c>
      <c r="H16" s="48" t="s">
        <v>157</v>
      </c>
      <c r="I16" s="48" t="s">
        <v>263</v>
      </c>
      <c r="J16" s="48" t="s">
        <v>159</v>
      </c>
      <c r="K16" s="48" t="s">
        <v>264</v>
      </c>
      <c r="L16" s="48" t="s">
        <v>265</v>
      </c>
      <c r="M16" s="48" t="s">
        <v>77</v>
      </c>
      <c r="N16" s="48" t="s">
        <v>163</v>
      </c>
      <c r="O16" s="48" t="s">
        <v>256</v>
      </c>
      <c r="P16" s="49">
        <v>46285</v>
      </c>
      <c r="Q16" s="49">
        <v>46285</v>
      </c>
      <c r="R16" s="50" t="s">
        <v>266</v>
      </c>
    </row>
    <row r="17" spans="1:18" ht="57.95" customHeight="1" x14ac:dyDescent="0.25">
      <c r="A17" s="43" t="s">
        <v>69</v>
      </c>
      <c r="B17" s="44" t="s">
        <v>70</v>
      </c>
      <c r="C17" s="44" t="s">
        <v>267</v>
      </c>
      <c r="D17" s="44" t="s">
        <v>268</v>
      </c>
      <c r="E17" s="44" t="s">
        <v>269</v>
      </c>
      <c r="F17" s="44" t="s">
        <v>156</v>
      </c>
      <c r="G17" s="44" t="s">
        <v>23</v>
      </c>
      <c r="H17" s="44" t="s">
        <v>157</v>
      </c>
      <c r="I17" s="44" t="s">
        <v>270</v>
      </c>
      <c r="J17" s="44" t="s">
        <v>159</v>
      </c>
      <c r="K17" s="44" t="s">
        <v>271</v>
      </c>
      <c r="L17" s="44" t="s">
        <v>272</v>
      </c>
      <c r="M17" s="44" t="s">
        <v>249</v>
      </c>
      <c r="N17" s="44" t="s">
        <v>163</v>
      </c>
      <c r="O17" s="44" t="s">
        <v>256</v>
      </c>
      <c r="P17" s="45">
        <v>46282</v>
      </c>
      <c r="Q17" s="45">
        <v>46282</v>
      </c>
      <c r="R17" s="46" t="s">
        <v>273</v>
      </c>
    </row>
    <row r="18" spans="1:18" ht="57.95" customHeight="1" x14ac:dyDescent="0.25">
      <c r="A18" s="47" t="s">
        <v>76</v>
      </c>
      <c r="B18" s="48" t="s">
        <v>77</v>
      </c>
      <c r="C18" s="48" t="s">
        <v>274</v>
      </c>
      <c r="D18" s="48" t="s">
        <v>275</v>
      </c>
      <c r="E18" s="48" t="s">
        <v>276</v>
      </c>
      <c r="F18" s="48" t="s">
        <v>156</v>
      </c>
      <c r="G18" s="48" t="s">
        <v>23</v>
      </c>
      <c r="H18" s="48" t="s">
        <v>157</v>
      </c>
      <c r="I18" s="48" t="s">
        <v>277</v>
      </c>
      <c r="J18" s="48" t="s">
        <v>159</v>
      </c>
      <c r="K18" s="48" t="s">
        <v>278</v>
      </c>
      <c r="L18" s="48" t="s">
        <v>279</v>
      </c>
      <c r="M18" s="48" t="s">
        <v>280</v>
      </c>
      <c r="N18" s="48" t="s">
        <v>163</v>
      </c>
      <c r="O18" s="48" t="s">
        <v>256</v>
      </c>
      <c r="P18" s="49">
        <v>46283</v>
      </c>
      <c r="Q18" s="49">
        <v>46284</v>
      </c>
      <c r="R18" s="50" t="s">
        <v>281</v>
      </c>
    </row>
    <row r="19" spans="1:18" ht="57.95" customHeight="1" x14ac:dyDescent="0.25">
      <c r="A19" s="43" t="s">
        <v>282</v>
      </c>
      <c r="B19" s="44" t="s">
        <v>283</v>
      </c>
      <c r="C19" s="44" t="s">
        <v>284</v>
      </c>
      <c r="D19" s="44" t="s">
        <v>285</v>
      </c>
      <c r="E19" s="44" t="s">
        <v>286</v>
      </c>
      <c r="F19" s="44" t="s">
        <v>156</v>
      </c>
      <c r="G19" s="44" t="s">
        <v>17</v>
      </c>
      <c r="H19" s="44" t="s">
        <v>157</v>
      </c>
      <c r="I19" s="44" t="s">
        <v>287</v>
      </c>
      <c r="J19" s="44" t="s">
        <v>159</v>
      </c>
      <c r="K19" s="44" t="s">
        <v>288</v>
      </c>
      <c r="L19" s="44" t="s">
        <v>289</v>
      </c>
      <c r="M19" s="44" t="s">
        <v>249</v>
      </c>
      <c r="N19" s="44" t="s">
        <v>163</v>
      </c>
      <c r="O19" s="44" t="s">
        <v>256</v>
      </c>
      <c r="P19" s="45">
        <v>46283</v>
      </c>
      <c r="Q19" s="45">
        <v>46284</v>
      </c>
      <c r="R19" s="46" t="s">
        <v>290</v>
      </c>
    </row>
    <row r="20" spans="1:18" ht="57.95" customHeight="1" x14ac:dyDescent="0.25">
      <c r="A20" s="47" t="s">
        <v>291</v>
      </c>
      <c r="B20" s="48" t="s">
        <v>292</v>
      </c>
      <c r="C20" s="48" t="s">
        <v>293</v>
      </c>
      <c r="D20" s="48" t="s">
        <v>294</v>
      </c>
      <c r="E20" s="48" t="s">
        <v>295</v>
      </c>
      <c r="F20" s="48" t="s">
        <v>156</v>
      </c>
      <c r="G20" s="48" t="s">
        <v>23</v>
      </c>
      <c r="H20" s="48" t="s">
        <v>157</v>
      </c>
      <c r="I20" s="48" t="s">
        <v>296</v>
      </c>
      <c r="J20" s="48" t="s">
        <v>159</v>
      </c>
      <c r="K20" s="48" t="s">
        <v>297</v>
      </c>
      <c r="L20" s="48" t="s">
        <v>298</v>
      </c>
      <c r="M20" s="48" t="s">
        <v>249</v>
      </c>
      <c r="N20" s="48" t="s">
        <v>163</v>
      </c>
      <c r="O20" s="48" t="s">
        <v>256</v>
      </c>
      <c r="P20" s="49">
        <v>46283</v>
      </c>
      <c r="Q20" s="49">
        <v>46284</v>
      </c>
      <c r="R20" s="50" t="s">
        <v>299</v>
      </c>
    </row>
    <row r="21" spans="1:18" ht="57.95" customHeight="1" x14ac:dyDescent="0.25">
      <c r="A21" s="43" t="s">
        <v>300</v>
      </c>
      <c r="B21" s="44" t="s">
        <v>301</v>
      </c>
      <c r="C21" s="44" t="s">
        <v>302</v>
      </c>
      <c r="D21" s="44" t="s">
        <v>303</v>
      </c>
      <c r="E21" s="44" t="s">
        <v>304</v>
      </c>
      <c r="F21" s="44" t="s">
        <v>156</v>
      </c>
      <c r="G21" s="44" t="s">
        <v>23</v>
      </c>
      <c r="H21" s="44" t="s">
        <v>157</v>
      </c>
      <c r="I21" s="44" t="s">
        <v>305</v>
      </c>
      <c r="J21" s="44" t="s">
        <v>159</v>
      </c>
      <c r="K21" s="44" t="s">
        <v>306</v>
      </c>
      <c r="L21" s="44" t="s">
        <v>307</v>
      </c>
      <c r="M21" s="44" t="s">
        <v>292</v>
      </c>
      <c r="N21" s="44" t="s">
        <v>163</v>
      </c>
      <c r="O21" s="44" t="s">
        <v>256</v>
      </c>
      <c r="P21" s="45">
        <v>46284</v>
      </c>
      <c r="Q21" s="45">
        <v>46285</v>
      </c>
      <c r="R21" s="46" t="s">
        <v>308</v>
      </c>
    </row>
    <row r="22" spans="1:18" ht="57.95" customHeight="1" x14ac:dyDescent="0.25">
      <c r="A22" s="47" t="s">
        <v>90</v>
      </c>
      <c r="B22" s="48" t="s">
        <v>91</v>
      </c>
      <c r="C22" s="48" t="s">
        <v>309</v>
      </c>
      <c r="D22" s="48" t="s">
        <v>310</v>
      </c>
      <c r="E22" s="48" t="s">
        <v>311</v>
      </c>
      <c r="F22" s="48" t="s">
        <v>156</v>
      </c>
      <c r="G22" s="48" t="s">
        <v>23</v>
      </c>
      <c r="H22" s="48" t="s">
        <v>157</v>
      </c>
      <c r="I22" s="48" t="s">
        <v>312</v>
      </c>
      <c r="J22" s="48" t="s">
        <v>313</v>
      </c>
      <c r="K22" s="48" t="s">
        <v>314</v>
      </c>
      <c r="L22" s="48" t="s">
        <v>315</v>
      </c>
      <c r="M22" s="48" t="s">
        <v>292</v>
      </c>
      <c r="N22" s="48" t="s">
        <v>163</v>
      </c>
      <c r="O22" s="48" t="s">
        <v>256</v>
      </c>
      <c r="P22" s="49">
        <v>46286</v>
      </c>
      <c r="Q22" s="49">
        <v>46286</v>
      </c>
      <c r="R22" s="50" t="s">
        <v>316</v>
      </c>
    </row>
    <row r="23" spans="1:18" ht="57.95" customHeight="1" x14ac:dyDescent="0.25">
      <c r="A23" s="43" t="s">
        <v>317</v>
      </c>
      <c r="B23" s="44" t="s">
        <v>318</v>
      </c>
      <c r="C23" s="44" t="s">
        <v>319</v>
      </c>
      <c r="D23" s="44" t="s">
        <v>320</v>
      </c>
      <c r="E23" s="44" t="s">
        <v>321</v>
      </c>
      <c r="F23" s="44" t="s">
        <v>156</v>
      </c>
      <c r="G23" s="44" t="s">
        <v>17</v>
      </c>
      <c r="H23" s="44" t="s">
        <v>157</v>
      </c>
      <c r="I23" s="44" t="s">
        <v>322</v>
      </c>
      <c r="J23" s="44" t="s">
        <v>159</v>
      </c>
      <c r="K23" s="44" t="s">
        <v>323</v>
      </c>
      <c r="L23" s="44" t="s">
        <v>324</v>
      </c>
      <c r="M23" s="44" t="s">
        <v>249</v>
      </c>
      <c r="N23" s="44" t="s">
        <v>163</v>
      </c>
      <c r="O23" s="44" t="s">
        <v>325</v>
      </c>
      <c r="P23" s="45">
        <v>46288</v>
      </c>
      <c r="Q23" s="45">
        <v>46289</v>
      </c>
      <c r="R23" s="46" t="s">
        <v>326</v>
      </c>
    </row>
    <row r="24" spans="1:18" ht="57.95" customHeight="1" x14ac:dyDescent="0.25">
      <c r="A24" s="47" t="s">
        <v>327</v>
      </c>
      <c r="B24" s="48" t="s">
        <v>328</v>
      </c>
      <c r="C24" s="48" t="s">
        <v>329</v>
      </c>
      <c r="D24" s="48" t="s">
        <v>330</v>
      </c>
      <c r="E24" s="48" t="s">
        <v>331</v>
      </c>
      <c r="F24" s="48" t="s">
        <v>156</v>
      </c>
      <c r="G24" s="48" t="s">
        <v>17</v>
      </c>
      <c r="H24" s="48" t="s">
        <v>157</v>
      </c>
      <c r="I24" s="48" t="s">
        <v>332</v>
      </c>
      <c r="J24" s="48" t="s">
        <v>313</v>
      </c>
      <c r="K24" s="48" t="s">
        <v>333</v>
      </c>
      <c r="L24" s="48" t="s">
        <v>334</v>
      </c>
      <c r="M24" s="48" t="s">
        <v>162</v>
      </c>
      <c r="N24" s="48" t="s">
        <v>163</v>
      </c>
      <c r="O24" s="48" t="s">
        <v>325</v>
      </c>
      <c r="P24" s="49">
        <v>46289</v>
      </c>
      <c r="Q24" s="49">
        <v>46289</v>
      </c>
      <c r="R24" s="50" t="s">
        <v>335</v>
      </c>
    </row>
    <row r="25" spans="1:18" ht="57.95" customHeight="1" x14ac:dyDescent="0.25">
      <c r="A25" s="43" t="s">
        <v>336</v>
      </c>
      <c r="B25" s="44" t="s">
        <v>337</v>
      </c>
      <c r="C25" s="44" t="s">
        <v>338</v>
      </c>
      <c r="D25" s="44" t="s">
        <v>339</v>
      </c>
      <c r="E25" s="44" t="s">
        <v>340</v>
      </c>
      <c r="F25" s="44" t="s">
        <v>156</v>
      </c>
      <c r="G25" s="44" t="s">
        <v>17</v>
      </c>
      <c r="H25" s="44" t="s">
        <v>157</v>
      </c>
      <c r="I25" s="44" t="s">
        <v>341</v>
      </c>
      <c r="J25" s="44" t="s">
        <v>159</v>
      </c>
      <c r="K25" s="44" t="s">
        <v>342</v>
      </c>
      <c r="L25" s="44" t="s">
        <v>343</v>
      </c>
      <c r="M25" s="44" t="s">
        <v>318</v>
      </c>
      <c r="N25" s="44" t="s">
        <v>163</v>
      </c>
      <c r="O25" s="44" t="s">
        <v>325</v>
      </c>
      <c r="P25" s="45">
        <v>46290</v>
      </c>
      <c r="Q25" s="45">
        <v>46291</v>
      </c>
      <c r="R25" s="46" t="s">
        <v>344</v>
      </c>
    </row>
    <row r="26" spans="1:18" ht="57.95" customHeight="1" x14ac:dyDescent="0.25">
      <c r="A26" s="47" t="s">
        <v>345</v>
      </c>
      <c r="B26" s="48" t="s">
        <v>346</v>
      </c>
      <c r="C26" s="48" t="s">
        <v>347</v>
      </c>
      <c r="D26" s="48" t="s">
        <v>348</v>
      </c>
      <c r="E26" s="48" t="s">
        <v>349</v>
      </c>
      <c r="F26" s="48" t="s">
        <v>156</v>
      </c>
      <c r="G26" s="48" t="s">
        <v>17</v>
      </c>
      <c r="H26" s="48" t="s">
        <v>157</v>
      </c>
      <c r="I26" s="48" t="s">
        <v>350</v>
      </c>
      <c r="J26" s="48" t="s">
        <v>159</v>
      </c>
      <c r="K26" s="48" t="s">
        <v>351</v>
      </c>
      <c r="L26" s="48" t="s">
        <v>352</v>
      </c>
      <c r="M26" s="48" t="s">
        <v>162</v>
      </c>
      <c r="N26" s="48" t="s">
        <v>163</v>
      </c>
      <c r="O26" s="48" t="s">
        <v>325</v>
      </c>
      <c r="P26" s="49">
        <v>46291</v>
      </c>
      <c r="Q26" s="49">
        <v>46291</v>
      </c>
      <c r="R26" s="50" t="s">
        <v>353</v>
      </c>
    </row>
    <row r="27" spans="1:18" ht="57.95" customHeight="1" x14ac:dyDescent="0.25">
      <c r="A27" s="43" t="s">
        <v>354</v>
      </c>
      <c r="B27" s="44" t="s">
        <v>355</v>
      </c>
      <c r="C27" s="44" t="s">
        <v>356</v>
      </c>
      <c r="D27" s="44" t="s">
        <v>357</v>
      </c>
      <c r="E27" s="44" t="s">
        <v>358</v>
      </c>
      <c r="F27" s="44" t="s">
        <v>156</v>
      </c>
      <c r="G27" s="44" t="s">
        <v>23</v>
      </c>
      <c r="H27" s="44" t="s">
        <v>157</v>
      </c>
      <c r="I27" s="44" t="s">
        <v>359</v>
      </c>
      <c r="J27" s="44" t="s">
        <v>313</v>
      </c>
      <c r="K27" s="44" t="s">
        <v>360</v>
      </c>
      <c r="L27" s="44" t="s">
        <v>361</v>
      </c>
      <c r="M27" s="44" t="s">
        <v>328</v>
      </c>
      <c r="N27" s="44" t="s">
        <v>163</v>
      </c>
      <c r="O27" s="44" t="s">
        <v>325</v>
      </c>
      <c r="P27" s="45">
        <v>46290</v>
      </c>
      <c r="Q27" s="45">
        <v>46290</v>
      </c>
      <c r="R27" s="46" t="s">
        <v>362</v>
      </c>
    </row>
    <row r="28" spans="1:18" ht="57.95" customHeight="1" x14ac:dyDescent="0.25">
      <c r="A28" s="47" t="s">
        <v>363</v>
      </c>
      <c r="B28" s="48" t="s">
        <v>364</v>
      </c>
      <c r="C28" s="48" t="s">
        <v>365</v>
      </c>
      <c r="D28" s="48" t="s">
        <v>366</v>
      </c>
      <c r="E28" s="48" t="s">
        <v>367</v>
      </c>
      <c r="F28" s="48" t="s">
        <v>156</v>
      </c>
      <c r="G28" s="48" t="s">
        <v>23</v>
      </c>
      <c r="H28" s="48" t="s">
        <v>157</v>
      </c>
      <c r="I28" s="48" t="s">
        <v>368</v>
      </c>
      <c r="J28" s="48" t="s">
        <v>313</v>
      </c>
      <c r="K28" s="48" t="s">
        <v>369</v>
      </c>
      <c r="L28" s="48" t="s">
        <v>370</v>
      </c>
      <c r="M28" s="48" t="s">
        <v>249</v>
      </c>
      <c r="N28" s="48" t="s">
        <v>163</v>
      </c>
      <c r="O28" s="48" t="s">
        <v>325</v>
      </c>
      <c r="P28" s="49">
        <v>46290</v>
      </c>
      <c r="Q28" s="49">
        <v>46291</v>
      </c>
      <c r="R28" s="50" t="s">
        <v>371</v>
      </c>
    </row>
    <row r="29" spans="1:18" ht="57.95" customHeight="1" x14ac:dyDescent="0.25">
      <c r="A29" s="43" t="s">
        <v>372</v>
      </c>
      <c r="B29" s="44" t="s">
        <v>373</v>
      </c>
      <c r="C29" s="44" t="s">
        <v>374</v>
      </c>
      <c r="D29" s="44" t="s">
        <v>375</v>
      </c>
      <c r="E29" s="44" t="s">
        <v>376</v>
      </c>
      <c r="F29" s="44" t="s">
        <v>116</v>
      </c>
      <c r="G29" s="44" t="s">
        <v>17</v>
      </c>
      <c r="H29" s="44" t="s">
        <v>157</v>
      </c>
      <c r="I29" s="44" t="s">
        <v>377</v>
      </c>
      <c r="J29" s="44" t="s">
        <v>313</v>
      </c>
      <c r="K29" s="44" t="s">
        <v>378</v>
      </c>
      <c r="L29" s="44" t="s">
        <v>379</v>
      </c>
      <c r="M29" s="44" t="s">
        <v>380</v>
      </c>
      <c r="N29" s="44" t="s">
        <v>163</v>
      </c>
      <c r="O29" s="44" t="s">
        <v>49</v>
      </c>
      <c r="P29" s="45">
        <v>46305</v>
      </c>
      <c r="Q29" s="45">
        <v>46305</v>
      </c>
      <c r="R29" s="46" t="s">
        <v>381</v>
      </c>
    </row>
    <row r="30" spans="1:18" ht="57.95" customHeight="1" x14ac:dyDescent="0.25">
      <c r="A30" s="47" t="s">
        <v>382</v>
      </c>
      <c r="B30" s="48" t="s">
        <v>383</v>
      </c>
      <c r="C30" s="48" t="s">
        <v>384</v>
      </c>
      <c r="D30" s="48" t="s">
        <v>385</v>
      </c>
      <c r="E30" s="48" t="s">
        <v>386</v>
      </c>
      <c r="F30" s="48" t="s">
        <v>116</v>
      </c>
      <c r="G30" s="48" t="s">
        <v>23</v>
      </c>
      <c r="H30" s="48" t="s">
        <v>157</v>
      </c>
      <c r="I30" s="48" t="s">
        <v>387</v>
      </c>
      <c r="J30" s="48" t="s">
        <v>313</v>
      </c>
      <c r="K30" s="48" t="s">
        <v>388</v>
      </c>
      <c r="L30" s="48" t="s">
        <v>389</v>
      </c>
      <c r="M30" s="48" t="s">
        <v>390</v>
      </c>
      <c r="N30" s="48" t="s">
        <v>163</v>
      </c>
      <c r="O30" s="48" t="s">
        <v>49</v>
      </c>
      <c r="P30" s="49">
        <v>46306</v>
      </c>
      <c r="Q30" s="49">
        <v>46306</v>
      </c>
      <c r="R30" s="50" t="s">
        <v>391</v>
      </c>
    </row>
    <row r="31" spans="1:18" ht="57.95" customHeight="1" x14ac:dyDescent="0.25">
      <c r="A31" s="43" t="s">
        <v>125</v>
      </c>
      <c r="B31" s="44" t="s">
        <v>126</v>
      </c>
      <c r="C31" s="44" t="s">
        <v>392</v>
      </c>
      <c r="D31" s="44" t="s">
        <v>393</v>
      </c>
      <c r="E31" s="44" t="s">
        <v>394</v>
      </c>
      <c r="F31" s="44" t="s">
        <v>123</v>
      </c>
      <c r="G31" s="44" t="s">
        <v>10</v>
      </c>
      <c r="H31" s="44" t="s">
        <v>157</v>
      </c>
      <c r="I31" s="44" t="s">
        <v>395</v>
      </c>
      <c r="J31" s="44" t="s">
        <v>313</v>
      </c>
      <c r="K31" s="44" t="s">
        <v>396</v>
      </c>
      <c r="L31" s="44" t="s">
        <v>397</v>
      </c>
      <c r="M31" s="44" t="s">
        <v>119</v>
      </c>
      <c r="N31" s="44" t="s">
        <v>163</v>
      </c>
      <c r="O31" s="44" t="s">
        <v>49</v>
      </c>
      <c r="P31" s="45">
        <v>46306</v>
      </c>
      <c r="Q31" s="45">
        <v>46307</v>
      </c>
      <c r="R31" s="46" t="s">
        <v>398</v>
      </c>
    </row>
    <row r="32" spans="1:18" ht="57.95" customHeight="1" x14ac:dyDescent="0.25">
      <c r="A32" s="51" t="s">
        <v>399</v>
      </c>
      <c r="B32" s="52" t="s">
        <v>133</v>
      </c>
      <c r="C32" s="52" t="s">
        <v>400</v>
      </c>
      <c r="D32" s="52" t="s">
        <v>401</v>
      </c>
      <c r="E32" s="52" t="s">
        <v>402</v>
      </c>
      <c r="F32" s="52" t="s">
        <v>403</v>
      </c>
      <c r="G32" s="52" t="s">
        <v>404</v>
      </c>
      <c r="H32" s="52" t="s">
        <v>405</v>
      </c>
      <c r="I32" s="52" t="s">
        <v>406</v>
      </c>
      <c r="J32" s="52" t="s">
        <v>159</v>
      </c>
      <c r="K32" s="52" t="s">
        <v>407</v>
      </c>
      <c r="L32" s="52" t="s">
        <v>408</v>
      </c>
      <c r="M32" s="52" t="s">
        <v>133</v>
      </c>
      <c r="N32" s="52" t="s">
        <v>163</v>
      </c>
      <c r="O32" s="52" t="s">
        <v>409</v>
      </c>
      <c r="P32" s="53">
        <v>46261</v>
      </c>
      <c r="Q32" s="53">
        <v>46292</v>
      </c>
      <c r="R32" s="54" t="s">
        <v>410</v>
      </c>
    </row>
    <row r="33" spans="1:18" ht="57.95" customHeight="1" x14ac:dyDescent="0.25">
      <c r="A33" s="51" t="s">
        <v>411</v>
      </c>
      <c r="B33" s="52" t="s">
        <v>133</v>
      </c>
      <c r="C33" s="52" t="s">
        <v>412</v>
      </c>
      <c r="D33" s="52" t="s">
        <v>413</v>
      </c>
      <c r="E33" s="52" t="s">
        <v>414</v>
      </c>
      <c r="F33" s="52" t="s">
        <v>403</v>
      </c>
      <c r="G33" s="52" t="s">
        <v>404</v>
      </c>
      <c r="H33" s="52" t="s">
        <v>405</v>
      </c>
      <c r="I33" s="52" t="s">
        <v>415</v>
      </c>
      <c r="J33" s="52" t="s">
        <v>159</v>
      </c>
      <c r="K33" s="52" t="s">
        <v>416</v>
      </c>
      <c r="L33" s="52" t="s">
        <v>102</v>
      </c>
      <c r="M33" s="52" t="s">
        <v>417</v>
      </c>
      <c r="N33" s="52" t="s">
        <v>163</v>
      </c>
      <c r="O33" s="52" t="s">
        <v>418</v>
      </c>
      <c r="P33" s="53">
        <v>46269</v>
      </c>
      <c r="Q33" s="53">
        <v>46297</v>
      </c>
      <c r="R33" s="54" t="s">
        <v>419</v>
      </c>
    </row>
    <row r="34" spans="1:18" ht="57.95" customHeight="1" x14ac:dyDescent="0.25">
      <c r="A34" s="51" t="s">
        <v>420</v>
      </c>
      <c r="B34" s="52" t="s">
        <v>133</v>
      </c>
      <c r="C34" s="52" t="s">
        <v>421</v>
      </c>
      <c r="D34" s="52" t="s">
        <v>422</v>
      </c>
      <c r="E34" s="52" t="s">
        <v>423</v>
      </c>
      <c r="F34" s="52" t="s">
        <v>403</v>
      </c>
      <c r="G34" s="52" t="s">
        <v>23</v>
      </c>
      <c r="H34" s="52" t="s">
        <v>405</v>
      </c>
      <c r="I34" s="52" t="s">
        <v>424</v>
      </c>
      <c r="J34" s="52" t="s">
        <v>159</v>
      </c>
      <c r="K34" s="52" t="s">
        <v>425</v>
      </c>
      <c r="L34" s="52" t="s">
        <v>426</v>
      </c>
      <c r="M34" s="52" t="s">
        <v>427</v>
      </c>
      <c r="N34" s="52" t="s">
        <v>163</v>
      </c>
      <c r="O34" s="52" t="s">
        <v>49</v>
      </c>
      <c r="P34" s="53">
        <v>46303</v>
      </c>
      <c r="Q34" s="53">
        <v>46303</v>
      </c>
      <c r="R34" s="54" t="s">
        <v>428</v>
      </c>
    </row>
    <row r="35" spans="1:18" ht="57.95" customHeight="1" x14ac:dyDescent="0.25">
      <c r="A35" s="51" t="s">
        <v>429</v>
      </c>
      <c r="B35" s="52" t="s">
        <v>133</v>
      </c>
      <c r="C35" s="52" t="s">
        <v>133</v>
      </c>
      <c r="D35" s="52" t="s">
        <v>430</v>
      </c>
      <c r="E35" s="52" t="s">
        <v>431</v>
      </c>
      <c r="F35" s="52" t="s">
        <v>403</v>
      </c>
      <c r="G35" s="52" t="s">
        <v>17</v>
      </c>
      <c r="H35" s="52" t="s">
        <v>432</v>
      </c>
      <c r="I35" s="52" t="s">
        <v>433</v>
      </c>
      <c r="J35" s="52" t="s">
        <v>159</v>
      </c>
      <c r="K35" s="52" t="s">
        <v>434</v>
      </c>
      <c r="L35" s="52" t="s">
        <v>435</v>
      </c>
      <c r="M35" s="52" t="s">
        <v>436</v>
      </c>
      <c r="N35" s="52" t="s">
        <v>163</v>
      </c>
      <c r="O35" s="52" t="s">
        <v>437</v>
      </c>
      <c r="P35" s="53">
        <v>46253</v>
      </c>
      <c r="Q35" s="53">
        <v>46309</v>
      </c>
      <c r="R35" s="54" t="s">
        <v>438</v>
      </c>
    </row>
    <row r="36" spans="1:18" ht="57.95" customHeight="1" x14ac:dyDescent="0.25">
      <c r="A36" s="51" t="s">
        <v>439</v>
      </c>
      <c r="B36" s="52" t="s">
        <v>133</v>
      </c>
      <c r="C36" s="52" t="s">
        <v>440</v>
      </c>
      <c r="D36" s="52" t="s">
        <v>441</v>
      </c>
      <c r="E36" s="52" t="s">
        <v>442</v>
      </c>
      <c r="F36" s="52" t="s">
        <v>403</v>
      </c>
      <c r="G36" s="52" t="s">
        <v>404</v>
      </c>
      <c r="H36" s="52" t="s">
        <v>405</v>
      </c>
      <c r="I36" s="52" t="s">
        <v>443</v>
      </c>
      <c r="J36" s="52" t="s">
        <v>313</v>
      </c>
      <c r="K36" s="52" t="s">
        <v>444</v>
      </c>
      <c r="L36" s="52" t="s">
        <v>437</v>
      </c>
      <c r="M36" s="52" t="s">
        <v>133</v>
      </c>
      <c r="N36" s="52" t="s">
        <v>163</v>
      </c>
      <c r="O36" s="52" t="s">
        <v>445</v>
      </c>
      <c r="P36" s="53">
        <v>46297</v>
      </c>
      <c r="Q36" s="53">
        <v>46297</v>
      </c>
      <c r="R36" s="54" t="s">
        <v>446</v>
      </c>
    </row>
    <row r="37" spans="1:18" ht="57.95" customHeight="1" x14ac:dyDescent="0.25">
      <c r="A37" s="51" t="s">
        <v>447</v>
      </c>
      <c r="B37" s="52" t="s">
        <v>133</v>
      </c>
      <c r="C37" s="52" t="s">
        <v>448</v>
      </c>
      <c r="D37" s="52" t="s">
        <v>449</v>
      </c>
      <c r="E37" s="52" t="s">
        <v>450</v>
      </c>
      <c r="F37" s="52" t="s">
        <v>403</v>
      </c>
      <c r="G37" s="52" t="s">
        <v>39</v>
      </c>
      <c r="H37" s="52" t="s">
        <v>405</v>
      </c>
      <c r="I37" s="52" t="s">
        <v>451</v>
      </c>
      <c r="J37" s="52" t="s">
        <v>159</v>
      </c>
      <c r="K37" s="52" t="s">
        <v>452</v>
      </c>
      <c r="L37" s="52" t="s">
        <v>453</v>
      </c>
      <c r="M37" s="52" t="s">
        <v>300</v>
      </c>
      <c r="N37" s="52" t="s">
        <v>163</v>
      </c>
      <c r="O37" s="52" t="s">
        <v>454</v>
      </c>
      <c r="P37" s="53">
        <v>46269</v>
      </c>
      <c r="Q37" s="53">
        <v>46285</v>
      </c>
      <c r="R37" s="54" t="s">
        <v>455</v>
      </c>
    </row>
    <row r="38" spans="1:18" ht="57.95" customHeight="1" x14ac:dyDescent="0.25">
      <c r="A38" s="51" t="s">
        <v>456</v>
      </c>
      <c r="B38" s="52" t="s">
        <v>133</v>
      </c>
      <c r="C38" s="52" t="s">
        <v>457</v>
      </c>
      <c r="D38" s="52" t="s">
        <v>458</v>
      </c>
      <c r="E38" s="52" t="s">
        <v>459</v>
      </c>
      <c r="F38" s="52" t="s">
        <v>403</v>
      </c>
      <c r="G38" s="52" t="s">
        <v>17</v>
      </c>
      <c r="H38" s="52" t="s">
        <v>405</v>
      </c>
      <c r="I38" s="52" t="s">
        <v>460</v>
      </c>
      <c r="J38" s="52" t="s">
        <v>313</v>
      </c>
      <c r="K38" s="52" t="s">
        <v>461</v>
      </c>
      <c r="L38" s="52" t="s">
        <v>462</v>
      </c>
      <c r="M38" s="52" t="s">
        <v>411</v>
      </c>
      <c r="N38" s="52" t="s">
        <v>163</v>
      </c>
      <c r="O38" s="52" t="s">
        <v>49</v>
      </c>
      <c r="P38" s="53">
        <v>46302</v>
      </c>
      <c r="Q38" s="53">
        <v>46304</v>
      </c>
      <c r="R38" s="54" t="s">
        <v>463</v>
      </c>
    </row>
    <row r="39" spans="1:18" ht="57.95" customHeight="1" x14ac:dyDescent="0.25">
      <c r="A39" s="51" t="s">
        <v>464</v>
      </c>
      <c r="B39" s="52" t="s">
        <v>133</v>
      </c>
      <c r="C39" s="52" t="s">
        <v>465</v>
      </c>
      <c r="D39" s="52" t="s">
        <v>466</v>
      </c>
      <c r="E39" s="52" t="s">
        <v>467</v>
      </c>
      <c r="F39" s="52" t="s">
        <v>403</v>
      </c>
      <c r="G39" s="52" t="s">
        <v>468</v>
      </c>
      <c r="H39" s="52" t="s">
        <v>405</v>
      </c>
      <c r="I39" s="52" t="s">
        <v>469</v>
      </c>
      <c r="J39" s="52" t="s">
        <v>159</v>
      </c>
      <c r="K39" s="52" t="s">
        <v>470</v>
      </c>
      <c r="L39" s="52" t="s">
        <v>453</v>
      </c>
      <c r="M39" s="52" t="s">
        <v>447</v>
      </c>
      <c r="N39" s="52" t="s">
        <v>163</v>
      </c>
      <c r="O39" s="52" t="s">
        <v>49</v>
      </c>
      <c r="P39" s="53">
        <v>46304</v>
      </c>
      <c r="Q39" s="53">
        <v>46304</v>
      </c>
      <c r="R39" s="54" t="s">
        <v>471</v>
      </c>
    </row>
    <row r="40" spans="1:18" ht="57.95" customHeight="1" x14ac:dyDescent="0.25">
      <c r="A40" s="55" t="s">
        <v>132</v>
      </c>
      <c r="B40" s="56" t="s">
        <v>133</v>
      </c>
      <c r="C40" s="56" t="s">
        <v>472</v>
      </c>
      <c r="D40" s="56" t="s">
        <v>473</v>
      </c>
      <c r="E40" s="56" t="s">
        <v>474</v>
      </c>
      <c r="F40" s="56" t="s">
        <v>403</v>
      </c>
      <c r="G40" s="56" t="s">
        <v>39</v>
      </c>
      <c r="H40" s="56" t="s">
        <v>405</v>
      </c>
      <c r="I40" s="56" t="s">
        <v>475</v>
      </c>
      <c r="J40" s="56" t="s">
        <v>313</v>
      </c>
      <c r="K40" s="56" t="s">
        <v>476</v>
      </c>
      <c r="L40" s="56" t="s">
        <v>477</v>
      </c>
      <c r="M40" s="56" t="s">
        <v>133</v>
      </c>
      <c r="N40" s="56" t="s">
        <v>163</v>
      </c>
      <c r="O40" s="56" t="s">
        <v>478</v>
      </c>
      <c r="P40" s="57">
        <v>46279</v>
      </c>
      <c r="Q40" s="57">
        <v>46309</v>
      </c>
      <c r="R40" s="58" t="s">
        <v>479</v>
      </c>
    </row>
    <row r="41" spans="1:18" ht="30" customHeight="1" x14ac:dyDescent="0.25"/>
    <row r="42" spans="1:18" ht="30" customHeight="1" x14ac:dyDescent="0.25"/>
    <row r="43" spans="1:18" ht="30" customHeight="1" x14ac:dyDescent="0.25"/>
    <row r="44" spans="1:18" ht="30" customHeight="1" x14ac:dyDescent="0.25"/>
    <row r="45" spans="1:18" ht="30" customHeight="1" x14ac:dyDescent="0.25"/>
    <row r="46" spans="1:18" ht="30" customHeight="1" x14ac:dyDescent="0.25"/>
    <row r="47" spans="1:18" ht="30" customHeight="1" x14ac:dyDescent="0.25"/>
    <row r="48" spans="1:1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</sheetData>
  <mergeCells count="2">
    <mergeCell ref="A1:R1"/>
    <mergeCell ref="A2:R2"/>
  </mergeCells>
  <conditionalFormatting sqref="A5:M60">
    <cfRule type="expression" dxfId="32" priority="5">
      <formula>AND($A5&lt;&gt;"",$J5="")</formula>
    </cfRule>
  </conditionalFormatting>
  <conditionalFormatting sqref="I5:I60">
    <cfRule type="cellIs" dxfId="31" priority="2" operator="equal">
      <formula>"Must"</formula>
    </cfRule>
    <cfRule type="cellIs" dxfId="30" priority="3" operator="equal">
      <formula>"Should"</formula>
    </cfRule>
    <cfRule type="cellIs" dxfId="29" priority="4" operator="equal">
      <formula>"Could"</formula>
    </cfRule>
  </conditionalFormatting>
  <dataValidations count="7">
    <dataValidation type="list" allowBlank="1" errorTitle="Valor no permitido" error="Seleccione un valor de la lista desplegable." sqref="M5:M60 K5:K60 I5:I60 G5:G60 D5:E60" xr:uid="{00000000-0002-0000-0200-000000000000}">
      <formula1>#REF!</formula1>
      <formula2>0</formula2>
    </dataValidation>
    <dataValidation type="list" sqref="D5:D21" xr:uid="{00000000-0002-0000-0200-000001000000}">
      <formula1>"Funcional,No funcional"</formula1>
    </dataValidation>
    <dataValidation type="list" sqref="E5:E21" xr:uid="{00000000-0002-0000-0200-000002000000}">
      <formula1>"—,Usabilidad,Rendimiento,Seguridad,Confiabilidad,Mantenibilidad"</formula1>
    </dataValidation>
    <dataValidation type="list" sqref="G5:G21" xr:uid="{00000000-0002-0000-0200-000003000000}">
      <formula1>"Entrevista,Proceso de negocio,Regla de negocio,Evidencia de campo,Registros actuales,Necesidad del proyecto,Necesidad operativa,Restricción técnica,Plan del proyecto"</formula1>
    </dataValidation>
    <dataValidation type="list" sqref="I5:I21" xr:uid="{00000000-0002-0000-0200-000004000000}">
      <formula1>"Must,Should,Could"</formula1>
    </dataValidation>
    <dataValidation type="list" sqref="K5:K21" xr:uid="{00000000-0002-0000-0200-000005000000}">
      <formula1>"Proveedores,Rendimiento / Acopio,Acopio / Pagos,Calidad,Calidad / Proveedores,Proveedores / Calidad,Pagos,Dashboard,ResumenZonas,Quesos,Excel / Datos,Reportes,Transversal,Seguridad,Datos / Respaldo"</formula1>
    </dataValidation>
    <dataValidation type="list" sqref="M5:M21" xr:uid="{00000000-0002-0000-0200-000006000000}">
      <formula1>"Propuesto,Aprobado,En desarrollo,Implementado,En mantenimiento"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A66"/>
  </sheetPr>
  <dimension ref="A1:K40"/>
  <sheetViews>
    <sheetView showGridLines="0" workbookViewId="0">
      <selection sqref="A1:K1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3" width="8" customWidth="1"/>
    <col min="4" max="4" width="18" customWidth="1"/>
    <col min="5" max="5" width="43" customWidth="1"/>
    <col min="6" max="6" width="48" customWidth="1"/>
    <col min="7" max="7" width="52" customWidth="1"/>
    <col min="8" max="8" width="13" customWidth="1"/>
    <col min="9" max="9" width="22" customWidth="1"/>
    <col min="10" max="11" width="13" customWidth="1"/>
  </cols>
  <sheetData>
    <row r="1" spans="1:11" ht="30" customHeight="1" x14ac:dyDescent="0.3">
      <c r="A1" s="67" t="s">
        <v>480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8" t="s">
        <v>481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4" spans="1:11" ht="32.1" customHeight="1" x14ac:dyDescent="0.25">
      <c r="A4" s="62" t="s">
        <v>2</v>
      </c>
      <c r="B4" s="62" t="s">
        <v>482</v>
      </c>
      <c r="C4" s="62" t="s">
        <v>136</v>
      </c>
      <c r="D4" s="62" t="s">
        <v>137</v>
      </c>
      <c r="E4" s="62" t="s">
        <v>483</v>
      </c>
      <c r="F4" s="62" t="s">
        <v>484</v>
      </c>
      <c r="G4" s="62" t="s">
        <v>485</v>
      </c>
      <c r="H4" s="62" t="s">
        <v>146</v>
      </c>
      <c r="I4" s="62" t="s">
        <v>147</v>
      </c>
      <c r="J4" s="62" t="s">
        <v>148</v>
      </c>
      <c r="K4" s="62" t="s">
        <v>149</v>
      </c>
    </row>
    <row r="5" spans="1:11" ht="51.95" customHeight="1" x14ac:dyDescent="0.25">
      <c r="A5" s="39" t="s">
        <v>486</v>
      </c>
      <c r="B5" s="40" t="s">
        <v>151</v>
      </c>
      <c r="C5" s="40" t="s">
        <v>152</v>
      </c>
      <c r="D5" s="40" t="s">
        <v>153</v>
      </c>
      <c r="E5" s="40" t="s">
        <v>487</v>
      </c>
      <c r="F5" s="40" t="s">
        <v>488</v>
      </c>
      <c r="G5" s="40" t="s">
        <v>160</v>
      </c>
      <c r="H5" s="40" t="s">
        <v>489</v>
      </c>
      <c r="I5" s="40" t="s">
        <v>15</v>
      </c>
      <c r="J5" s="41">
        <v>46271</v>
      </c>
      <c r="K5" s="63">
        <v>46271</v>
      </c>
    </row>
    <row r="6" spans="1:11" ht="51.95" customHeight="1" x14ac:dyDescent="0.25">
      <c r="A6" s="43" t="s">
        <v>490</v>
      </c>
      <c r="B6" s="44" t="s">
        <v>165</v>
      </c>
      <c r="C6" s="44" t="s">
        <v>166</v>
      </c>
      <c r="D6" s="44" t="s">
        <v>167</v>
      </c>
      <c r="E6" s="44" t="s">
        <v>491</v>
      </c>
      <c r="F6" s="44" t="s">
        <v>492</v>
      </c>
      <c r="G6" s="44" t="s">
        <v>171</v>
      </c>
      <c r="H6" s="44" t="s">
        <v>489</v>
      </c>
      <c r="I6" s="44" t="s">
        <v>15</v>
      </c>
      <c r="J6" s="45">
        <v>46271</v>
      </c>
      <c r="K6" s="64">
        <v>46271</v>
      </c>
    </row>
    <row r="7" spans="1:11" ht="51.95" customHeight="1" x14ac:dyDescent="0.25">
      <c r="A7" s="43" t="s">
        <v>493</v>
      </c>
      <c r="B7" s="44" t="s">
        <v>174</v>
      </c>
      <c r="C7" s="44" t="s">
        <v>162</v>
      </c>
      <c r="D7" s="44" t="s">
        <v>175</v>
      </c>
      <c r="E7" s="44" t="s">
        <v>494</v>
      </c>
      <c r="F7" s="44" t="s">
        <v>495</v>
      </c>
      <c r="G7" s="44" t="s">
        <v>179</v>
      </c>
      <c r="H7" s="44" t="s">
        <v>489</v>
      </c>
      <c r="I7" s="44" t="s">
        <v>15</v>
      </c>
      <c r="J7" s="45">
        <v>46270</v>
      </c>
      <c r="K7" s="64">
        <v>46271</v>
      </c>
    </row>
    <row r="8" spans="1:11" ht="51.95" customHeight="1" x14ac:dyDescent="0.25">
      <c r="A8" s="43" t="s">
        <v>496</v>
      </c>
      <c r="B8" s="44" t="s">
        <v>182</v>
      </c>
      <c r="C8" s="44" t="s">
        <v>183</v>
      </c>
      <c r="D8" s="44" t="s">
        <v>184</v>
      </c>
      <c r="E8" s="44" t="s">
        <v>497</v>
      </c>
      <c r="F8" s="44" t="s">
        <v>498</v>
      </c>
      <c r="G8" s="44" t="s">
        <v>188</v>
      </c>
      <c r="H8" s="44" t="s">
        <v>489</v>
      </c>
      <c r="I8" s="44" t="s">
        <v>190</v>
      </c>
      <c r="J8" s="45">
        <v>46274</v>
      </c>
      <c r="K8" s="64">
        <v>46275</v>
      </c>
    </row>
    <row r="9" spans="1:11" ht="51.95" customHeight="1" x14ac:dyDescent="0.25">
      <c r="A9" s="43" t="s">
        <v>499</v>
      </c>
      <c r="B9" s="44" t="s">
        <v>192</v>
      </c>
      <c r="C9" s="44" t="s">
        <v>193</v>
      </c>
      <c r="D9" s="44" t="s">
        <v>194</v>
      </c>
      <c r="E9" s="44" t="s">
        <v>500</v>
      </c>
      <c r="F9" s="44" t="s">
        <v>501</v>
      </c>
      <c r="G9" s="44" t="s">
        <v>198</v>
      </c>
      <c r="H9" s="44" t="s">
        <v>489</v>
      </c>
      <c r="I9" s="44" t="s">
        <v>190</v>
      </c>
      <c r="J9" s="45">
        <v>46275</v>
      </c>
      <c r="K9" s="64">
        <v>46276</v>
      </c>
    </row>
    <row r="10" spans="1:11" ht="51.95" customHeight="1" x14ac:dyDescent="0.25">
      <c r="A10" s="43" t="s">
        <v>502</v>
      </c>
      <c r="B10" s="44" t="s">
        <v>201</v>
      </c>
      <c r="C10" s="44" t="s">
        <v>202</v>
      </c>
      <c r="D10" s="44" t="s">
        <v>203</v>
      </c>
      <c r="E10" s="44" t="s">
        <v>503</v>
      </c>
      <c r="F10" s="44" t="s">
        <v>504</v>
      </c>
      <c r="G10" s="44" t="s">
        <v>207</v>
      </c>
      <c r="H10" s="44" t="s">
        <v>489</v>
      </c>
      <c r="I10" s="44" t="s">
        <v>190</v>
      </c>
      <c r="J10" s="45">
        <v>46276</v>
      </c>
      <c r="K10" s="64">
        <v>46276</v>
      </c>
    </row>
    <row r="11" spans="1:11" ht="51.95" customHeight="1" x14ac:dyDescent="0.25">
      <c r="A11" s="43" t="s">
        <v>505</v>
      </c>
      <c r="B11" s="44" t="s">
        <v>210</v>
      </c>
      <c r="C11" s="44" t="s">
        <v>211</v>
      </c>
      <c r="D11" s="44" t="s">
        <v>212</v>
      </c>
      <c r="E11" s="44" t="s">
        <v>506</v>
      </c>
      <c r="F11" s="44" t="s">
        <v>507</v>
      </c>
      <c r="G11" s="44" t="s">
        <v>216</v>
      </c>
      <c r="H11" s="44" t="s">
        <v>489</v>
      </c>
      <c r="I11" s="44" t="s">
        <v>190</v>
      </c>
      <c r="J11" s="45">
        <v>46276</v>
      </c>
      <c r="K11" s="64">
        <v>46277</v>
      </c>
    </row>
    <row r="12" spans="1:11" ht="51.95" customHeight="1" x14ac:dyDescent="0.25">
      <c r="A12" s="43" t="s">
        <v>508</v>
      </c>
      <c r="B12" s="44" t="s">
        <v>219</v>
      </c>
      <c r="C12" s="44" t="s">
        <v>220</v>
      </c>
      <c r="D12" s="44" t="s">
        <v>221</v>
      </c>
      <c r="E12" s="44" t="s">
        <v>509</v>
      </c>
      <c r="F12" s="44" t="s">
        <v>510</v>
      </c>
      <c r="G12" s="44" t="s">
        <v>225</v>
      </c>
      <c r="H12" s="44" t="s">
        <v>489</v>
      </c>
      <c r="I12" s="44" t="s">
        <v>190</v>
      </c>
      <c r="J12" s="45">
        <v>46277</v>
      </c>
      <c r="K12" s="64">
        <v>46278</v>
      </c>
    </row>
    <row r="13" spans="1:11" ht="51.95" customHeight="1" x14ac:dyDescent="0.25">
      <c r="A13" s="43" t="s">
        <v>511</v>
      </c>
      <c r="B13" s="44" t="s">
        <v>229</v>
      </c>
      <c r="C13" s="44" t="s">
        <v>230</v>
      </c>
      <c r="D13" s="44" t="s">
        <v>231</v>
      </c>
      <c r="E13" s="44" t="s">
        <v>512</v>
      </c>
      <c r="F13" s="44" t="s">
        <v>513</v>
      </c>
      <c r="G13" s="44" t="s">
        <v>235</v>
      </c>
      <c r="H13" s="44" t="s">
        <v>489</v>
      </c>
      <c r="I13" s="44" t="s">
        <v>190</v>
      </c>
      <c r="J13" s="45">
        <v>46276</v>
      </c>
      <c r="K13" s="64">
        <v>46277</v>
      </c>
    </row>
    <row r="14" spans="1:11" ht="51.95" customHeight="1" x14ac:dyDescent="0.25">
      <c r="A14" s="43" t="s">
        <v>514</v>
      </c>
      <c r="B14" s="44" t="s">
        <v>239</v>
      </c>
      <c r="C14" s="44" t="s">
        <v>240</v>
      </c>
      <c r="D14" s="44" t="s">
        <v>241</v>
      </c>
      <c r="E14" s="44" t="s">
        <v>515</v>
      </c>
      <c r="F14" s="44" t="s">
        <v>516</v>
      </c>
      <c r="G14" s="44" t="s">
        <v>245</v>
      </c>
      <c r="H14" s="44" t="s">
        <v>489</v>
      </c>
      <c r="I14" s="44" t="s">
        <v>190</v>
      </c>
      <c r="J14" s="45">
        <v>46277</v>
      </c>
      <c r="K14" s="64">
        <v>46278</v>
      </c>
    </row>
    <row r="15" spans="1:11" ht="51.95" customHeight="1" x14ac:dyDescent="0.25">
      <c r="A15" s="43" t="s">
        <v>517</v>
      </c>
      <c r="B15" s="44" t="s">
        <v>248</v>
      </c>
      <c r="C15" s="44" t="s">
        <v>249</v>
      </c>
      <c r="D15" s="44" t="s">
        <v>250</v>
      </c>
      <c r="E15" s="44" t="s">
        <v>518</v>
      </c>
      <c r="F15" s="44" t="s">
        <v>519</v>
      </c>
      <c r="G15" s="44" t="s">
        <v>254</v>
      </c>
      <c r="H15" s="44" t="s">
        <v>489</v>
      </c>
      <c r="I15" s="44" t="s">
        <v>256</v>
      </c>
      <c r="J15" s="45">
        <v>46281</v>
      </c>
      <c r="K15" s="64">
        <v>46282</v>
      </c>
    </row>
    <row r="16" spans="1:11" ht="51.95" customHeight="1" x14ac:dyDescent="0.25">
      <c r="A16" s="43" t="s">
        <v>520</v>
      </c>
      <c r="B16" s="44" t="s">
        <v>258</v>
      </c>
      <c r="C16" s="44" t="s">
        <v>259</v>
      </c>
      <c r="D16" s="44" t="s">
        <v>260</v>
      </c>
      <c r="E16" s="44" t="s">
        <v>521</v>
      </c>
      <c r="F16" s="44" t="s">
        <v>522</v>
      </c>
      <c r="G16" s="44" t="s">
        <v>264</v>
      </c>
      <c r="H16" s="44" t="s">
        <v>489</v>
      </c>
      <c r="I16" s="44" t="s">
        <v>256</v>
      </c>
      <c r="J16" s="45">
        <v>46285</v>
      </c>
      <c r="K16" s="64">
        <v>46285</v>
      </c>
    </row>
    <row r="17" spans="1:11" ht="51.95" customHeight="1" x14ac:dyDescent="0.25">
      <c r="A17" s="43" t="s">
        <v>523</v>
      </c>
      <c r="B17" s="44" t="s">
        <v>69</v>
      </c>
      <c r="C17" s="44" t="s">
        <v>70</v>
      </c>
      <c r="D17" s="44" t="s">
        <v>267</v>
      </c>
      <c r="E17" s="44" t="s">
        <v>524</v>
      </c>
      <c r="F17" s="44" t="s">
        <v>525</v>
      </c>
      <c r="G17" s="44" t="s">
        <v>271</v>
      </c>
      <c r="H17" s="44" t="s">
        <v>489</v>
      </c>
      <c r="I17" s="44" t="s">
        <v>256</v>
      </c>
      <c r="J17" s="45">
        <v>46282</v>
      </c>
      <c r="K17" s="64">
        <v>46282</v>
      </c>
    </row>
    <row r="18" spans="1:11" ht="51.95" customHeight="1" x14ac:dyDescent="0.25">
      <c r="A18" s="43" t="s">
        <v>526</v>
      </c>
      <c r="B18" s="44" t="s">
        <v>76</v>
      </c>
      <c r="C18" s="44" t="s">
        <v>77</v>
      </c>
      <c r="D18" s="44" t="s">
        <v>274</v>
      </c>
      <c r="E18" s="44" t="s">
        <v>527</v>
      </c>
      <c r="F18" s="44" t="s">
        <v>528</v>
      </c>
      <c r="G18" s="44" t="s">
        <v>278</v>
      </c>
      <c r="H18" s="44" t="s">
        <v>489</v>
      </c>
      <c r="I18" s="44" t="s">
        <v>256</v>
      </c>
      <c r="J18" s="45">
        <v>46283</v>
      </c>
      <c r="K18" s="64">
        <v>46284</v>
      </c>
    </row>
    <row r="19" spans="1:11" ht="51.95" customHeight="1" x14ac:dyDescent="0.25">
      <c r="A19" s="43" t="s">
        <v>529</v>
      </c>
      <c r="B19" s="44" t="s">
        <v>282</v>
      </c>
      <c r="C19" s="44" t="s">
        <v>283</v>
      </c>
      <c r="D19" s="44" t="s">
        <v>284</v>
      </c>
      <c r="E19" s="44" t="s">
        <v>530</v>
      </c>
      <c r="F19" s="44" t="s">
        <v>531</v>
      </c>
      <c r="G19" s="44" t="s">
        <v>288</v>
      </c>
      <c r="H19" s="44" t="s">
        <v>489</v>
      </c>
      <c r="I19" s="44" t="s">
        <v>256</v>
      </c>
      <c r="J19" s="45">
        <v>46283</v>
      </c>
      <c r="K19" s="64">
        <v>46284</v>
      </c>
    </row>
    <row r="20" spans="1:11" ht="51.95" customHeight="1" x14ac:dyDescent="0.25">
      <c r="A20" s="43" t="s">
        <v>532</v>
      </c>
      <c r="B20" s="44" t="s">
        <v>291</v>
      </c>
      <c r="C20" s="44" t="s">
        <v>292</v>
      </c>
      <c r="D20" s="44" t="s">
        <v>293</v>
      </c>
      <c r="E20" s="44" t="s">
        <v>533</v>
      </c>
      <c r="F20" s="44" t="s">
        <v>534</v>
      </c>
      <c r="G20" s="44" t="s">
        <v>297</v>
      </c>
      <c r="H20" s="44" t="s">
        <v>489</v>
      </c>
      <c r="I20" s="44" t="s">
        <v>256</v>
      </c>
      <c r="J20" s="45">
        <v>46283</v>
      </c>
      <c r="K20" s="64">
        <v>46284</v>
      </c>
    </row>
    <row r="21" spans="1:11" ht="51.95" customHeight="1" x14ac:dyDescent="0.25">
      <c r="A21" s="43" t="s">
        <v>535</v>
      </c>
      <c r="B21" s="44" t="s">
        <v>300</v>
      </c>
      <c r="C21" s="44" t="s">
        <v>301</v>
      </c>
      <c r="D21" s="44" t="s">
        <v>302</v>
      </c>
      <c r="E21" s="44" t="s">
        <v>536</v>
      </c>
      <c r="F21" s="44" t="s">
        <v>537</v>
      </c>
      <c r="G21" s="44" t="s">
        <v>306</v>
      </c>
      <c r="H21" s="44" t="s">
        <v>489</v>
      </c>
      <c r="I21" s="44" t="s">
        <v>256</v>
      </c>
      <c r="J21" s="45">
        <v>46284</v>
      </c>
      <c r="K21" s="64">
        <v>46285</v>
      </c>
    </row>
    <row r="22" spans="1:11" ht="51.95" customHeight="1" x14ac:dyDescent="0.25">
      <c r="A22" s="43" t="s">
        <v>538</v>
      </c>
      <c r="B22" s="44" t="s">
        <v>90</v>
      </c>
      <c r="C22" s="44" t="s">
        <v>91</v>
      </c>
      <c r="D22" s="44" t="s">
        <v>309</v>
      </c>
      <c r="E22" s="44" t="s">
        <v>539</v>
      </c>
      <c r="F22" s="44" t="s">
        <v>540</v>
      </c>
      <c r="G22" s="44" t="s">
        <v>314</v>
      </c>
      <c r="H22" s="44" t="s">
        <v>489</v>
      </c>
      <c r="I22" s="44" t="s">
        <v>256</v>
      </c>
      <c r="J22" s="45">
        <v>46286</v>
      </c>
      <c r="K22" s="64">
        <v>46286</v>
      </c>
    </row>
    <row r="23" spans="1:11" ht="51.95" customHeight="1" x14ac:dyDescent="0.25">
      <c r="A23" s="43" t="s">
        <v>541</v>
      </c>
      <c r="B23" s="44" t="s">
        <v>317</v>
      </c>
      <c r="C23" s="44" t="s">
        <v>318</v>
      </c>
      <c r="D23" s="44" t="s">
        <v>319</v>
      </c>
      <c r="E23" s="44" t="s">
        <v>542</v>
      </c>
      <c r="F23" s="44" t="s">
        <v>543</v>
      </c>
      <c r="G23" s="44" t="s">
        <v>323</v>
      </c>
      <c r="H23" s="44" t="s">
        <v>489</v>
      </c>
      <c r="I23" s="44" t="s">
        <v>325</v>
      </c>
      <c r="J23" s="45">
        <v>46288</v>
      </c>
      <c r="K23" s="64">
        <v>46289</v>
      </c>
    </row>
    <row r="24" spans="1:11" ht="51.95" customHeight="1" x14ac:dyDescent="0.25">
      <c r="A24" s="43" t="s">
        <v>544</v>
      </c>
      <c r="B24" s="44" t="s">
        <v>327</v>
      </c>
      <c r="C24" s="44" t="s">
        <v>328</v>
      </c>
      <c r="D24" s="44" t="s">
        <v>329</v>
      </c>
      <c r="E24" s="44" t="s">
        <v>545</v>
      </c>
      <c r="F24" s="44" t="s">
        <v>546</v>
      </c>
      <c r="G24" s="44" t="s">
        <v>333</v>
      </c>
      <c r="H24" s="44" t="s">
        <v>489</v>
      </c>
      <c r="I24" s="44" t="s">
        <v>325</v>
      </c>
      <c r="J24" s="45">
        <v>46289</v>
      </c>
      <c r="K24" s="64">
        <v>46289</v>
      </c>
    </row>
    <row r="25" spans="1:11" ht="51.95" customHeight="1" x14ac:dyDescent="0.25">
      <c r="A25" s="43" t="s">
        <v>547</v>
      </c>
      <c r="B25" s="44" t="s">
        <v>336</v>
      </c>
      <c r="C25" s="44" t="s">
        <v>337</v>
      </c>
      <c r="D25" s="44" t="s">
        <v>338</v>
      </c>
      <c r="E25" s="44" t="s">
        <v>548</v>
      </c>
      <c r="F25" s="44" t="s">
        <v>549</v>
      </c>
      <c r="G25" s="44" t="s">
        <v>342</v>
      </c>
      <c r="H25" s="44" t="s">
        <v>489</v>
      </c>
      <c r="I25" s="44" t="s">
        <v>325</v>
      </c>
      <c r="J25" s="45">
        <v>46290</v>
      </c>
      <c r="K25" s="64">
        <v>46291</v>
      </c>
    </row>
    <row r="26" spans="1:11" ht="51.95" customHeight="1" x14ac:dyDescent="0.25">
      <c r="A26" s="43" t="s">
        <v>550</v>
      </c>
      <c r="B26" s="44" t="s">
        <v>345</v>
      </c>
      <c r="C26" s="44" t="s">
        <v>346</v>
      </c>
      <c r="D26" s="44" t="s">
        <v>347</v>
      </c>
      <c r="E26" s="44" t="s">
        <v>551</v>
      </c>
      <c r="F26" s="44" t="s">
        <v>552</v>
      </c>
      <c r="G26" s="44" t="s">
        <v>351</v>
      </c>
      <c r="H26" s="44" t="s">
        <v>489</v>
      </c>
      <c r="I26" s="44" t="s">
        <v>325</v>
      </c>
      <c r="J26" s="45">
        <v>46291</v>
      </c>
      <c r="K26" s="64">
        <v>46291</v>
      </c>
    </row>
    <row r="27" spans="1:11" ht="51.95" customHeight="1" x14ac:dyDescent="0.25">
      <c r="A27" s="43" t="s">
        <v>553</v>
      </c>
      <c r="B27" s="44" t="s">
        <v>354</v>
      </c>
      <c r="C27" s="44" t="s">
        <v>355</v>
      </c>
      <c r="D27" s="44" t="s">
        <v>356</v>
      </c>
      <c r="E27" s="44" t="s">
        <v>554</v>
      </c>
      <c r="F27" s="44" t="s">
        <v>555</v>
      </c>
      <c r="G27" s="44" t="s">
        <v>360</v>
      </c>
      <c r="H27" s="44" t="s">
        <v>489</v>
      </c>
      <c r="I27" s="44" t="s">
        <v>325</v>
      </c>
      <c r="J27" s="45">
        <v>46290</v>
      </c>
      <c r="K27" s="64">
        <v>46290</v>
      </c>
    </row>
    <row r="28" spans="1:11" ht="51.95" customHeight="1" x14ac:dyDescent="0.25">
      <c r="A28" s="43" t="s">
        <v>556</v>
      </c>
      <c r="B28" s="44" t="s">
        <v>363</v>
      </c>
      <c r="C28" s="44" t="s">
        <v>364</v>
      </c>
      <c r="D28" s="44" t="s">
        <v>365</v>
      </c>
      <c r="E28" s="44" t="s">
        <v>557</v>
      </c>
      <c r="F28" s="44" t="s">
        <v>558</v>
      </c>
      <c r="G28" s="44" t="s">
        <v>369</v>
      </c>
      <c r="H28" s="44" t="s">
        <v>489</v>
      </c>
      <c r="I28" s="44" t="s">
        <v>325</v>
      </c>
      <c r="J28" s="45">
        <v>46290</v>
      </c>
      <c r="K28" s="64">
        <v>46291</v>
      </c>
    </row>
    <row r="29" spans="1:11" ht="51.95" customHeight="1" x14ac:dyDescent="0.25">
      <c r="A29" s="43" t="s">
        <v>559</v>
      </c>
      <c r="B29" s="44" t="s">
        <v>372</v>
      </c>
      <c r="C29" s="44" t="s">
        <v>373</v>
      </c>
      <c r="D29" s="44" t="s">
        <v>374</v>
      </c>
      <c r="E29" s="44" t="s">
        <v>560</v>
      </c>
      <c r="F29" s="44" t="s">
        <v>561</v>
      </c>
      <c r="G29" s="44" t="s">
        <v>378</v>
      </c>
      <c r="H29" s="44" t="s">
        <v>489</v>
      </c>
      <c r="I29" s="44" t="s">
        <v>49</v>
      </c>
      <c r="J29" s="45">
        <v>46305</v>
      </c>
      <c r="K29" s="64">
        <v>46305</v>
      </c>
    </row>
    <row r="30" spans="1:11" ht="51.95" customHeight="1" x14ac:dyDescent="0.25">
      <c r="A30" s="43" t="s">
        <v>562</v>
      </c>
      <c r="B30" s="44" t="s">
        <v>382</v>
      </c>
      <c r="C30" s="44" t="s">
        <v>383</v>
      </c>
      <c r="D30" s="44" t="s">
        <v>384</v>
      </c>
      <c r="E30" s="44" t="s">
        <v>563</v>
      </c>
      <c r="F30" s="44" t="s">
        <v>561</v>
      </c>
      <c r="G30" s="44" t="s">
        <v>388</v>
      </c>
      <c r="H30" s="44" t="s">
        <v>489</v>
      </c>
      <c r="I30" s="44" t="s">
        <v>49</v>
      </c>
      <c r="J30" s="45">
        <v>46306</v>
      </c>
      <c r="K30" s="64">
        <v>46306</v>
      </c>
    </row>
    <row r="31" spans="1:11" ht="51.95" customHeight="1" x14ac:dyDescent="0.25">
      <c r="A31" s="43" t="s">
        <v>564</v>
      </c>
      <c r="B31" s="44" t="s">
        <v>125</v>
      </c>
      <c r="C31" s="44" t="s">
        <v>126</v>
      </c>
      <c r="D31" s="44" t="s">
        <v>392</v>
      </c>
      <c r="E31" s="44" t="s">
        <v>565</v>
      </c>
      <c r="F31" s="44" t="s">
        <v>566</v>
      </c>
      <c r="G31" s="44" t="s">
        <v>396</v>
      </c>
      <c r="H31" s="44" t="s">
        <v>489</v>
      </c>
      <c r="I31" s="44" t="s">
        <v>49</v>
      </c>
      <c r="J31" s="45">
        <v>46306</v>
      </c>
      <c r="K31" s="64">
        <v>46307</v>
      </c>
    </row>
    <row r="32" spans="1:11" ht="51.95" customHeight="1" x14ac:dyDescent="0.25">
      <c r="A32" s="51" t="s">
        <v>567</v>
      </c>
      <c r="B32" s="52" t="s">
        <v>399</v>
      </c>
      <c r="C32" s="52" t="s">
        <v>133</v>
      </c>
      <c r="D32" s="52" t="s">
        <v>400</v>
      </c>
      <c r="E32" s="52" t="s">
        <v>568</v>
      </c>
      <c r="F32" s="52" t="s">
        <v>569</v>
      </c>
      <c r="G32" s="52" t="s">
        <v>407</v>
      </c>
      <c r="H32" s="52" t="s">
        <v>489</v>
      </c>
      <c r="I32" s="52" t="s">
        <v>409</v>
      </c>
      <c r="J32" s="53">
        <v>46261</v>
      </c>
      <c r="K32" s="65">
        <v>46292</v>
      </c>
    </row>
    <row r="33" spans="1:11" ht="51.95" customHeight="1" x14ac:dyDescent="0.25">
      <c r="A33" s="51" t="s">
        <v>570</v>
      </c>
      <c r="B33" s="52" t="s">
        <v>411</v>
      </c>
      <c r="C33" s="52" t="s">
        <v>133</v>
      </c>
      <c r="D33" s="52" t="s">
        <v>412</v>
      </c>
      <c r="E33" s="52" t="s">
        <v>571</v>
      </c>
      <c r="F33" s="52" t="s">
        <v>569</v>
      </c>
      <c r="G33" s="52" t="s">
        <v>416</v>
      </c>
      <c r="H33" s="52" t="s">
        <v>489</v>
      </c>
      <c r="I33" s="52" t="s">
        <v>418</v>
      </c>
      <c r="J33" s="53">
        <v>46269</v>
      </c>
      <c r="K33" s="65">
        <v>46297</v>
      </c>
    </row>
    <row r="34" spans="1:11" ht="51.95" customHeight="1" x14ac:dyDescent="0.25">
      <c r="A34" s="51" t="s">
        <v>572</v>
      </c>
      <c r="B34" s="52" t="s">
        <v>420</v>
      </c>
      <c r="C34" s="52" t="s">
        <v>133</v>
      </c>
      <c r="D34" s="52" t="s">
        <v>421</v>
      </c>
      <c r="E34" s="52" t="s">
        <v>573</v>
      </c>
      <c r="F34" s="52" t="s">
        <v>569</v>
      </c>
      <c r="G34" s="52" t="s">
        <v>425</v>
      </c>
      <c r="H34" s="52" t="s">
        <v>489</v>
      </c>
      <c r="I34" s="52" t="s">
        <v>49</v>
      </c>
      <c r="J34" s="53">
        <v>46303</v>
      </c>
      <c r="K34" s="65">
        <v>46303</v>
      </c>
    </row>
    <row r="35" spans="1:11" ht="51.95" customHeight="1" x14ac:dyDescent="0.25">
      <c r="A35" s="51" t="s">
        <v>574</v>
      </c>
      <c r="B35" s="52" t="s">
        <v>429</v>
      </c>
      <c r="C35" s="52" t="s">
        <v>133</v>
      </c>
      <c r="D35" s="52" t="s">
        <v>133</v>
      </c>
      <c r="E35" s="52" t="s">
        <v>575</v>
      </c>
      <c r="F35" s="52" t="s">
        <v>569</v>
      </c>
      <c r="G35" s="52" t="s">
        <v>434</v>
      </c>
      <c r="H35" s="52" t="s">
        <v>489</v>
      </c>
      <c r="I35" s="52" t="s">
        <v>437</v>
      </c>
      <c r="J35" s="53">
        <v>46253</v>
      </c>
      <c r="K35" s="65">
        <v>46309</v>
      </c>
    </row>
    <row r="36" spans="1:11" ht="51.95" customHeight="1" x14ac:dyDescent="0.25">
      <c r="A36" s="51" t="s">
        <v>576</v>
      </c>
      <c r="B36" s="52" t="s">
        <v>439</v>
      </c>
      <c r="C36" s="52" t="s">
        <v>133</v>
      </c>
      <c r="D36" s="52" t="s">
        <v>440</v>
      </c>
      <c r="E36" s="52" t="s">
        <v>577</v>
      </c>
      <c r="F36" s="52" t="s">
        <v>569</v>
      </c>
      <c r="G36" s="52" t="s">
        <v>444</v>
      </c>
      <c r="H36" s="52" t="s">
        <v>489</v>
      </c>
      <c r="I36" s="52" t="s">
        <v>445</v>
      </c>
      <c r="J36" s="53">
        <v>46297</v>
      </c>
      <c r="K36" s="65">
        <v>46297</v>
      </c>
    </row>
    <row r="37" spans="1:11" ht="51.95" customHeight="1" x14ac:dyDescent="0.25">
      <c r="A37" s="51" t="s">
        <v>578</v>
      </c>
      <c r="B37" s="52" t="s">
        <v>447</v>
      </c>
      <c r="C37" s="52" t="s">
        <v>133</v>
      </c>
      <c r="D37" s="52" t="s">
        <v>448</v>
      </c>
      <c r="E37" s="52" t="s">
        <v>579</v>
      </c>
      <c r="F37" s="52" t="s">
        <v>569</v>
      </c>
      <c r="G37" s="52" t="s">
        <v>452</v>
      </c>
      <c r="H37" s="52" t="s">
        <v>489</v>
      </c>
      <c r="I37" s="52" t="s">
        <v>454</v>
      </c>
      <c r="J37" s="53">
        <v>46269</v>
      </c>
      <c r="K37" s="65">
        <v>46285</v>
      </c>
    </row>
    <row r="38" spans="1:11" ht="51.95" customHeight="1" x14ac:dyDescent="0.25">
      <c r="A38" s="51" t="s">
        <v>580</v>
      </c>
      <c r="B38" s="52" t="s">
        <v>456</v>
      </c>
      <c r="C38" s="52" t="s">
        <v>133</v>
      </c>
      <c r="D38" s="52" t="s">
        <v>457</v>
      </c>
      <c r="E38" s="52" t="s">
        <v>581</v>
      </c>
      <c r="F38" s="52" t="s">
        <v>569</v>
      </c>
      <c r="G38" s="52" t="s">
        <v>461</v>
      </c>
      <c r="H38" s="52" t="s">
        <v>489</v>
      </c>
      <c r="I38" s="52" t="s">
        <v>49</v>
      </c>
      <c r="J38" s="53">
        <v>46302</v>
      </c>
      <c r="K38" s="65">
        <v>46304</v>
      </c>
    </row>
    <row r="39" spans="1:11" ht="51.95" customHeight="1" x14ac:dyDescent="0.25">
      <c r="A39" s="51" t="s">
        <v>582</v>
      </c>
      <c r="B39" s="52" t="s">
        <v>464</v>
      </c>
      <c r="C39" s="52" t="s">
        <v>133</v>
      </c>
      <c r="D39" s="52" t="s">
        <v>465</v>
      </c>
      <c r="E39" s="52" t="s">
        <v>583</v>
      </c>
      <c r="F39" s="52" t="s">
        <v>569</v>
      </c>
      <c r="G39" s="52" t="s">
        <v>470</v>
      </c>
      <c r="H39" s="52" t="s">
        <v>489</v>
      </c>
      <c r="I39" s="52" t="s">
        <v>49</v>
      </c>
      <c r="J39" s="53">
        <v>46304</v>
      </c>
      <c r="K39" s="65">
        <v>46304</v>
      </c>
    </row>
    <row r="40" spans="1:11" ht="51.95" customHeight="1" x14ac:dyDescent="0.25">
      <c r="A40" s="55" t="s">
        <v>584</v>
      </c>
      <c r="B40" s="56" t="s">
        <v>132</v>
      </c>
      <c r="C40" s="56" t="s">
        <v>133</v>
      </c>
      <c r="D40" s="56" t="s">
        <v>472</v>
      </c>
      <c r="E40" s="56" t="s">
        <v>585</v>
      </c>
      <c r="F40" s="56" t="s">
        <v>569</v>
      </c>
      <c r="G40" s="56" t="s">
        <v>476</v>
      </c>
      <c r="H40" s="56" t="s">
        <v>489</v>
      </c>
      <c r="I40" s="56" t="s">
        <v>478</v>
      </c>
      <c r="J40" s="57">
        <v>46279</v>
      </c>
      <c r="K40" s="66">
        <v>46309</v>
      </c>
    </row>
  </sheetData>
  <mergeCells count="2">
    <mergeCell ref="A1:K1"/>
    <mergeCell ref="A2:K2"/>
  </mergeCells>
  <conditionalFormatting sqref="G5:G40">
    <cfRule type="cellIs" dxfId="28" priority="2" operator="equal">
      <formula>"Aprobado"</formula>
    </cfRule>
    <cfRule type="cellIs" dxfId="27" priority="3" operator="equal">
      <formula>"Fallido"</formula>
    </cfRule>
  </conditionalFormatting>
  <conditionalFormatting sqref="H5:H40">
    <cfRule type="expression" dxfId="26" priority="4">
      <formula>H5="Aprobado"</formula>
    </cfRule>
    <cfRule type="expression" dxfId="25" priority="5">
      <formula>H5="Fallido"</formula>
    </cfRule>
  </conditionalFormatting>
  <dataValidations count="2">
    <dataValidation type="list" allowBlank="1" errorTitle="Valor no permitido" error="Seleccione un valor de la lista desplegable." sqref="G5:G40" xr:uid="{00000000-0002-0000-0300-000000000000}">
      <formula1>#REF!</formula1>
      <formula2>0</formula2>
    </dataValidation>
    <dataValidation type="list" sqref="G5:G21 H5:H40" xr:uid="{00000000-0002-0000-0300-000001000000}">
      <formula1>"Pendiente,Aprobado,Fallido,Bloqueado"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98600"/>
  </sheetPr>
  <dimension ref="A1:M60"/>
  <sheetViews>
    <sheetView showGridLines="0" topLeftCell="A4" workbookViewId="0">
      <selection activeCell="G9" sqref="G9"/>
    </sheetView>
  </sheetViews>
  <sheetFormatPr baseColWidth="10" defaultColWidth="8.7109375" defaultRowHeight="15" x14ac:dyDescent="0.25"/>
  <cols>
    <col min="1" max="1" width="12" customWidth="1"/>
    <col min="2" max="2" width="8" customWidth="1"/>
    <col min="3" max="3" width="20" customWidth="1"/>
    <col min="4" max="4" width="30" customWidth="1"/>
    <col min="5" max="5" width="16" customWidth="1"/>
    <col min="6" max="6" width="26" customWidth="1"/>
    <col min="7" max="7" width="22" customWidth="1"/>
    <col min="8" max="9" width="13" customWidth="1"/>
    <col min="10" max="10" width="13.140625" customWidth="1"/>
    <col min="11" max="11" width="44" customWidth="1"/>
    <col min="12" max="12" width="13" customWidth="1"/>
    <col min="13" max="13" width="14" customWidth="1"/>
  </cols>
  <sheetData>
    <row r="1" spans="1:13" ht="30" customHeight="1" x14ac:dyDescent="0.3">
      <c r="A1" s="67" t="s">
        <v>586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8" customHeight="1" x14ac:dyDescent="0.25">
      <c r="A2" s="68" t="s">
        <v>587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4" spans="1:13" ht="32.1" customHeight="1" x14ac:dyDescent="0.25">
      <c r="A4" s="62" t="s">
        <v>588</v>
      </c>
      <c r="B4" s="62" t="s">
        <v>136</v>
      </c>
      <c r="C4" s="62" t="s">
        <v>137</v>
      </c>
      <c r="D4" s="62" t="s">
        <v>52</v>
      </c>
      <c r="E4" s="62" t="s">
        <v>54</v>
      </c>
      <c r="F4" s="62" t="s">
        <v>589</v>
      </c>
      <c r="G4" s="62" t="s">
        <v>147</v>
      </c>
      <c r="H4" s="62" t="s">
        <v>148</v>
      </c>
      <c r="I4" s="62" t="s">
        <v>149</v>
      </c>
      <c r="J4" s="62" t="s">
        <v>590</v>
      </c>
      <c r="K4" s="62" t="s">
        <v>591</v>
      </c>
      <c r="L4" s="62" t="s">
        <v>146</v>
      </c>
      <c r="M4" s="62" t="s">
        <v>88</v>
      </c>
    </row>
    <row r="5" spans="1:13" ht="38.1" customHeight="1" x14ac:dyDescent="0.25">
      <c r="A5" s="39" t="s">
        <v>151</v>
      </c>
      <c r="B5" s="40" t="s">
        <v>152</v>
      </c>
      <c r="C5" s="40" t="s">
        <v>153</v>
      </c>
      <c r="D5" s="40" t="s">
        <v>154</v>
      </c>
      <c r="E5" s="40" t="s">
        <v>156</v>
      </c>
      <c r="F5" s="40" t="s">
        <v>157</v>
      </c>
      <c r="G5" s="40" t="s">
        <v>15</v>
      </c>
      <c r="H5" s="41">
        <v>46271</v>
      </c>
      <c r="I5" s="41" t="s">
        <v>753</v>
      </c>
      <c r="J5" s="40" t="s">
        <v>486</v>
      </c>
      <c r="K5" s="40" t="s">
        <v>164</v>
      </c>
      <c r="L5" s="40" t="s">
        <v>163</v>
      </c>
      <c r="M5" s="42" t="s">
        <v>592</v>
      </c>
    </row>
    <row r="6" spans="1:13" ht="38.1" customHeight="1" x14ac:dyDescent="0.25">
      <c r="A6" s="43" t="s">
        <v>165</v>
      </c>
      <c r="B6" s="44" t="s">
        <v>166</v>
      </c>
      <c r="C6" s="44" t="s">
        <v>167</v>
      </c>
      <c r="D6" s="44" t="s">
        <v>168</v>
      </c>
      <c r="E6" s="44" t="s">
        <v>156</v>
      </c>
      <c r="F6" s="44" t="s">
        <v>157</v>
      </c>
      <c r="G6" s="44" t="s">
        <v>15</v>
      </c>
      <c r="H6" s="45">
        <v>46271</v>
      </c>
      <c r="I6" s="41" t="s">
        <v>753</v>
      </c>
      <c r="J6" s="44" t="s">
        <v>490</v>
      </c>
      <c r="K6" s="44" t="s">
        <v>173</v>
      </c>
      <c r="L6" s="44" t="s">
        <v>163</v>
      </c>
      <c r="M6" s="46" t="s">
        <v>592</v>
      </c>
    </row>
    <row r="7" spans="1:13" ht="38.1" customHeight="1" x14ac:dyDescent="0.25">
      <c r="A7" s="43" t="s">
        <v>174</v>
      </c>
      <c r="B7" s="44" t="s">
        <v>162</v>
      </c>
      <c r="C7" s="44" t="s">
        <v>175</v>
      </c>
      <c r="D7" s="44" t="s">
        <v>176</v>
      </c>
      <c r="E7" s="44" t="s">
        <v>156</v>
      </c>
      <c r="F7" s="44" t="s">
        <v>157</v>
      </c>
      <c r="G7" s="44" t="s">
        <v>15</v>
      </c>
      <c r="H7" s="45">
        <v>46270</v>
      </c>
      <c r="I7" s="41" t="s">
        <v>753</v>
      </c>
      <c r="J7" s="44" t="s">
        <v>493</v>
      </c>
      <c r="K7" s="44" t="s">
        <v>181</v>
      </c>
      <c r="L7" s="44" t="s">
        <v>163</v>
      </c>
      <c r="M7" s="46" t="s">
        <v>592</v>
      </c>
    </row>
    <row r="8" spans="1:13" ht="38.1" customHeight="1" x14ac:dyDescent="0.25">
      <c r="A8" s="43" t="s">
        <v>182</v>
      </c>
      <c r="B8" s="44" t="s">
        <v>183</v>
      </c>
      <c r="C8" s="44" t="s">
        <v>184</v>
      </c>
      <c r="D8" s="44" t="s">
        <v>185</v>
      </c>
      <c r="E8" s="44" t="s">
        <v>156</v>
      </c>
      <c r="F8" s="44" t="s">
        <v>157</v>
      </c>
      <c r="G8" s="44" t="s">
        <v>190</v>
      </c>
      <c r="H8" s="45">
        <v>46274</v>
      </c>
      <c r="I8" s="41" t="s">
        <v>753</v>
      </c>
      <c r="J8" s="44" t="s">
        <v>496</v>
      </c>
      <c r="K8" s="44" t="s">
        <v>191</v>
      </c>
      <c r="L8" s="44" t="s">
        <v>163</v>
      </c>
      <c r="M8" s="46" t="s">
        <v>592</v>
      </c>
    </row>
    <row r="9" spans="1:13" ht="38.1" customHeight="1" x14ac:dyDescent="0.25">
      <c r="A9" s="43" t="s">
        <v>192</v>
      </c>
      <c r="B9" s="44" t="s">
        <v>193</v>
      </c>
      <c r="C9" s="44" t="s">
        <v>194</v>
      </c>
      <c r="D9" s="44" t="s">
        <v>195</v>
      </c>
      <c r="E9" s="44" t="s">
        <v>156</v>
      </c>
      <c r="F9" s="44" t="s">
        <v>157</v>
      </c>
      <c r="G9" s="44" t="s">
        <v>190</v>
      </c>
      <c r="H9" s="45">
        <v>46275</v>
      </c>
      <c r="I9" s="41" t="s">
        <v>753</v>
      </c>
      <c r="J9" s="44" t="s">
        <v>499</v>
      </c>
      <c r="K9" s="44" t="s">
        <v>200</v>
      </c>
      <c r="L9" s="44" t="s">
        <v>163</v>
      </c>
      <c r="M9" s="46" t="s">
        <v>592</v>
      </c>
    </row>
    <row r="10" spans="1:13" ht="38.1" customHeight="1" x14ac:dyDescent="0.25">
      <c r="A10" s="43" t="s">
        <v>201</v>
      </c>
      <c r="B10" s="44" t="s">
        <v>202</v>
      </c>
      <c r="C10" s="44" t="s">
        <v>203</v>
      </c>
      <c r="D10" s="44" t="s">
        <v>204</v>
      </c>
      <c r="E10" s="44" t="s">
        <v>156</v>
      </c>
      <c r="F10" s="44" t="s">
        <v>157</v>
      </c>
      <c r="G10" s="44" t="s">
        <v>190</v>
      </c>
      <c r="H10" s="45">
        <v>46276</v>
      </c>
      <c r="I10" s="41" t="s">
        <v>753</v>
      </c>
      <c r="J10" s="44" t="s">
        <v>502</v>
      </c>
      <c r="K10" s="44" t="s">
        <v>209</v>
      </c>
      <c r="L10" s="44" t="s">
        <v>163</v>
      </c>
      <c r="M10" s="46" t="s">
        <v>592</v>
      </c>
    </row>
    <row r="11" spans="1:13" ht="38.1" customHeight="1" x14ac:dyDescent="0.25">
      <c r="A11" s="43" t="s">
        <v>210</v>
      </c>
      <c r="B11" s="44" t="s">
        <v>211</v>
      </c>
      <c r="C11" s="44" t="s">
        <v>212</v>
      </c>
      <c r="D11" s="44" t="s">
        <v>213</v>
      </c>
      <c r="E11" s="44" t="s">
        <v>156</v>
      </c>
      <c r="F11" s="44" t="s">
        <v>157</v>
      </c>
      <c r="G11" s="44" t="s">
        <v>190</v>
      </c>
      <c r="H11" s="45">
        <v>46276</v>
      </c>
      <c r="I11" s="41" t="s">
        <v>753</v>
      </c>
      <c r="J11" s="44" t="s">
        <v>505</v>
      </c>
      <c r="K11" s="44" t="s">
        <v>218</v>
      </c>
      <c r="L11" s="44" t="s">
        <v>163</v>
      </c>
      <c r="M11" s="46" t="s">
        <v>592</v>
      </c>
    </row>
    <row r="12" spans="1:13" ht="38.1" customHeight="1" x14ac:dyDescent="0.25">
      <c r="A12" s="43" t="s">
        <v>219</v>
      </c>
      <c r="B12" s="44" t="s">
        <v>220</v>
      </c>
      <c r="C12" s="44" t="s">
        <v>221</v>
      </c>
      <c r="D12" s="44" t="s">
        <v>222</v>
      </c>
      <c r="E12" s="44" t="s">
        <v>156</v>
      </c>
      <c r="F12" s="44" t="s">
        <v>157</v>
      </c>
      <c r="G12" s="44" t="s">
        <v>190</v>
      </c>
      <c r="H12" s="45">
        <v>46277</v>
      </c>
      <c r="I12" s="41" t="s">
        <v>753</v>
      </c>
      <c r="J12" s="44" t="s">
        <v>508</v>
      </c>
      <c r="K12" s="44" t="s">
        <v>228</v>
      </c>
      <c r="L12" s="44" t="s">
        <v>163</v>
      </c>
      <c r="M12" s="46" t="s">
        <v>592</v>
      </c>
    </row>
    <row r="13" spans="1:13" ht="38.1" customHeight="1" x14ac:dyDescent="0.25">
      <c r="A13" s="43" t="s">
        <v>229</v>
      </c>
      <c r="B13" s="44" t="s">
        <v>230</v>
      </c>
      <c r="C13" s="44" t="s">
        <v>231</v>
      </c>
      <c r="D13" s="44" t="s">
        <v>232</v>
      </c>
      <c r="E13" s="44" t="s">
        <v>156</v>
      </c>
      <c r="F13" s="44" t="s">
        <v>157</v>
      </c>
      <c r="G13" s="44" t="s">
        <v>190</v>
      </c>
      <c r="H13" s="45">
        <v>46276</v>
      </c>
      <c r="I13" s="41" t="s">
        <v>753</v>
      </c>
      <c r="J13" s="44" t="s">
        <v>511</v>
      </c>
      <c r="K13" s="44" t="s">
        <v>238</v>
      </c>
      <c r="L13" s="44" t="s">
        <v>163</v>
      </c>
      <c r="M13" s="46" t="s">
        <v>592</v>
      </c>
    </row>
    <row r="14" spans="1:13" ht="38.1" customHeight="1" x14ac:dyDescent="0.25">
      <c r="A14" s="43" t="s">
        <v>239</v>
      </c>
      <c r="B14" s="44" t="s">
        <v>240</v>
      </c>
      <c r="C14" s="44" t="s">
        <v>241</v>
      </c>
      <c r="D14" s="44" t="s">
        <v>242</v>
      </c>
      <c r="E14" s="44" t="s">
        <v>156</v>
      </c>
      <c r="F14" s="44" t="s">
        <v>157</v>
      </c>
      <c r="G14" s="44" t="s">
        <v>190</v>
      </c>
      <c r="H14" s="45">
        <v>46277</v>
      </c>
      <c r="I14" s="41" t="s">
        <v>753</v>
      </c>
      <c r="J14" s="44" t="s">
        <v>514</v>
      </c>
      <c r="K14" s="44" t="s">
        <v>247</v>
      </c>
      <c r="L14" s="44" t="s">
        <v>163</v>
      </c>
      <c r="M14" s="46" t="s">
        <v>592</v>
      </c>
    </row>
    <row r="15" spans="1:13" ht="38.1" customHeight="1" x14ac:dyDescent="0.25">
      <c r="A15" s="43" t="s">
        <v>248</v>
      </c>
      <c r="B15" s="44" t="s">
        <v>249</v>
      </c>
      <c r="C15" s="44" t="s">
        <v>250</v>
      </c>
      <c r="D15" s="44" t="s">
        <v>251</v>
      </c>
      <c r="E15" s="44" t="s">
        <v>156</v>
      </c>
      <c r="F15" s="44" t="s">
        <v>157</v>
      </c>
      <c r="G15" s="44" t="s">
        <v>256</v>
      </c>
      <c r="H15" s="45">
        <v>46281</v>
      </c>
      <c r="I15" s="41" t="s">
        <v>753</v>
      </c>
      <c r="J15" s="44" t="s">
        <v>517</v>
      </c>
      <c r="K15" s="44" t="s">
        <v>257</v>
      </c>
      <c r="L15" s="44" t="s">
        <v>163</v>
      </c>
      <c r="M15" s="46" t="s">
        <v>592</v>
      </c>
    </row>
    <row r="16" spans="1:13" ht="38.1" customHeight="1" x14ac:dyDescent="0.25">
      <c r="A16" s="43" t="s">
        <v>258</v>
      </c>
      <c r="B16" s="44" t="s">
        <v>259</v>
      </c>
      <c r="C16" s="44" t="s">
        <v>260</v>
      </c>
      <c r="D16" s="44" t="s">
        <v>261</v>
      </c>
      <c r="E16" s="44" t="s">
        <v>156</v>
      </c>
      <c r="F16" s="44" t="s">
        <v>157</v>
      </c>
      <c r="G16" s="44" t="s">
        <v>256</v>
      </c>
      <c r="H16" s="45">
        <v>46285</v>
      </c>
      <c r="I16" s="41" t="s">
        <v>753</v>
      </c>
      <c r="J16" s="44" t="s">
        <v>520</v>
      </c>
      <c r="K16" s="44" t="s">
        <v>266</v>
      </c>
      <c r="L16" s="44" t="s">
        <v>163</v>
      </c>
      <c r="M16" s="46" t="s">
        <v>592</v>
      </c>
    </row>
    <row r="17" spans="1:13" ht="38.1" customHeight="1" x14ac:dyDescent="0.25">
      <c r="A17" s="43" t="s">
        <v>69</v>
      </c>
      <c r="B17" s="44" t="s">
        <v>70</v>
      </c>
      <c r="C17" s="44" t="s">
        <v>267</v>
      </c>
      <c r="D17" s="44" t="s">
        <v>268</v>
      </c>
      <c r="E17" s="44" t="s">
        <v>156</v>
      </c>
      <c r="F17" s="44" t="s">
        <v>157</v>
      </c>
      <c r="G17" s="44" t="s">
        <v>256</v>
      </c>
      <c r="H17" s="45">
        <v>46282</v>
      </c>
      <c r="I17" s="41" t="s">
        <v>753</v>
      </c>
      <c r="J17" s="44" t="s">
        <v>523</v>
      </c>
      <c r="K17" s="44" t="s">
        <v>273</v>
      </c>
      <c r="L17" s="44" t="s">
        <v>163</v>
      </c>
      <c r="M17" s="46" t="s">
        <v>592</v>
      </c>
    </row>
    <row r="18" spans="1:13" ht="38.1" customHeight="1" x14ac:dyDescent="0.25">
      <c r="A18" s="43" t="s">
        <v>76</v>
      </c>
      <c r="B18" s="44" t="s">
        <v>77</v>
      </c>
      <c r="C18" s="44" t="s">
        <v>274</v>
      </c>
      <c r="D18" s="44" t="s">
        <v>275</v>
      </c>
      <c r="E18" s="44" t="s">
        <v>156</v>
      </c>
      <c r="F18" s="44" t="s">
        <v>157</v>
      </c>
      <c r="G18" s="44" t="s">
        <v>256</v>
      </c>
      <c r="H18" s="45">
        <v>46283</v>
      </c>
      <c r="I18" s="41" t="s">
        <v>753</v>
      </c>
      <c r="J18" s="44" t="s">
        <v>526</v>
      </c>
      <c r="K18" s="44" t="s">
        <v>281</v>
      </c>
      <c r="L18" s="44" t="s">
        <v>163</v>
      </c>
      <c r="M18" s="46" t="s">
        <v>592</v>
      </c>
    </row>
    <row r="19" spans="1:13" ht="38.1" customHeight="1" x14ac:dyDescent="0.25">
      <c r="A19" s="43" t="s">
        <v>282</v>
      </c>
      <c r="B19" s="44" t="s">
        <v>283</v>
      </c>
      <c r="C19" s="44" t="s">
        <v>284</v>
      </c>
      <c r="D19" s="44" t="s">
        <v>285</v>
      </c>
      <c r="E19" s="44" t="s">
        <v>156</v>
      </c>
      <c r="F19" s="44" t="s">
        <v>157</v>
      </c>
      <c r="G19" s="44" t="s">
        <v>256</v>
      </c>
      <c r="H19" s="45">
        <v>46283</v>
      </c>
      <c r="I19" s="41" t="s">
        <v>753</v>
      </c>
      <c r="J19" s="44" t="s">
        <v>529</v>
      </c>
      <c r="K19" s="44" t="s">
        <v>290</v>
      </c>
      <c r="L19" s="44" t="s">
        <v>163</v>
      </c>
      <c r="M19" s="46" t="s">
        <v>592</v>
      </c>
    </row>
    <row r="20" spans="1:13" ht="38.1" customHeight="1" x14ac:dyDescent="0.25">
      <c r="A20" s="43" t="s">
        <v>291</v>
      </c>
      <c r="B20" s="44" t="s">
        <v>292</v>
      </c>
      <c r="C20" s="44" t="s">
        <v>293</v>
      </c>
      <c r="D20" s="44" t="s">
        <v>294</v>
      </c>
      <c r="E20" s="44" t="s">
        <v>156</v>
      </c>
      <c r="F20" s="44" t="s">
        <v>157</v>
      </c>
      <c r="G20" s="44" t="s">
        <v>256</v>
      </c>
      <c r="H20" s="45">
        <v>46283</v>
      </c>
      <c r="I20" s="41" t="s">
        <v>753</v>
      </c>
      <c r="J20" s="44" t="s">
        <v>532</v>
      </c>
      <c r="K20" s="44" t="s">
        <v>299</v>
      </c>
      <c r="L20" s="44" t="s">
        <v>163</v>
      </c>
      <c r="M20" s="46" t="s">
        <v>592</v>
      </c>
    </row>
    <row r="21" spans="1:13" ht="38.1" customHeight="1" x14ac:dyDescent="0.25">
      <c r="A21" s="43" t="s">
        <v>300</v>
      </c>
      <c r="B21" s="44" t="s">
        <v>301</v>
      </c>
      <c r="C21" s="44" t="s">
        <v>302</v>
      </c>
      <c r="D21" s="44" t="s">
        <v>303</v>
      </c>
      <c r="E21" s="44" t="s">
        <v>156</v>
      </c>
      <c r="F21" s="44" t="s">
        <v>157</v>
      </c>
      <c r="G21" s="44" t="s">
        <v>256</v>
      </c>
      <c r="H21" s="45">
        <v>46284</v>
      </c>
      <c r="I21" s="41" t="s">
        <v>753</v>
      </c>
      <c r="J21" s="44" t="s">
        <v>535</v>
      </c>
      <c r="K21" s="44" t="s">
        <v>308</v>
      </c>
      <c r="L21" s="44" t="s">
        <v>163</v>
      </c>
      <c r="M21" s="46" t="s">
        <v>592</v>
      </c>
    </row>
    <row r="22" spans="1:13" ht="38.1" customHeight="1" x14ac:dyDescent="0.25">
      <c r="A22" s="43" t="s">
        <v>90</v>
      </c>
      <c r="B22" s="44" t="s">
        <v>91</v>
      </c>
      <c r="C22" s="44" t="s">
        <v>309</v>
      </c>
      <c r="D22" s="44" t="s">
        <v>310</v>
      </c>
      <c r="E22" s="44" t="s">
        <v>156</v>
      </c>
      <c r="F22" s="44" t="s">
        <v>157</v>
      </c>
      <c r="G22" s="44" t="s">
        <v>256</v>
      </c>
      <c r="H22" s="45">
        <v>46286</v>
      </c>
      <c r="I22" s="41" t="s">
        <v>753</v>
      </c>
      <c r="J22" s="44" t="s">
        <v>538</v>
      </c>
      <c r="K22" s="44" t="s">
        <v>316</v>
      </c>
      <c r="L22" s="44" t="s">
        <v>163</v>
      </c>
      <c r="M22" s="46" t="s">
        <v>592</v>
      </c>
    </row>
    <row r="23" spans="1:13" ht="38.1" customHeight="1" x14ac:dyDescent="0.25">
      <c r="A23" s="43" t="s">
        <v>317</v>
      </c>
      <c r="B23" s="44" t="s">
        <v>318</v>
      </c>
      <c r="C23" s="44" t="s">
        <v>319</v>
      </c>
      <c r="D23" s="44" t="s">
        <v>320</v>
      </c>
      <c r="E23" s="44" t="s">
        <v>156</v>
      </c>
      <c r="F23" s="44" t="s">
        <v>157</v>
      </c>
      <c r="G23" s="44" t="s">
        <v>325</v>
      </c>
      <c r="H23" s="45">
        <v>46288</v>
      </c>
      <c r="I23" s="41" t="s">
        <v>753</v>
      </c>
      <c r="J23" s="44" t="s">
        <v>541</v>
      </c>
      <c r="K23" s="44" t="s">
        <v>326</v>
      </c>
      <c r="L23" s="44" t="s">
        <v>163</v>
      </c>
      <c r="M23" s="46" t="s">
        <v>592</v>
      </c>
    </row>
    <row r="24" spans="1:13" ht="38.1" customHeight="1" x14ac:dyDescent="0.25">
      <c r="A24" s="43" t="s">
        <v>327</v>
      </c>
      <c r="B24" s="44" t="s">
        <v>328</v>
      </c>
      <c r="C24" s="44" t="s">
        <v>329</v>
      </c>
      <c r="D24" s="44" t="s">
        <v>330</v>
      </c>
      <c r="E24" s="44" t="s">
        <v>156</v>
      </c>
      <c r="F24" s="44" t="s">
        <v>157</v>
      </c>
      <c r="G24" s="44" t="s">
        <v>325</v>
      </c>
      <c r="H24" s="45">
        <v>46289</v>
      </c>
      <c r="I24" s="41" t="s">
        <v>753</v>
      </c>
      <c r="J24" s="44" t="s">
        <v>544</v>
      </c>
      <c r="K24" s="44" t="s">
        <v>335</v>
      </c>
      <c r="L24" s="44" t="s">
        <v>163</v>
      </c>
      <c r="M24" s="46" t="s">
        <v>592</v>
      </c>
    </row>
    <row r="25" spans="1:13" ht="38.1" customHeight="1" x14ac:dyDescent="0.25">
      <c r="A25" s="43" t="s">
        <v>336</v>
      </c>
      <c r="B25" s="44" t="s">
        <v>337</v>
      </c>
      <c r="C25" s="44" t="s">
        <v>338</v>
      </c>
      <c r="D25" s="44" t="s">
        <v>339</v>
      </c>
      <c r="E25" s="44" t="s">
        <v>156</v>
      </c>
      <c r="F25" s="44" t="s">
        <v>157</v>
      </c>
      <c r="G25" s="44" t="s">
        <v>325</v>
      </c>
      <c r="H25" s="45">
        <v>46290</v>
      </c>
      <c r="I25" s="41" t="s">
        <v>753</v>
      </c>
      <c r="J25" s="44" t="s">
        <v>547</v>
      </c>
      <c r="K25" s="44" t="s">
        <v>344</v>
      </c>
      <c r="L25" s="44" t="s">
        <v>163</v>
      </c>
      <c r="M25" s="46" t="s">
        <v>592</v>
      </c>
    </row>
    <row r="26" spans="1:13" ht="38.1" customHeight="1" x14ac:dyDescent="0.25">
      <c r="A26" s="43" t="s">
        <v>345</v>
      </c>
      <c r="B26" s="44" t="s">
        <v>346</v>
      </c>
      <c r="C26" s="44" t="s">
        <v>347</v>
      </c>
      <c r="D26" s="44" t="s">
        <v>348</v>
      </c>
      <c r="E26" s="44" t="s">
        <v>156</v>
      </c>
      <c r="F26" s="44" t="s">
        <v>157</v>
      </c>
      <c r="G26" s="44" t="s">
        <v>325</v>
      </c>
      <c r="H26" s="45">
        <v>46291</v>
      </c>
      <c r="I26" s="41" t="s">
        <v>753</v>
      </c>
      <c r="J26" s="44" t="s">
        <v>550</v>
      </c>
      <c r="K26" s="44" t="s">
        <v>353</v>
      </c>
      <c r="L26" s="44" t="s">
        <v>163</v>
      </c>
      <c r="M26" s="46" t="s">
        <v>592</v>
      </c>
    </row>
    <row r="27" spans="1:13" ht="38.1" customHeight="1" x14ac:dyDescent="0.25">
      <c r="A27" s="43" t="s">
        <v>354</v>
      </c>
      <c r="B27" s="44" t="s">
        <v>355</v>
      </c>
      <c r="C27" s="44" t="s">
        <v>356</v>
      </c>
      <c r="D27" s="44" t="s">
        <v>357</v>
      </c>
      <c r="E27" s="44" t="s">
        <v>156</v>
      </c>
      <c r="F27" s="44" t="s">
        <v>157</v>
      </c>
      <c r="G27" s="44" t="s">
        <v>325</v>
      </c>
      <c r="H27" s="45">
        <v>46290</v>
      </c>
      <c r="I27" s="41" t="s">
        <v>753</v>
      </c>
      <c r="J27" s="44" t="s">
        <v>553</v>
      </c>
      <c r="K27" s="44" t="s">
        <v>362</v>
      </c>
      <c r="L27" s="44" t="s">
        <v>163</v>
      </c>
      <c r="M27" s="46" t="s">
        <v>592</v>
      </c>
    </row>
    <row r="28" spans="1:13" ht="38.1" customHeight="1" x14ac:dyDescent="0.25">
      <c r="A28" s="43" t="s">
        <v>363</v>
      </c>
      <c r="B28" s="44" t="s">
        <v>364</v>
      </c>
      <c r="C28" s="44" t="s">
        <v>365</v>
      </c>
      <c r="D28" s="44" t="s">
        <v>366</v>
      </c>
      <c r="E28" s="44" t="s">
        <v>156</v>
      </c>
      <c r="F28" s="44" t="s">
        <v>157</v>
      </c>
      <c r="G28" s="44" t="s">
        <v>325</v>
      </c>
      <c r="H28" s="45">
        <v>46290</v>
      </c>
      <c r="I28" s="41" t="s">
        <v>753</v>
      </c>
      <c r="J28" s="44" t="s">
        <v>556</v>
      </c>
      <c r="K28" s="44" t="s">
        <v>371</v>
      </c>
      <c r="L28" s="44" t="s">
        <v>163</v>
      </c>
      <c r="M28" s="46" t="s">
        <v>592</v>
      </c>
    </row>
    <row r="29" spans="1:13" ht="38.1" customHeight="1" x14ac:dyDescent="0.25">
      <c r="A29" s="43" t="s">
        <v>372</v>
      </c>
      <c r="B29" s="44" t="s">
        <v>373</v>
      </c>
      <c r="C29" s="44" t="s">
        <v>374</v>
      </c>
      <c r="D29" s="44" t="s">
        <v>375</v>
      </c>
      <c r="E29" s="44" t="s">
        <v>116</v>
      </c>
      <c r="F29" s="44" t="s">
        <v>157</v>
      </c>
      <c r="G29" s="44" t="s">
        <v>49</v>
      </c>
      <c r="H29" s="45">
        <v>46305</v>
      </c>
      <c r="I29" s="41" t="s">
        <v>753</v>
      </c>
      <c r="J29" s="44" t="s">
        <v>559</v>
      </c>
      <c r="K29" s="44" t="s">
        <v>381</v>
      </c>
      <c r="L29" s="44" t="s">
        <v>163</v>
      </c>
      <c r="M29" s="46" t="s">
        <v>592</v>
      </c>
    </row>
    <row r="30" spans="1:13" ht="38.1" customHeight="1" x14ac:dyDescent="0.25">
      <c r="A30" s="43" t="s">
        <v>382</v>
      </c>
      <c r="B30" s="44" t="s">
        <v>383</v>
      </c>
      <c r="C30" s="44" t="s">
        <v>384</v>
      </c>
      <c r="D30" s="44" t="s">
        <v>385</v>
      </c>
      <c r="E30" s="44" t="s">
        <v>116</v>
      </c>
      <c r="F30" s="44" t="s">
        <v>157</v>
      </c>
      <c r="G30" s="44" t="s">
        <v>49</v>
      </c>
      <c r="H30" s="45">
        <v>46306</v>
      </c>
      <c r="I30" s="41" t="s">
        <v>753</v>
      </c>
      <c r="J30" s="44" t="s">
        <v>562</v>
      </c>
      <c r="K30" s="44" t="s">
        <v>391</v>
      </c>
      <c r="L30" s="44" t="s">
        <v>163</v>
      </c>
      <c r="M30" s="46" t="s">
        <v>592</v>
      </c>
    </row>
    <row r="31" spans="1:13" ht="38.1" customHeight="1" x14ac:dyDescent="0.25">
      <c r="A31" s="43" t="s">
        <v>125</v>
      </c>
      <c r="B31" s="44" t="s">
        <v>126</v>
      </c>
      <c r="C31" s="44" t="s">
        <v>392</v>
      </c>
      <c r="D31" s="44" t="s">
        <v>393</v>
      </c>
      <c r="E31" s="44" t="s">
        <v>123</v>
      </c>
      <c r="F31" s="44" t="s">
        <v>157</v>
      </c>
      <c r="G31" s="44" t="s">
        <v>49</v>
      </c>
      <c r="H31" s="45">
        <v>46306</v>
      </c>
      <c r="I31" s="41" t="s">
        <v>753</v>
      </c>
      <c r="J31" s="44" t="s">
        <v>564</v>
      </c>
      <c r="K31" s="44" t="s">
        <v>398</v>
      </c>
      <c r="L31" s="44" t="s">
        <v>163</v>
      </c>
      <c r="M31" s="46" t="s">
        <v>592</v>
      </c>
    </row>
    <row r="32" spans="1:13" ht="38.1" customHeight="1" x14ac:dyDescent="0.25">
      <c r="A32" s="51" t="s">
        <v>399</v>
      </c>
      <c r="B32" s="52" t="s">
        <v>133</v>
      </c>
      <c r="C32" s="52" t="s">
        <v>400</v>
      </c>
      <c r="D32" s="52" t="s">
        <v>401</v>
      </c>
      <c r="E32" s="52" t="s">
        <v>403</v>
      </c>
      <c r="F32" s="52" t="s">
        <v>405</v>
      </c>
      <c r="G32" s="52" t="s">
        <v>409</v>
      </c>
      <c r="H32" s="53">
        <v>46261</v>
      </c>
      <c r="I32" s="53" t="str">
        <f t="shared" ref="I5:I36" si="0">IF(A32="","",IF(AND(C32&lt;&gt;"",E32&lt;&gt;"",F32&lt;&gt;"SIN PRUEBA",G32&lt;&gt;""),"Completa","Incompleta"))</f>
        <v>Completa</v>
      </c>
      <c r="J32" s="52" t="s">
        <v>567</v>
      </c>
      <c r="K32" s="52" t="s">
        <v>410</v>
      </c>
      <c r="L32" s="52" t="s">
        <v>163</v>
      </c>
      <c r="M32" s="54" t="s">
        <v>592</v>
      </c>
    </row>
    <row r="33" spans="1:13" ht="38.1" customHeight="1" x14ac:dyDescent="0.25">
      <c r="A33" s="51" t="s">
        <v>411</v>
      </c>
      <c r="B33" s="52" t="s">
        <v>133</v>
      </c>
      <c r="C33" s="52" t="s">
        <v>412</v>
      </c>
      <c r="D33" s="52" t="s">
        <v>413</v>
      </c>
      <c r="E33" s="52" t="s">
        <v>403</v>
      </c>
      <c r="F33" s="52" t="s">
        <v>405</v>
      </c>
      <c r="G33" s="52" t="s">
        <v>418</v>
      </c>
      <c r="H33" s="53">
        <v>46269</v>
      </c>
      <c r="I33" s="53" t="str">
        <f t="shared" si="0"/>
        <v>Completa</v>
      </c>
      <c r="J33" s="52" t="s">
        <v>570</v>
      </c>
      <c r="K33" s="52" t="s">
        <v>419</v>
      </c>
      <c r="L33" s="52" t="s">
        <v>163</v>
      </c>
      <c r="M33" s="54" t="s">
        <v>592</v>
      </c>
    </row>
    <row r="34" spans="1:13" ht="38.1" customHeight="1" x14ac:dyDescent="0.25">
      <c r="A34" s="51" t="s">
        <v>420</v>
      </c>
      <c r="B34" s="52" t="s">
        <v>133</v>
      </c>
      <c r="C34" s="52" t="s">
        <v>421</v>
      </c>
      <c r="D34" s="52" t="s">
        <v>422</v>
      </c>
      <c r="E34" s="52" t="s">
        <v>403</v>
      </c>
      <c r="F34" s="52" t="s">
        <v>405</v>
      </c>
      <c r="G34" s="52" t="s">
        <v>49</v>
      </c>
      <c r="H34" s="53">
        <v>46303</v>
      </c>
      <c r="I34" s="53" t="str">
        <f t="shared" si="0"/>
        <v>Completa</v>
      </c>
      <c r="J34" s="52" t="s">
        <v>572</v>
      </c>
      <c r="K34" s="52" t="s">
        <v>428</v>
      </c>
      <c r="L34" s="52" t="s">
        <v>163</v>
      </c>
      <c r="M34" s="54" t="s">
        <v>592</v>
      </c>
    </row>
    <row r="35" spans="1:13" ht="38.1" customHeight="1" x14ac:dyDescent="0.25">
      <c r="A35" s="51" t="s">
        <v>429</v>
      </c>
      <c r="B35" s="52" t="s">
        <v>133</v>
      </c>
      <c r="C35" s="52" t="s">
        <v>133</v>
      </c>
      <c r="D35" s="52" t="s">
        <v>430</v>
      </c>
      <c r="E35" s="52" t="s">
        <v>403</v>
      </c>
      <c r="F35" s="52" t="s">
        <v>432</v>
      </c>
      <c r="G35" s="52" t="s">
        <v>437</v>
      </c>
      <c r="H35" s="53">
        <v>46253</v>
      </c>
      <c r="I35" s="53" t="str">
        <f t="shared" si="0"/>
        <v>Completa</v>
      </c>
      <c r="J35" s="52" t="s">
        <v>574</v>
      </c>
      <c r="K35" s="52" t="s">
        <v>438</v>
      </c>
      <c r="L35" s="52" t="s">
        <v>163</v>
      </c>
      <c r="M35" s="54" t="s">
        <v>592</v>
      </c>
    </row>
    <row r="36" spans="1:13" ht="38.1" customHeight="1" x14ac:dyDescent="0.25">
      <c r="A36" s="51" t="s">
        <v>439</v>
      </c>
      <c r="B36" s="52" t="s">
        <v>133</v>
      </c>
      <c r="C36" s="52" t="s">
        <v>440</v>
      </c>
      <c r="D36" s="52" t="s">
        <v>441</v>
      </c>
      <c r="E36" s="52" t="s">
        <v>403</v>
      </c>
      <c r="F36" s="52" t="s">
        <v>405</v>
      </c>
      <c r="G36" s="52" t="s">
        <v>445</v>
      </c>
      <c r="H36" s="53">
        <v>46297</v>
      </c>
      <c r="I36" s="53" t="str">
        <f t="shared" si="0"/>
        <v>Completa</v>
      </c>
      <c r="J36" s="52" t="s">
        <v>576</v>
      </c>
      <c r="K36" s="52" t="s">
        <v>446</v>
      </c>
      <c r="L36" s="52" t="s">
        <v>163</v>
      </c>
      <c r="M36" s="54" t="s">
        <v>592</v>
      </c>
    </row>
    <row r="37" spans="1:13" ht="38.1" customHeight="1" x14ac:dyDescent="0.25">
      <c r="A37" s="51" t="s">
        <v>447</v>
      </c>
      <c r="B37" s="52" t="s">
        <v>133</v>
      </c>
      <c r="C37" s="52" t="s">
        <v>448</v>
      </c>
      <c r="D37" s="52" t="s">
        <v>449</v>
      </c>
      <c r="E37" s="52" t="s">
        <v>403</v>
      </c>
      <c r="F37" s="52" t="s">
        <v>405</v>
      </c>
      <c r="G37" s="52" t="s">
        <v>454</v>
      </c>
      <c r="H37" s="53">
        <v>46269</v>
      </c>
      <c r="I37" s="53" t="str">
        <f t="shared" ref="I37:I60" si="1">IF(A37="","",IF(AND(C37&lt;&gt;"",E37&lt;&gt;"",F37&lt;&gt;"SIN PRUEBA",G37&lt;&gt;""),"Completa","Incompleta"))</f>
        <v>Completa</v>
      </c>
      <c r="J37" s="52" t="s">
        <v>578</v>
      </c>
      <c r="K37" s="52" t="s">
        <v>455</v>
      </c>
      <c r="L37" s="52" t="s">
        <v>163</v>
      </c>
      <c r="M37" s="54" t="s">
        <v>592</v>
      </c>
    </row>
    <row r="38" spans="1:13" ht="38.1" customHeight="1" x14ac:dyDescent="0.25">
      <c r="A38" s="51" t="s">
        <v>456</v>
      </c>
      <c r="B38" s="52" t="s">
        <v>133</v>
      </c>
      <c r="C38" s="52" t="s">
        <v>457</v>
      </c>
      <c r="D38" s="52" t="s">
        <v>458</v>
      </c>
      <c r="E38" s="52" t="s">
        <v>403</v>
      </c>
      <c r="F38" s="52" t="s">
        <v>405</v>
      </c>
      <c r="G38" s="52" t="s">
        <v>49</v>
      </c>
      <c r="H38" s="53">
        <v>46302</v>
      </c>
      <c r="I38" s="53" t="str">
        <f t="shared" si="1"/>
        <v>Completa</v>
      </c>
      <c r="J38" s="52" t="s">
        <v>580</v>
      </c>
      <c r="K38" s="52" t="s">
        <v>463</v>
      </c>
      <c r="L38" s="52" t="s">
        <v>163</v>
      </c>
      <c r="M38" s="54" t="s">
        <v>592</v>
      </c>
    </row>
    <row r="39" spans="1:13" ht="38.1" customHeight="1" x14ac:dyDescent="0.25">
      <c r="A39" s="51" t="s">
        <v>464</v>
      </c>
      <c r="B39" s="52" t="s">
        <v>133</v>
      </c>
      <c r="C39" s="52" t="s">
        <v>465</v>
      </c>
      <c r="D39" s="52" t="s">
        <v>466</v>
      </c>
      <c r="E39" s="52" t="s">
        <v>403</v>
      </c>
      <c r="F39" s="52" t="s">
        <v>405</v>
      </c>
      <c r="G39" s="52" t="s">
        <v>49</v>
      </c>
      <c r="H39" s="53">
        <v>46304</v>
      </c>
      <c r="I39" s="53" t="str">
        <f t="shared" si="1"/>
        <v>Completa</v>
      </c>
      <c r="J39" s="52" t="s">
        <v>582</v>
      </c>
      <c r="K39" s="52" t="s">
        <v>471</v>
      </c>
      <c r="L39" s="52" t="s">
        <v>163</v>
      </c>
      <c r="M39" s="54" t="s">
        <v>592</v>
      </c>
    </row>
    <row r="40" spans="1:13" ht="38.1" customHeight="1" x14ac:dyDescent="0.25">
      <c r="A40" s="51" t="s">
        <v>132</v>
      </c>
      <c r="B40" s="81" t="s">
        <v>133</v>
      </c>
      <c r="C40" s="81" t="s">
        <v>472</v>
      </c>
      <c r="D40" s="81" t="s">
        <v>473</v>
      </c>
      <c r="E40" s="81" t="s">
        <v>403</v>
      </c>
      <c r="F40" s="81" t="s">
        <v>405</v>
      </c>
      <c r="G40" s="81" t="s">
        <v>478</v>
      </c>
      <c r="H40" s="82">
        <v>46279</v>
      </c>
      <c r="I40" s="82" t="str">
        <f t="shared" si="1"/>
        <v>Completa</v>
      </c>
      <c r="J40" s="81" t="s">
        <v>584</v>
      </c>
      <c r="K40" s="81" t="s">
        <v>479</v>
      </c>
      <c r="L40" s="81" t="s">
        <v>163</v>
      </c>
      <c r="M40" s="54" t="s">
        <v>592</v>
      </c>
    </row>
    <row r="41" spans="1:13" ht="25.5" customHeight="1" x14ac:dyDescent="0.25">
      <c r="I41" t="str">
        <f t="shared" si="1"/>
        <v/>
      </c>
    </row>
    <row r="42" spans="1:13" ht="25.5" customHeight="1" x14ac:dyDescent="0.25">
      <c r="I42" t="str">
        <f t="shared" si="1"/>
        <v/>
      </c>
    </row>
    <row r="43" spans="1:13" ht="25.5" customHeight="1" x14ac:dyDescent="0.25">
      <c r="I43" t="str">
        <f t="shared" si="1"/>
        <v/>
      </c>
    </row>
    <row r="44" spans="1:13" ht="25.5" customHeight="1" x14ac:dyDescent="0.25">
      <c r="I44" t="str">
        <f t="shared" si="1"/>
        <v/>
      </c>
    </row>
    <row r="45" spans="1:13" ht="25.5" customHeight="1" x14ac:dyDescent="0.25">
      <c r="I45" t="str">
        <f t="shared" si="1"/>
        <v/>
      </c>
    </row>
    <row r="46" spans="1:13" ht="25.5" customHeight="1" x14ac:dyDescent="0.25">
      <c r="I46" t="str">
        <f t="shared" si="1"/>
        <v/>
      </c>
    </row>
    <row r="47" spans="1:13" ht="25.5" customHeight="1" x14ac:dyDescent="0.25">
      <c r="I47" t="str">
        <f t="shared" si="1"/>
        <v/>
      </c>
    </row>
    <row r="48" spans="1:13" ht="25.5" customHeight="1" x14ac:dyDescent="0.25">
      <c r="I48" t="str">
        <f t="shared" si="1"/>
        <v/>
      </c>
    </row>
    <row r="49" spans="9:9" ht="25.5" customHeight="1" x14ac:dyDescent="0.25">
      <c r="I49" t="str">
        <f t="shared" si="1"/>
        <v/>
      </c>
    </row>
    <row r="50" spans="9:9" ht="25.5" customHeight="1" x14ac:dyDescent="0.25">
      <c r="I50" t="str">
        <f t="shared" si="1"/>
        <v/>
      </c>
    </row>
    <row r="51" spans="9:9" ht="25.5" customHeight="1" x14ac:dyDescent="0.25">
      <c r="I51" t="str">
        <f t="shared" si="1"/>
        <v/>
      </c>
    </row>
    <row r="52" spans="9:9" ht="25.5" customHeight="1" x14ac:dyDescent="0.25">
      <c r="I52" t="str">
        <f t="shared" si="1"/>
        <v/>
      </c>
    </row>
    <row r="53" spans="9:9" ht="25.5" customHeight="1" x14ac:dyDescent="0.25">
      <c r="I53" t="str">
        <f t="shared" si="1"/>
        <v/>
      </c>
    </row>
    <row r="54" spans="9:9" ht="25.5" customHeight="1" x14ac:dyDescent="0.25">
      <c r="I54" t="str">
        <f t="shared" si="1"/>
        <v/>
      </c>
    </row>
    <row r="55" spans="9:9" ht="25.5" customHeight="1" x14ac:dyDescent="0.25">
      <c r="I55" t="str">
        <f t="shared" si="1"/>
        <v/>
      </c>
    </row>
    <row r="56" spans="9:9" ht="25.5" customHeight="1" x14ac:dyDescent="0.25">
      <c r="I56" t="str">
        <f t="shared" si="1"/>
        <v/>
      </c>
    </row>
    <row r="57" spans="9:9" ht="25.5" customHeight="1" x14ac:dyDescent="0.25">
      <c r="I57" t="str">
        <f t="shared" si="1"/>
        <v/>
      </c>
    </row>
    <row r="58" spans="9:9" ht="25.5" customHeight="1" x14ac:dyDescent="0.25">
      <c r="I58" t="str">
        <f t="shared" si="1"/>
        <v/>
      </c>
    </row>
    <row r="59" spans="9:9" ht="25.5" customHeight="1" x14ac:dyDescent="0.25">
      <c r="I59" t="str">
        <f t="shared" si="1"/>
        <v/>
      </c>
    </row>
    <row r="60" spans="9:9" ht="25.5" customHeight="1" x14ac:dyDescent="0.25">
      <c r="I60" t="str">
        <f t="shared" si="1"/>
        <v/>
      </c>
    </row>
  </sheetData>
  <mergeCells count="2">
    <mergeCell ref="A1:M1"/>
    <mergeCell ref="A2:M2"/>
  </mergeCells>
  <conditionalFormatting sqref="F5:F60">
    <cfRule type="cellIs" dxfId="24" priority="2" operator="equal">
      <formula>"SIN PRUEBA"</formula>
    </cfRule>
  </conditionalFormatting>
  <conditionalFormatting sqref="I5:I60">
    <cfRule type="cellIs" dxfId="23" priority="3" operator="equal">
      <formula>"Completa"</formula>
    </cfRule>
    <cfRule type="cellIs" dxfId="22" priority="4" operator="equal">
      <formula>"Incompleta"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8"/>
  <sheetViews>
    <sheetView topLeftCell="A88" workbookViewId="0">
      <selection activeCell="A25" sqref="A25:S25"/>
    </sheetView>
  </sheetViews>
  <sheetFormatPr baseColWidth="10" defaultColWidth="9.140625" defaultRowHeight="15" x14ac:dyDescent="0.25"/>
  <cols>
    <col min="1" max="1" width="12" customWidth="1"/>
    <col min="2" max="2" width="52" customWidth="1"/>
    <col min="3" max="4" width="14" customWidth="1"/>
    <col min="5" max="5" width="68" customWidth="1"/>
    <col min="6" max="6" width="10" customWidth="1"/>
    <col min="7" max="7" width="14" customWidth="1"/>
    <col min="8" max="15" width="7" customWidth="1"/>
    <col min="16" max="17" width="9" customWidth="1"/>
    <col min="18" max="19" width="2" customWidth="1"/>
  </cols>
  <sheetData>
    <row r="1" spans="1:19" ht="26.1" customHeight="1" x14ac:dyDescent="0.25">
      <c r="A1" s="80" t="s">
        <v>593</v>
      </c>
      <c r="B1" s="80"/>
      <c r="C1" s="80"/>
      <c r="D1" s="80"/>
      <c r="E1" s="80"/>
    </row>
    <row r="2" spans="1:19" ht="21.95" customHeight="1" x14ac:dyDescent="0.25">
      <c r="A2" s="79" t="s">
        <v>594</v>
      </c>
      <c r="B2" s="79"/>
      <c r="C2" s="79"/>
      <c r="D2" s="79"/>
      <c r="E2" s="79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4" spans="1:19" ht="27.95" customHeight="1" x14ac:dyDescent="0.25">
      <c r="A4" s="76" t="s">
        <v>137</v>
      </c>
      <c r="B4" s="77" t="s">
        <v>595</v>
      </c>
      <c r="C4" s="77" t="s">
        <v>596</v>
      </c>
      <c r="D4" s="77" t="s">
        <v>597</v>
      </c>
      <c r="E4" s="78" t="s">
        <v>598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</row>
    <row r="5" spans="1:19" ht="33.950000000000003" customHeight="1" x14ac:dyDescent="0.25">
      <c r="A5" s="20" t="s">
        <v>599</v>
      </c>
      <c r="B5" s="3" t="s">
        <v>600</v>
      </c>
      <c r="C5" s="28">
        <v>46253</v>
      </c>
      <c r="D5" s="28">
        <v>46253</v>
      </c>
      <c r="E5" s="4" t="s">
        <v>133</v>
      </c>
    </row>
    <row r="6" spans="1:19" ht="33.950000000000003" customHeight="1" x14ac:dyDescent="0.25">
      <c r="A6" s="21" t="s">
        <v>601</v>
      </c>
      <c r="B6" s="5" t="s">
        <v>602</v>
      </c>
      <c r="C6" s="29">
        <v>46253</v>
      </c>
      <c r="D6" s="29">
        <v>46254</v>
      </c>
      <c r="E6" s="6" t="s">
        <v>133</v>
      </c>
      <c r="H6" s="75"/>
      <c r="I6" s="75"/>
      <c r="J6" s="75"/>
      <c r="K6" s="75"/>
      <c r="L6" s="75"/>
      <c r="M6" s="75"/>
      <c r="P6" s="75"/>
      <c r="Q6" s="75"/>
      <c r="R6" s="75"/>
      <c r="S6" s="75"/>
    </row>
    <row r="7" spans="1:19" ht="33.950000000000003" customHeight="1" x14ac:dyDescent="0.25">
      <c r="A7" s="21" t="s">
        <v>603</v>
      </c>
      <c r="B7" s="5" t="s">
        <v>604</v>
      </c>
      <c r="C7" s="29">
        <v>46254</v>
      </c>
      <c r="D7" s="29">
        <v>46254</v>
      </c>
      <c r="E7" s="6" t="s">
        <v>133</v>
      </c>
    </row>
    <row r="8" spans="1:19" ht="33.950000000000003" customHeight="1" x14ac:dyDescent="0.25">
      <c r="A8" s="21" t="s">
        <v>605</v>
      </c>
      <c r="B8" s="5" t="s">
        <v>606</v>
      </c>
      <c r="C8" s="29">
        <v>46254</v>
      </c>
      <c r="D8" s="29">
        <v>46254</v>
      </c>
      <c r="E8" s="6" t="s">
        <v>133</v>
      </c>
    </row>
    <row r="9" spans="1:19" ht="33.950000000000003" customHeight="1" x14ac:dyDescent="0.25">
      <c r="A9" s="21" t="s">
        <v>607</v>
      </c>
      <c r="B9" s="5" t="s">
        <v>608</v>
      </c>
      <c r="C9" s="29">
        <v>46255</v>
      </c>
      <c r="D9" s="29">
        <v>46256</v>
      </c>
      <c r="E9" s="6" t="s">
        <v>133</v>
      </c>
    </row>
    <row r="10" spans="1:19" ht="33.950000000000003" customHeight="1" x14ac:dyDescent="0.25">
      <c r="A10" s="21" t="s">
        <v>609</v>
      </c>
      <c r="B10" s="5" t="s">
        <v>610</v>
      </c>
      <c r="C10" s="29">
        <v>46256</v>
      </c>
      <c r="D10" s="29">
        <v>46256</v>
      </c>
      <c r="E10" s="6" t="s">
        <v>133</v>
      </c>
    </row>
    <row r="11" spans="1:19" ht="33.950000000000003" customHeight="1" x14ac:dyDescent="0.25">
      <c r="A11" s="21" t="s">
        <v>611</v>
      </c>
      <c r="B11" s="5" t="s">
        <v>612</v>
      </c>
      <c r="C11" s="29">
        <v>46257</v>
      </c>
      <c r="D11" s="29">
        <v>46257</v>
      </c>
      <c r="E11" s="6" t="s">
        <v>133</v>
      </c>
    </row>
    <row r="12" spans="1:19" ht="33.950000000000003" customHeight="1" x14ac:dyDescent="0.25">
      <c r="A12" s="21" t="s">
        <v>613</v>
      </c>
      <c r="B12" s="5" t="s">
        <v>614</v>
      </c>
      <c r="C12" s="29">
        <v>46257</v>
      </c>
      <c r="D12" s="29">
        <v>46257</v>
      </c>
      <c r="E12" s="6" t="s">
        <v>133</v>
      </c>
    </row>
    <row r="13" spans="1:19" ht="33.950000000000003" customHeight="1" x14ac:dyDescent="0.25">
      <c r="A13" s="21" t="s">
        <v>615</v>
      </c>
      <c r="B13" s="5" t="s">
        <v>616</v>
      </c>
      <c r="C13" s="29">
        <v>46258</v>
      </c>
      <c r="D13" s="29">
        <v>46258</v>
      </c>
      <c r="E13" s="6" t="s">
        <v>133</v>
      </c>
    </row>
    <row r="14" spans="1:19" ht="33.950000000000003" customHeight="1" x14ac:dyDescent="0.25">
      <c r="A14" s="21" t="s">
        <v>617</v>
      </c>
      <c r="B14" s="5" t="s">
        <v>618</v>
      </c>
      <c r="C14" s="29">
        <v>46258</v>
      </c>
      <c r="D14" s="29">
        <v>46258</v>
      </c>
      <c r="E14" s="6" t="s">
        <v>133</v>
      </c>
    </row>
    <row r="15" spans="1:19" ht="33.950000000000003" customHeight="1" x14ac:dyDescent="0.25">
      <c r="A15" s="21" t="s">
        <v>619</v>
      </c>
      <c r="B15" s="5" t="s">
        <v>620</v>
      </c>
      <c r="C15" s="29">
        <v>46259</v>
      </c>
      <c r="D15" s="29">
        <v>46259</v>
      </c>
      <c r="E15" s="6" t="s">
        <v>133</v>
      </c>
    </row>
    <row r="16" spans="1:19" ht="33.950000000000003" customHeight="1" x14ac:dyDescent="0.25">
      <c r="A16" s="21" t="s">
        <v>621</v>
      </c>
      <c r="B16" s="5" t="s">
        <v>622</v>
      </c>
      <c r="C16" s="29">
        <v>46259</v>
      </c>
      <c r="D16" s="29">
        <v>46259</v>
      </c>
      <c r="E16" s="6" t="s">
        <v>133</v>
      </c>
    </row>
    <row r="17" spans="1:19" ht="33.950000000000003" customHeight="1" x14ac:dyDescent="0.25">
      <c r="A17" s="21" t="s">
        <v>623</v>
      </c>
      <c r="B17" s="5" t="s">
        <v>624</v>
      </c>
      <c r="C17" s="29">
        <v>46259</v>
      </c>
      <c r="D17" s="29">
        <v>46259</v>
      </c>
      <c r="E17" s="6" t="s">
        <v>133</v>
      </c>
    </row>
    <row r="18" spans="1:19" ht="33.950000000000003" customHeight="1" x14ac:dyDescent="0.25">
      <c r="A18" s="22" t="s">
        <v>625</v>
      </c>
      <c r="B18" s="7" t="s">
        <v>626</v>
      </c>
      <c r="C18" s="30">
        <v>46260</v>
      </c>
      <c r="D18" s="30">
        <v>46260</v>
      </c>
      <c r="E18" s="8" t="s">
        <v>133</v>
      </c>
    </row>
    <row r="19" spans="1:19" ht="33.950000000000003" customHeight="1" x14ac:dyDescent="0.25">
      <c r="A19" s="71" t="s">
        <v>627</v>
      </c>
      <c r="B19" s="72" t="s">
        <v>628</v>
      </c>
      <c r="C19" s="73">
        <v>46260</v>
      </c>
      <c r="D19" s="73">
        <v>46260</v>
      </c>
      <c r="E19" s="74" t="s">
        <v>133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</row>
    <row r="20" spans="1:19" ht="33.950000000000003" customHeight="1" x14ac:dyDescent="0.25">
      <c r="A20" s="22" t="s">
        <v>629</v>
      </c>
      <c r="B20" s="7" t="s">
        <v>630</v>
      </c>
      <c r="C20" s="30">
        <v>46261</v>
      </c>
      <c r="D20" s="30">
        <v>46261</v>
      </c>
      <c r="E20" s="8" t="s">
        <v>133</v>
      </c>
    </row>
    <row r="21" spans="1:19" ht="33.950000000000003" customHeight="1" x14ac:dyDescent="0.25">
      <c r="A21" s="22" t="s">
        <v>631</v>
      </c>
      <c r="B21" s="7" t="s">
        <v>632</v>
      </c>
      <c r="C21" s="30">
        <v>46262</v>
      </c>
      <c r="D21" s="30">
        <v>46262</v>
      </c>
      <c r="E21" s="8" t="s">
        <v>133</v>
      </c>
    </row>
    <row r="22" spans="1:19" ht="33.950000000000003" customHeight="1" x14ac:dyDescent="0.25">
      <c r="A22" s="22" t="s">
        <v>633</v>
      </c>
      <c r="B22" s="7" t="s">
        <v>634</v>
      </c>
      <c r="C22" s="30">
        <v>46266</v>
      </c>
      <c r="D22" s="30">
        <v>46266</v>
      </c>
      <c r="E22" s="8" t="s">
        <v>133</v>
      </c>
    </row>
    <row r="23" spans="1:19" ht="33.950000000000003" customHeight="1" x14ac:dyDescent="0.25">
      <c r="A23" s="22" t="s">
        <v>635</v>
      </c>
      <c r="B23" s="7" t="s">
        <v>636</v>
      </c>
      <c r="C23" s="30">
        <v>46261</v>
      </c>
      <c r="D23" s="30">
        <v>46261</v>
      </c>
      <c r="E23" s="8" t="s">
        <v>133</v>
      </c>
    </row>
    <row r="24" spans="1:19" ht="33.950000000000003" customHeight="1" x14ac:dyDescent="0.25">
      <c r="A24" s="22" t="s">
        <v>637</v>
      </c>
      <c r="B24" s="7" t="s">
        <v>638</v>
      </c>
      <c r="C24" s="30">
        <v>46262</v>
      </c>
      <c r="D24" s="30">
        <v>46262</v>
      </c>
      <c r="E24" s="8" t="s">
        <v>133</v>
      </c>
    </row>
    <row r="25" spans="1:19" ht="33.950000000000003" customHeight="1" x14ac:dyDescent="0.25">
      <c r="A25" s="71" t="s">
        <v>639</v>
      </c>
      <c r="B25" s="72" t="s">
        <v>640</v>
      </c>
      <c r="C25" s="73">
        <v>46263</v>
      </c>
      <c r="D25" s="73">
        <v>46264</v>
      </c>
      <c r="E25" s="74" t="s">
        <v>133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</row>
    <row r="26" spans="1:19" ht="33.950000000000003" customHeight="1" x14ac:dyDescent="0.25">
      <c r="A26" s="22" t="s">
        <v>641</v>
      </c>
      <c r="B26" s="7" t="s">
        <v>642</v>
      </c>
      <c r="C26" s="30">
        <v>46263</v>
      </c>
      <c r="D26" s="30">
        <v>46264</v>
      </c>
      <c r="E26" s="8" t="s">
        <v>133</v>
      </c>
    </row>
    <row r="27" spans="1:19" ht="33.950000000000003" customHeight="1" x14ac:dyDescent="0.25">
      <c r="A27" s="22" t="s">
        <v>643</v>
      </c>
      <c r="B27" s="7" t="s">
        <v>644</v>
      </c>
      <c r="C27" s="30">
        <v>46265</v>
      </c>
      <c r="D27" s="30">
        <v>46265</v>
      </c>
      <c r="E27" s="8" t="s">
        <v>133</v>
      </c>
    </row>
    <row r="28" spans="1:19" ht="33.950000000000003" customHeight="1" x14ac:dyDescent="0.25">
      <c r="A28" s="22" t="s">
        <v>645</v>
      </c>
      <c r="B28" s="7" t="s">
        <v>646</v>
      </c>
      <c r="C28" s="30">
        <v>46265</v>
      </c>
      <c r="D28" s="30">
        <v>46265</v>
      </c>
      <c r="E28" s="8" t="s">
        <v>133</v>
      </c>
    </row>
    <row r="29" spans="1:19" ht="33.950000000000003" customHeight="1" x14ac:dyDescent="0.25">
      <c r="A29" s="22" t="s">
        <v>647</v>
      </c>
      <c r="B29" s="7" t="s">
        <v>648</v>
      </c>
      <c r="C29" s="30">
        <v>46266</v>
      </c>
      <c r="D29" s="30">
        <v>46266</v>
      </c>
      <c r="E29" s="8" t="s">
        <v>133</v>
      </c>
    </row>
    <row r="30" spans="1:19" ht="33.950000000000003" customHeight="1" x14ac:dyDescent="0.25">
      <c r="A30" s="23" t="s">
        <v>649</v>
      </c>
      <c r="B30" s="9" t="s">
        <v>650</v>
      </c>
      <c r="C30" s="31">
        <v>46267</v>
      </c>
      <c r="D30" s="31">
        <v>46267</v>
      </c>
      <c r="E30" s="10" t="s">
        <v>133</v>
      </c>
    </row>
    <row r="31" spans="1:19" ht="33.950000000000003" customHeight="1" x14ac:dyDescent="0.25">
      <c r="A31" s="23" t="s">
        <v>651</v>
      </c>
      <c r="B31" s="9" t="s">
        <v>652</v>
      </c>
      <c r="C31" s="31">
        <v>46273</v>
      </c>
      <c r="D31" s="31">
        <v>46273</v>
      </c>
      <c r="E31" s="10" t="s">
        <v>133</v>
      </c>
    </row>
    <row r="32" spans="1:19" ht="33.950000000000003" customHeight="1" x14ac:dyDescent="0.25">
      <c r="A32" s="23" t="s">
        <v>653</v>
      </c>
      <c r="B32" s="9" t="s">
        <v>654</v>
      </c>
      <c r="C32" s="31">
        <v>46267</v>
      </c>
      <c r="D32" s="31">
        <v>46267</v>
      </c>
      <c r="E32" s="10" t="s">
        <v>133</v>
      </c>
    </row>
    <row r="33" spans="1:5" ht="33.950000000000003" customHeight="1" x14ac:dyDescent="0.25">
      <c r="A33" s="23" t="s">
        <v>655</v>
      </c>
      <c r="B33" s="9" t="s">
        <v>656</v>
      </c>
      <c r="C33" s="31">
        <v>46267</v>
      </c>
      <c r="D33" s="31">
        <v>46267</v>
      </c>
      <c r="E33" s="10" t="s">
        <v>133</v>
      </c>
    </row>
    <row r="34" spans="1:5" ht="33.950000000000003" customHeight="1" x14ac:dyDescent="0.25">
      <c r="A34" s="23" t="s">
        <v>657</v>
      </c>
      <c r="B34" s="9" t="s">
        <v>658</v>
      </c>
      <c r="C34" s="31">
        <v>46268</v>
      </c>
      <c r="D34" s="31">
        <v>46268</v>
      </c>
      <c r="E34" s="10" t="s">
        <v>133</v>
      </c>
    </row>
    <row r="35" spans="1:5" ht="33.950000000000003" customHeight="1" x14ac:dyDescent="0.25">
      <c r="A35" s="23" t="s">
        <v>659</v>
      </c>
      <c r="B35" s="9" t="s">
        <v>660</v>
      </c>
      <c r="C35" s="31">
        <v>46269</v>
      </c>
      <c r="D35" s="31">
        <v>46269</v>
      </c>
      <c r="E35" s="10" t="s">
        <v>133</v>
      </c>
    </row>
    <row r="36" spans="1:5" ht="33.950000000000003" customHeight="1" x14ac:dyDescent="0.25">
      <c r="A36" s="23" t="s">
        <v>661</v>
      </c>
      <c r="B36" s="9" t="s">
        <v>662</v>
      </c>
      <c r="C36" s="31">
        <v>46268</v>
      </c>
      <c r="D36" s="31">
        <v>46268</v>
      </c>
      <c r="E36" s="10" t="s">
        <v>133</v>
      </c>
    </row>
    <row r="37" spans="1:5" ht="33.950000000000003" customHeight="1" x14ac:dyDescent="0.25">
      <c r="A37" s="23" t="s">
        <v>663</v>
      </c>
      <c r="B37" s="9" t="s">
        <v>664</v>
      </c>
      <c r="C37" s="31">
        <v>46268</v>
      </c>
      <c r="D37" s="31">
        <v>46268</v>
      </c>
      <c r="E37" s="10" t="s">
        <v>133</v>
      </c>
    </row>
    <row r="38" spans="1:5" ht="33.950000000000003" customHeight="1" x14ac:dyDescent="0.25">
      <c r="A38" s="23" t="s">
        <v>665</v>
      </c>
      <c r="B38" s="9" t="s">
        <v>666</v>
      </c>
      <c r="C38" s="31">
        <v>46268</v>
      </c>
      <c r="D38" s="31">
        <v>46268</v>
      </c>
      <c r="E38" s="10" t="s">
        <v>133</v>
      </c>
    </row>
    <row r="39" spans="1:5" ht="33.950000000000003" customHeight="1" x14ac:dyDescent="0.25">
      <c r="A39" s="23" t="s">
        <v>667</v>
      </c>
      <c r="B39" s="9" t="s">
        <v>668</v>
      </c>
      <c r="C39" s="31">
        <v>46268</v>
      </c>
      <c r="D39" s="31">
        <v>46268</v>
      </c>
      <c r="E39" s="10" t="s">
        <v>133</v>
      </c>
    </row>
    <row r="40" spans="1:5" ht="33.950000000000003" customHeight="1" x14ac:dyDescent="0.25">
      <c r="A40" s="23" t="s">
        <v>669</v>
      </c>
      <c r="B40" s="9" t="s">
        <v>670</v>
      </c>
      <c r="C40" s="31">
        <v>46269</v>
      </c>
      <c r="D40" s="31">
        <v>46269</v>
      </c>
      <c r="E40" s="10" t="s">
        <v>133</v>
      </c>
    </row>
    <row r="41" spans="1:5" ht="33.950000000000003" customHeight="1" x14ac:dyDescent="0.25">
      <c r="A41" s="23" t="s">
        <v>671</v>
      </c>
      <c r="B41" s="9" t="s">
        <v>672</v>
      </c>
      <c r="C41" s="31">
        <v>46269</v>
      </c>
      <c r="D41" s="31">
        <v>46269</v>
      </c>
      <c r="E41" s="10" t="s">
        <v>133</v>
      </c>
    </row>
    <row r="42" spans="1:5" ht="33.950000000000003" customHeight="1" x14ac:dyDescent="0.25">
      <c r="A42" s="23" t="s">
        <v>153</v>
      </c>
      <c r="B42" s="9" t="s">
        <v>164</v>
      </c>
      <c r="C42" s="31">
        <v>46271</v>
      </c>
      <c r="D42" s="31">
        <v>46271</v>
      </c>
      <c r="E42" s="11" t="s">
        <v>158</v>
      </c>
    </row>
    <row r="43" spans="1:5" ht="33.950000000000003" customHeight="1" x14ac:dyDescent="0.25">
      <c r="A43" s="23" t="s">
        <v>167</v>
      </c>
      <c r="B43" s="9" t="s">
        <v>173</v>
      </c>
      <c r="C43" s="31">
        <v>46271</v>
      </c>
      <c r="D43" s="31">
        <v>46271</v>
      </c>
      <c r="E43" s="11" t="s">
        <v>170</v>
      </c>
    </row>
    <row r="44" spans="1:5" ht="33.950000000000003" customHeight="1" x14ac:dyDescent="0.25">
      <c r="A44" s="23" t="s">
        <v>175</v>
      </c>
      <c r="B44" s="9" t="s">
        <v>181</v>
      </c>
      <c r="C44" s="31">
        <v>46270</v>
      </c>
      <c r="D44" s="31">
        <v>46271</v>
      </c>
      <c r="E44" s="11" t="s">
        <v>178</v>
      </c>
    </row>
    <row r="45" spans="1:5" ht="33.950000000000003" customHeight="1" x14ac:dyDescent="0.25">
      <c r="A45" s="23" t="s">
        <v>673</v>
      </c>
      <c r="B45" s="9" t="s">
        <v>674</v>
      </c>
      <c r="C45" s="31">
        <v>46272</v>
      </c>
      <c r="D45" s="31">
        <v>46272</v>
      </c>
      <c r="E45" s="10" t="s">
        <v>133</v>
      </c>
    </row>
    <row r="46" spans="1:5" ht="33.950000000000003" customHeight="1" x14ac:dyDescent="0.25">
      <c r="A46" s="24" t="s">
        <v>675</v>
      </c>
      <c r="B46" s="12" t="s">
        <v>676</v>
      </c>
      <c r="C46" s="32">
        <v>46274</v>
      </c>
      <c r="D46" s="32">
        <v>46274</v>
      </c>
      <c r="E46" s="13" t="s">
        <v>133</v>
      </c>
    </row>
    <row r="47" spans="1:5" ht="33.950000000000003" customHeight="1" x14ac:dyDescent="0.25">
      <c r="A47" s="24" t="s">
        <v>677</v>
      </c>
      <c r="B47" s="12" t="s">
        <v>678</v>
      </c>
      <c r="C47" s="32">
        <v>46280</v>
      </c>
      <c r="D47" s="32">
        <v>46280</v>
      </c>
      <c r="E47" s="13" t="s">
        <v>133</v>
      </c>
    </row>
    <row r="48" spans="1:5" ht="33.950000000000003" customHeight="1" x14ac:dyDescent="0.25">
      <c r="A48" s="24" t="s">
        <v>184</v>
      </c>
      <c r="B48" s="12" t="s">
        <v>191</v>
      </c>
      <c r="C48" s="32">
        <v>46274</v>
      </c>
      <c r="D48" s="32">
        <v>46275</v>
      </c>
      <c r="E48" s="11" t="s">
        <v>187</v>
      </c>
    </row>
    <row r="49" spans="1:5" ht="33.950000000000003" customHeight="1" x14ac:dyDescent="0.25">
      <c r="A49" s="24" t="s">
        <v>194</v>
      </c>
      <c r="B49" s="12" t="s">
        <v>200</v>
      </c>
      <c r="C49" s="32">
        <v>46275</v>
      </c>
      <c r="D49" s="32">
        <v>46276</v>
      </c>
      <c r="E49" s="11" t="s">
        <v>197</v>
      </c>
    </row>
    <row r="50" spans="1:5" ht="33.950000000000003" customHeight="1" x14ac:dyDescent="0.25">
      <c r="A50" s="24" t="s">
        <v>203</v>
      </c>
      <c r="B50" s="12" t="s">
        <v>209</v>
      </c>
      <c r="C50" s="32">
        <v>46276</v>
      </c>
      <c r="D50" s="32">
        <v>46276</v>
      </c>
      <c r="E50" s="11" t="s">
        <v>206</v>
      </c>
    </row>
    <row r="51" spans="1:5" ht="33.950000000000003" customHeight="1" x14ac:dyDescent="0.25">
      <c r="A51" s="24" t="s">
        <v>212</v>
      </c>
      <c r="B51" s="12" t="s">
        <v>218</v>
      </c>
      <c r="C51" s="32">
        <v>46276</v>
      </c>
      <c r="D51" s="32">
        <v>46277</v>
      </c>
      <c r="E51" s="11" t="s">
        <v>215</v>
      </c>
    </row>
    <row r="52" spans="1:5" ht="33.950000000000003" customHeight="1" x14ac:dyDescent="0.25">
      <c r="A52" s="24" t="s">
        <v>221</v>
      </c>
      <c r="B52" s="12" t="s">
        <v>228</v>
      </c>
      <c r="C52" s="32">
        <v>46277</v>
      </c>
      <c r="D52" s="32">
        <v>46278</v>
      </c>
      <c r="E52" s="11" t="s">
        <v>224</v>
      </c>
    </row>
    <row r="53" spans="1:5" ht="33.950000000000003" customHeight="1" x14ac:dyDescent="0.25">
      <c r="A53" s="24" t="s">
        <v>231</v>
      </c>
      <c r="B53" s="12" t="s">
        <v>238</v>
      </c>
      <c r="C53" s="32">
        <v>46276</v>
      </c>
      <c r="D53" s="32">
        <v>46277</v>
      </c>
      <c r="E53" s="11" t="s">
        <v>234</v>
      </c>
    </row>
    <row r="54" spans="1:5" ht="33.950000000000003" customHeight="1" x14ac:dyDescent="0.25">
      <c r="A54" s="24" t="s">
        <v>241</v>
      </c>
      <c r="B54" s="12" t="s">
        <v>247</v>
      </c>
      <c r="C54" s="32">
        <v>46277</v>
      </c>
      <c r="D54" s="32">
        <v>46278</v>
      </c>
      <c r="E54" s="11" t="s">
        <v>244</v>
      </c>
    </row>
    <row r="55" spans="1:5" ht="33.950000000000003" customHeight="1" x14ac:dyDescent="0.25">
      <c r="A55" s="24" t="s">
        <v>679</v>
      </c>
      <c r="B55" s="12" t="s">
        <v>680</v>
      </c>
      <c r="C55" s="32">
        <v>46279</v>
      </c>
      <c r="D55" s="32">
        <v>46279</v>
      </c>
      <c r="E55" s="13" t="s">
        <v>133</v>
      </c>
    </row>
    <row r="56" spans="1:5" ht="33.950000000000003" customHeight="1" x14ac:dyDescent="0.25">
      <c r="A56" s="24" t="s">
        <v>681</v>
      </c>
      <c r="B56" s="12" t="s">
        <v>682</v>
      </c>
      <c r="C56" s="32">
        <v>46279</v>
      </c>
      <c r="D56" s="32">
        <v>46279</v>
      </c>
      <c r="E56" s="13" t="s">
        <v>133</v>
      </c>
    </row>
    <row r="57" spans="1:5" ht="33.950000000000003" customHeight="1" x14ac:dyDescent="0.25">
      <c r="A57" s="24" t="s">
        <v>683</v>
      </c>
      <c r="B57" s="12" t="s">
        <v>684</v>
      </c>
      <c r="C57" s="32">
        <v>46279</v>
      </c>
      <c r="D57" s="32">
        <v>46279</v>
      </c>
      <c r="E57" s="13" t="s">
        <v>133</v>
      </c>
    </row>
    <row r="58" spans="1:5" ht="33.950000000000003" customHeight="1" x14ac:dyDescent="0.25">
      <c r="A58" s="25" t="s">
        <v>685</v>
      </c>
      <c r="B58" s="14" t="s">
        <v>686</v>
      </c>
      <c r="C58" s="33">
        <v>46281</v>
      </c>
      <c r="D58" s="33">
        <v>46281</v>
      </c>
      <c r="E58" s="15" t="s">
        <v>133</v>
      </c>
    </row>
    <row r="59" spans="1:5" ht="33.950000000000003" customHeight="1" x14ac:dyDescent="0.25">
      <c r="A59" s="25" t="s">
        <v>687</v>
      </c>
      <c r="B59" s="14" t="s">
        <v>688</v>
      </c>
      <c r="C59" s="33">
        <v>46287</v>
      </c>
      <c r="D59" s="33">
        <v>46287</v>
      </c>
      <c r="E59" s="15" t="s">
        <v>133</v>
      </c>
    </row>
    <row r="60" spans="1:5" ht="33.950000000000003" customHeight="1" x14ac:dyDescent="0.25">
      <c r="A60" s="25" t="s">
        <v>250</v>
      </c>
      <c r="B60" s="14" t="s">
        <v>257</v>
      </c>
      <c r="C60" s="33">
        <v>46281</v>
      </c>
      <c r="D60" s="33">
        <v>46282</v>
      </c>
      <c r="E60" s="11" t="s">
        <v>253</v>
      </c>
    </row>
    <row r="61" spans="1:5" ht="33.950000000000003" customHeight="1" x14ac:dyDescent="0.25">
      <c r="A61" s="25" t="s">
        <v>260</v>
      </c>
      <c r="B61" s="14" t="s">
        <v>266</v>
      </c>
      <c r="C61" s="33">
        <v>46285</v>
      </c>
      <c r="D61" s="33">
        <v>46285</v>
      </c>
      <c r="E61" s="11" t="s">
        <v>263</v>
      </c>
    </row>
    <row r="62" spans="1:5" ht="33.950000000000003" customHeight="1" x14ac:dyDescent="0.25">
      <c r="A62" s="25" t="s">
        <v>267</v>
      </c>
      <c r="B62" s="14" t="s">
        <v>273</v>
      </c>
      <c r="C62" s="33">
        <v>46282</v>
      </c>
      <c r="D62" s="33">
        <v>46282</v>
      </c>
      <c r="E62" s="11" t="s">
        <v>270</v>
      </c>
    </row>
    <row r="63" spans="1:5" ht="33.950000000000003" customHeight="1" x14ac:dyDescent="0.25">
      <c r="A63" s="25" t="s">
        <v>274</v>
      </c>
      <c r="B63" s="14" t="s">
        <v>281</v>
      </c>
      <c r="C63" s="33">
        <v>46283</v>
      </c>
      <c r="D63" s="33">
        <v>46284</v>
      </c>
      <c r="E63" s="11" t="s">
        <v>277</v>
      </c>
    </row>
    <row r="64" spans="1:5" ht="33.950000000000003" customHeight="1" x14ac:dyDescent="0.25">
      <c r="A64" s="25" t="s">
        <v>284</v>
      </c>
      <c r="B64" s="14" t="s">
        <v>290</v>
      </c>
      <c r="C64" s="33">
        <v>46283</v>
      </c>
      <c r="D64" s="33">
        <v>46284</v>
      </c>
      <c r="E64" s="11" t="s">
        <v>287</v>
      </c>
    </row>
    <row r="65" spans="1:5" ht="33.950000000000003" customHeight="1" x14ac:dyDescent="0.25">
      <c r="A65" s="25" t="s">
        <v>293</v>
      </c>
      <c r="B65" s="14" t="s">
        <v>299</v>
      </c>
      <c r="C65" s="33">
        <v>46283</v>
      </c>
      <c r="D65" s="33">
        <v>46284</v>
      </c>
      <c r="E65" s="11" t="s">
        <v>296</v>
      </c>
    </row>
    <row r="66" spans="1:5" ht="33.950000000000003" customHeight="1" x14ac:dyDescent="0.25">
      <c r="A66" s="25" t="s">
        <v>302</v>
      </c>
      <c r="B66" s="14" t="s">
        <v>308</v>
      </c>
      <c r="C66" s="33">
        <v>46284</v>
      </c>
      <c r="D66" s="33">
        <v>46285</v>
      </c>
      <c r="E66" s="11" t="s">
        <v>305</v>
      </c>
    </row>
    <row r="67" spans="1:5" ht="33.950000000000003" customHeight="1" x14ac:dyDescent="0.25">
      <c r="A67" s="25" t="s">
        <v>309</v>
      </c>
      <c r="B67" s="14" t="s">
        <v>316</v>
      </c>
      <c r="C67" s="33">
        <v>46286</v>
      </c>
      <c r="D67" s="33">
        <v>46286</v>
      </c>
      <c r="E67" s="11" t="s">
        <v>312</v>
      </c>
    </row>
    <row r="68" spans="1:5" ht="33.950000000000003" customHeight="1" x14ac:dyDescent="0.25">
      <c r="A68" s="25" t="s">
        <v>689</v>
      </c>
      <c r="B68" s="14" t="s">
        <v>690</v>
      </c>
      <c r="C68" s="33">
        <v>46286</v>
      </c>
      <c r="D68" s="33">
        <v>46286</v>
      </c>
      <c r="E68" s="15" t="s">
        <v>133</v>
      </c>
    </row>
    <row r="69" spans="1:5" ht="33.950000000000003" customHeight="1" x14ac:dyDescent="0.25">
      <c r="A69" s="26" t="s">
        <v>691</v>
      </c>
      <c r="B69" s="16" t="s">
        <v>692</v>
      </c>
      <c r="C69" s="34">
        <v>46288</v>
      </c>
      <c r="D69" s="34">
        <v>46288</v>
      </c>
      <c r="E69" s="17" t="s">
        <v>133</v>
      </c>
    </row>
    <row r="70" spans="1:5" ht="33.950000000000003" customHeight="1" x14ac:dyDescent="0.25">
      <c r="A70" s="26" t="s">
        <v>693</v>
      </c>
      <c r="B70" s="16" t="s">
        <v>694</v>
      </c>
      <c r="C70" s="34">
        <v>46294</v>
      </c>
      <c r="D70" s="34">
        <v>46294</v>
      </c>
      <c r="E70" s="17" t="s">
        <v>133</v>
      </c>
    </row>
    <row r="71" spans="1:5" ht="33.950000000000003" customHeight="1" x14ac:dyDescent="0.25">
      <c r="A71" s="26" t="s">
        <v>319</v>
      </c>
      <c r="B71" s="16" t="s">
        <v>326</v>
      </c>
      <c r="C71" s="34">
        <v>46288</v>
      </c>
      <c r="D71" s="34">
        <v>46289</v>
      </c>
      <c r="E71" s="11" t="s">
        <v>322</v>
      </c>
    </row>
    <row r="72" spans="1:5" ht="33.950000000000003" customHeight="1" x14ac:dyDescent="0.25">
      <c r="A72" s="26" t="s">
        <v>329</v>
      </c>
      <c r="B72" s="16" t="s">
        <v>335</v>
      </c>
      <c r="C72" s="34">
        <v>46289</v>
      </c>
      <c r="D72" s="34">
        <v>46289</v>
      </c>
      <c r="E72" s="11" t="s">
        <v>332</v>
      </c>
    </row>
    <row r="73" spans="1:5" ht="33.950000000000003" customHeight="1" x14ac:dyDescent="0.25">
      <c r="A73" s="26" t="s">
        <v>338</v>
      </c>
      <c r="B73" s="16" t="s">
        <v>344</v>
      </c>
      <c r="C73" s="34">
        <v>46290</v>
      </c>
      <c r="D73" s="34">
        <v>46291</v>
      </c>
      <c r="E73" s="11" t="s">
        <v>341</v>
      </c>
    </row>
    <row r="74" spans="1:5" ht="33.950000000000003" customHeight="1" x14ac:dyDescent="0.25">
      <c r="A74" s="26" t="s">
        <v>347</v>
      </c>
      <c r="B74" s="16" t="s">
        <v>353</v>
      </c>
      <c r="C74" s="34">
        <v>46291</v>
      </c>
      <c r="D74" s="34">
        <v>46291</v>
      </c>
      <c r="E74" s="11" t="s">
        <v>350</v>
      </c>
    </row>
    <row r="75" spans="1:5" ht="33.950000000000003" customHeight="1" x14ac:dyDescent="0.25">
      <c r="A75" s="26" t="s">
        <v>356</v>
      </c>
      <c r="B75" s="16" t="s">
        <v>362</v>
      </c>
      <c r="C75" s="34">
        <v>46290</v>
      </c>
      <c r="D75" s="34">
        <v>46290</v>
      </c>
      <c r="E75" s="11" t="s">
        <v>359</v>
      </c>
    </row>
    <row r="76" spans="1:5" ht="33.950000000000003" customHeight="1" x14ac:dyDescent="0.25">
      <c r="A76" s="26" t="s">
        <v>365</v>
      </c>
      <c r="B76" s="16" t="s">
        <v>371</v>
      </c>
      <c r="C76" s="34">
        <v>46290</v>
      </c>
      <c r="D76" s="34">
        <v>46291</v>
      </c>
      <c r="E76" s="11" t="s">
        <v>368</v>
      </c>
    </row>
    <row r="77" spans="1:5" ht="33.950000000000003" customHeight="1" x14ac:dyDescent="0.25">
      <c r="A77" s="26" t="s">
        <v>695</v>
      </c>
      <c r="B77" s="16" t="s">
        <v>696</v>
      </c>
      <c r="C77" s="34">
        <v>46292</v>
      </c>
      <c r="D77" s="34">
        <v>46292</v>
      </c>
      <c r="E77" s="17" t="s">
        <v>133</v>
      </c>
    </row>
    <row r="78" spans="1:5" ht="33.950000000000003" customHeight="1" x14ac:dyDescent="0.25">
      <c r="A78" s="26" t="s">
        <v>697</v>
      </c>
      <c r="B78" s="16" t="s">
        <v>698</v>
      </c>
      <c r="C78" s="34">
        <v>46292</v>
      </c>
      <c r="D78" s="34">
        <v>46292</v>
      </c>
      <c r="E78" s="17" t="s">
        <v>133</v>
      </c>
    </row>
    <row r="79" spans="1:5" ht="33.950000000000003" customHeight="1" x14ac:dyDescent="0.25">
      <c r="A79" s="26" t="s">
        <v>699</v>
      </c>
      <c r="B79" s="16" t="s">
        <v>700</v>
      </c>
      <c r="C79" s="34">
        <v>46293</v>
      </c>
      <c r="D79" s="34">
        <v>46293</v>
      </c>
      <c r="E79" s="17" t="s">
        <v>133</v>
      </c>
    </row>
    <row r="80" spans="1:5" ht="33.950000000000003" customHeight="1" x14ac:dyDescent="0.25">
      <c r="A80" s="24" t="s">
        <v>701</v>
      </c>
      <c r="B80" s="12" t="s">
        <v>702</v>
      </c>
      <c r="C80" s="32">
        <v>46295</v>
      </c>
      <c r="D80" s="32">
        <v>46295</v>
      </c>
      <c r="E80" s="13" t="s">
        <v>133</v>
      </c>
    </row>
    <row r="81" spans="1:5" ht="33.950000000000003" customHeight="1" x14ac:dyDescent="0.25">
      <c r="A81" s="24" t="s">
        <v>703</v>
      </c>
      <c r="B81" s="12" t="s">
        <v>704</v>
      </c>
      <c r="C81" s="32">
        <v>46301</v>
      </c>
      <c r="D81" s="32">
        <v>46301</v>
      </c>
      <c r="E81" s="13" t="s">
        <v>133</v>
      </c>
    </row>
    <row r="82" spans="1:5" ht="33.950000000000003" customHeight="1" x14ac:dyDescent="0.25">
      <c r="A82" s="24" t="s">
        <v>705</v>
      </c>
      <c r="B82" s="12" t="s">
        <v>706</v>
      </c>
      <c r="C82" s="32">
        <v>46295</v>
      </c>
      <c r="D82" s="32">
        <v>46295</v>
      </c>
      <c r="E82" s="13" t="s">
        <v>133</v>
      </c>
    </row>
    <row r="83" spans="1:5" ht="33.950000000000003" customHeight="1" x14ac:dyDescent="0.25">
      <c r="A83" s="24" t="s">
        <v>707</v>
      </c>
      <c r="B83" s="12" t="s">
        <v>708</v>
      </c>
      <c r="C83" s="32">
        <v>46296</v>
      </c>
      <c r="D83" s="32">
        <v>46296</v>
      </c>
      <c r="E83" s="13" t="s">
        <v>133</v>
      </c>
    </row>
    <row r="84" spans="1:5" ht="33.950000000000003" customHeight="1" x14ac:dyDescent="0.25">
      <c r="A84" s="24" t="s">
        <v>709</v>
      </c>
      <c r="B84" s="12" t="s">
        <v>710</v>
      </c>
      <c r="C84" s="32">
        <v>46296</v>
      </c>
      <c r="D84" s="32">
        <v>46296</v>
      </c>
      <c r="E84" s="13" t="s">
        <v>133</v>
      </c>
    </row>
    <row r="85" spans="1:5" ht="33.950000000000003" customHeight="1" x14ac:dyDescent="0.25">
      <c r="A85" s="24" t="s">
        <v>711</v>
      </c>
      <c r="B85" s="12" t="s">
        <v>712</v>
      </c>
      <c r="C85" s="32">
        <v>46297</v>
      </c>
      <c r="D85" s="32">
        <v>46297</v>
      </c>
      <c r="E85" s="13" t="s">
        <v>133</v>
      </c>
    </row>
    <row r="86" spans="1:5" ht="33.950000000000003" customHeight="1" x14ac:dyDescent="0.25">
      <c r="A86" s="24" t="s">
        <v>713</v>
      </c>
      <c r="B86" s="12" t="s">
        <v>714</v>
      </c>
      <c r="C86" s="32">
        <v>46298</v>
      </c>
      <c r="D86" s="32">
        <v>46298</v>
      </c>
      <c r="E86" s="13" t="s">
        <v>133</v>
      </c>
    </row>
    <row r="87" spans="1:5" ht="33.950000000000003" customHeight="1" x14ac:dyDescent="0.25">
      <c r="A87" s="24" t="s">
        <v>715</v>
      </c>
      <c r="B87" s="12" t="s">
        <v>716</v>
      </c>
      <c r="C87" s="32">
        <v>46298</v>
      </c>
      <c r="D87" s="32">
        <v>46298</v>
      </c>
      <c r="E87" s="13" t="s">
        <v>133</v>
      </c>
    </row>
    <row r="88" spans="1:5" ht="33.950000000000003" customHeight="1" x14ac:dyDescent="0.25">
      <c r="A88" s="24" t="s">
        <v>717</v>
      </c>
      <c r="B88" s="12" t="s">
        <v>718</v>
      </c>
      <c r="C88" s="32">
        <v>46299</v>
      </c>
      <c r="D88" s="32">
        <v>46300</v>
      </c>
      <c r="E88" s="13" t="s">
        <v>133</v>
      </c>
    </row>
    <row r="89" spans="1:5" ht="33.950000000000003" customHeight="1" x14ac:dyDescent="0.25">
      <c r="A89" s="24" t="s">
        <v>719</v>
      </c>
      <c r="B89" s="12" t="s">
        <v>720</v>
      </c>
      <c r="C89" s="32">
        <v>46300</v>
      </c>
      <c r="D89" s="32">
        <v>46300</v>
      </c>
      <c r="E89" s="13" t="s">
        <v>133</v>
      </c>
    </row>
    <row r="90" spans="1:5" ht="33.950000000000003" customHeight="1" x14ac:dyDescent="0.25">
      <c r="A90" s="24" t="s">
        <v>440</v>
      </c>
      <c r="B90" s="12" t="s">
        <v>443</v>
      </c>
      <c r="C90" s="32">
        <v>46297</v>
      </c>
      <c r="D90" s="32">
        <v>46297</v>
      </c>
      <c r="E90" s="13" t="s">
        <v>133</v>
      </c>
    </row>
    <row r="91" spans="1:5" ht="33.950000000000003" customHeight="1" x14ac:dyDescent="0.25">
      <c r="A91" s="24" t="s">
        <v>721</v>
      </c>
      <c r="B91" s="12" t="s">
        <v>722</v>
      </c>
      <c r="C91" s="32">
        <v>46299</v>
      </c>
      <c r="D91" s="32">
        <v>46299</v>
      </c>
      <c r="E91" s="13" t="s">
        <v>133</v>
      </c>
    </row>
    <row r="92" spans="1:5" ht="33.950000000000003" customHeight="1" x14ac:dyDescent="0.25">
      <c r="A92" s="24" t="s">
        <v>723</v>
      </c>
      <c r="B92" s="12" t="s">
        <v>724</v>
      </c>
      <c r="C92" s="32">
        <v>46299</v>
      </c>
      <c r="D92" s="32">
        <v>46299</v>
      </c>
      <c r="E92" s="13" t="s">
        <v>133</v>
      </c>
    </row>
    <row r="93" spans="1:5" ht="33.950000000000003" customHeight="1" x14ac:dyDescent="0.25">
      <c r="A93" s="22" t="s">
        <v>725</v>
      </c>
      <c r="B93" s="7" t="s">
        <v>726</v>
      </c>
      <c r="C93" s="30">
        <v>46302</v>
      </c>
      <c r="D93" s="30">
        <v>46302</v>
      </c>
      <c r="E93" s="8" t="s">
        <v>133</v>
      </c>
    </row>
    <row r="94" spans="1:5" ht="33.950000000000003" customHeight="1" x14ac:dyDescent="0.25">
      <c r="A94" s="22" t="s">
        <v>727</v>
      </c>
      <c r="B94" s="7" t="s">
        <v>728</v>
      </c>
      <c r="C94" s="30">
        <v>46308</v>
      </c>
      <c r="D94" s="30">
        <v>46308</v>
      </c>
      <c r="E94" s="8" t="s">
        <v>133</v>
      </c>
    </row>
    <row r="95" spans="1:5" ht="33.950000000000003" customHeight="1" x14ac:dyDescent="0.25">
      <c r="A95" s="22" t="s">
        <v>729</v>
      </c>
      <c r="B95" s="7" t="s">
        <v>730</v>
      </c>
      <c r="C95" s="30">
        <v>46302</v>
      </c>
      <c r="D95" s="30">
        <v>46302</v>
      </c>
      <c r="E95" s="8" t="s">
        <v>133</v>
      </c>
    </row>
    <row r="96" spans="1:5" ht="33.950000000000003" customHeight="1" x14ac:dyDescent="0.25">
      <c r="A96" s="22" t="s">
        <v>731</v>
      </c>
      <c r="B96" s="7" t="s">
        <v>732</v>
      </c>
      <c r="C96" s="30">
        <v>46303</v>
      </c>
      <c r="D96" s="30">
        <v>46303</v>
      </c>
      <c r="E96" s="8" t="s">
        <v>133</v>
      </c>
    </row>
    <row r="97" spans="1:5" ht="33.950000000000003" customHeight="1" x14ac:dyDescent="0.25">
      <c r="A97" s="22" t="s">
        <v>733</v>
      </c>
      <c r="B97" s="7" t="s">
        <v>734</v>
      </c>
      <c r="C97" s="30">
        <v>46303</v>
      </c>
      <c r="D97" s="30">
        <v>46303</v>
      </c>
      <c r="E97" s="8" t="s">
        <v>133</v>
      </c>
    </row>
    <row r="98" spans="1:5" ht="33.950000000000003" customHeight="1" x14ac:dyDescent="0.25">
      <c r="A98" s="22" t="s">
        <v>421</v>
      </c>
      <c r="B98" s="7" t="s">
        <v>424</v>
      </c>
      <c r="C98" s="30">
        <v>46303</v>
      </c>
      <c r="D98" s="30">
        <v>46303</v>
      </c>
      <c r="E98" s="8" t="s">
        <v>133</v>
      </c>
    </row>
    <row r="99" spans="1:5" ht="33.950000000000003" customHeight="1" x14ac:dyDescent="0.25">
      <c r="A99" s="22" t="s">
        <v>465</v>
      </c>
      <c r="B99" s="7" t="s">
        <v>469</v>
      </c>
      <c r="C99" s="30">
        <v>46304</v>
      </c>
      <c r="D99" s="30">
        <v>46304</v>
      </c>
      <c r="E99" s="8" t="s">
        <v>133</v>
      </c>
    </row>
    <row r="100" spans="1:5" ht="33.950000000000003" customHeight="1" x14ac:dyDescent="0.25">
      <c r="A100" s="22" t="s">
        <v>735</v>
      </c>
      <c r="B100" s="7" t="s">
        <v>736</v>
      </c>
      <c r="C100" s="30">
        <v>46304</v>
      </c>
      <c r="D100" s="30">
        <v>46304</v>
      </c>
      <c r="E100" s="8" t="s">
        <v>133</v>
      </c>
    </row>
    <row r="101" spans="1:5" ht="33.950000000000003" customHeight="1" x14ac:dyDescent="0.25">
      <c r="A101" s="22" t="s">
        <v>737</v>
      </c>
      <c r="B101" s="7" t="s">
        <v>738</v>
      </c>
      <c r="C101" s="30">
        <v>46303</v>
      </c>
      <c r="D101" s="30">
        <v>46303</v>
      </c>
      <c r="E101" s="8" t="s">
        <v>133</v>
      </c>
    </row>
    <row r="102" spans="1:5" ht="33.950000000000003" customHeight="1" x14ac:dyDescent="0.25">
      <c r="A102" s="22" t="s">
        <v>374</v>
      </c>
      <c r="B102" s="7" t="s">
        <v>381</v>
      </c>
      <c r="C102" s="30">
        <v>46305</v>
      </c>
      <c r="D102" s="30">
        <v>46305</v>
      </c>
      <c r="E102" s="11" t="s">
        <v>377</v>
      </c>
    </row>
    <row r="103" spans="1:5" ht="33.950000000000003" customHeight="1" x14ac:dyDescent="0.25">
      <c r="A103" s="22" t="s">
        <v>384</v>
      </c>
      <c r="B103" s="7" t="s">
        <v>391</v>
      </c>
      <c r="C103" s="30">
        <v>46306</v>
      </c>
      <c r="D103" s="30">
        <v>46306</v>
      </c>
      <c r="E103" s="11" t="s">
        <v>387</v>
      </c>
    </row>
    <row r="104" spans="1:5" ht="33.950000000000003" customHeight="1" x14ac:dyDescent="0.25">
      <c r="A104" s="22" t="s">
        <v>392</v>
      </c>
      <c r="B104" s="7" t="s">
        <v>398</v>
      </c>
      <c r="C104" s="30">
        <v>46306</v>
      </c>
      <c r="D104" s="30">
        <v>46307</v>
      </c>
      <c r="E104" s="11" t="s">
        <v>395</v>
      </c>
    </row>
    <row r="105" spans="1:5" ht="33.950000000000003" customHeight="1" x14ac:dyDescent="0.25">
      <c r="A105" s="23" t="s">
        <v>739</v>
      </c>
      <c r="B105" s="9" t="s">
        <v>740</v>
      </c>
      <c r="C105" s="31">
        <v>46309</v>
      </c>
      <c r="D105" s="31">
        <v>46309</v>
      </c>
      <c r="E105" s="10" t="s">
        <v>133</v>
      </c>
    </row>
    <row r="106" spans="1:5" ht="33.950000000000003" customHeight="1" x14ac:dyDescent="0.25">
      <c r="A106" s="23" t="s">
        <v>741</v>
      </c>
      <c r="B106" s="9" t="s">
        <v>742</v>
      </c>
      <c r="C106" s="31">
        <v>46310</v>
      </c>
      <c r="D106" s="31">
        <v>46310</v>
      </c>
      <c r="E106" s="10" t="s">
        <v>133</v>
      </c>
    </row>
    <row r="107" spans="1:5" ht="33.950000000000003" customHeight="1" x14ac:dyDescent="0.25">
      <c r="A107" s="23" t="s">
        <v>743</v>
      </c>
      <c r="B107" s="9" t="s">
        <v>744</v>
      </c>
      <c r="C107" s="31">
        <v>46310</v>
      </c>
      <c r="D107" s="31">
        <v>46310</v>
      </c>
      <c r="E107" s="10" t="s">
        <v>133</v>
      </c>
    </row>
    <row r="108" spans="1:5" ht="33.950000000000003" customHeight="1" x14ac:dyDescent="0.25">
      <c r="A108" s="27" t="s">
        <v>745</v>
      </c>
      <c r="B108" s="18" t="s">
        <v>746</v>
      </c>
      <c r="C108" s="35">
        <v>46309</v>
      </c>
      <c r="D108" s="35">
        <v>46309</v>
      </c>
      <c r="E108" s="19" t="s">
        <v>133</v>
      </c>
    </row>
  </sheetData>
  <mergeCells count="15">
    <mergeCell ref="A2:S2"/>
    <mergeCell ref="A19:S19"/>
    <mergeCell ref="A1:E1"/>
    <mergeCell ref="A25:S25"/>
    <mergeCell ref="A4:D4"/>
    <mergeCell ref="E4:G4"/>
    <mergeCell ref="H4:J4"/>
    <mergeCell ref="K4:M4"/>
    <mergeCell ref="N4:O4"/>
    <mergeCell ref="P4:Q4"/>
    <mergeCell ref="R4:S4"/>
    <mergeCell ref="H6:J6"/>
    <mergeCell ref="K6:M6"/>
    <mergeCell ref="P6:Q6"/>
    <mergeCell ref="R6:S6"/>
  </mergeCells>
  <conditionalFormatting sqref="G8:G17">
    <cfRule type="expression" dxfId="21" priority="4">
      <formula>G8="Cerrado"</formula>
    </cfRule>
    <cfRule type="expression" dxfId="20" priority="5">
      <formula>G8="En progreso"</formula>
    </cfRule>
    <cfRule type="expression" dxfId="19" priority="6">
      <formula>G8="Bloqueado"</formula>
    </cfRule>
  </conditionalFormatting>
  <conditionalFormatting sqref="G8:G23">
    <cfRule type="expression" dxfId="18" priority="1">
      <formula>G8="Completado"</formula>
    </cfRule>
    <cfRule type="expression" dxfId="17" priority="2">
      <formula>G8="En curso"</formula>
    </cfRule>
    <cfRule type="expression" dxfId="16" priority="3">
      <formula>G8="Bloqueado"</formula>
    </cfRule>
  </conditionalFormatting>
  <dataValidations count="2">
    <dataValidation type="list" sqref="G8:G23" xr:uid="{00000000-0002-0000-0500-000000000000}">
      <formula1>"Planificado,En curso,Completado,Bloqueado"</formula1>
    </dataValidation>
    <dataValidation type="list" sqref="G8:G17" xr:uid="{00000000-0002-0000-0500-000001000000}">
      <formula1>"Cerrado,Planificado,En progreso,Bloqueado"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Interesados</vt:lpstr>
      <vt:lpstr>Reglas de Negocio</vt:lpstr>
      <vt:lpstr>Matriz Requerimientos</vt:lpstr>
      <vt:lpstr>Casos de Prueba</vt:lpstr>
      <vt:lpstr>Matriz Trazabilidad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 Huahuaccapa Ccama</cp:lastModifiedBy>
  <dcterms:created xsi:type="dcterms:W3CDTF">2026-08-26T04:02:02Z</dcterms:created>
  <dcterms:modified xsi:type="dcterms:W3CDTF">2026-08-26T04:02:02Z</dcterms:modified>
</cp:coreProperties>
</file>