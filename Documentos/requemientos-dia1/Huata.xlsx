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huata-Requerimientos\Huata-REQ-SOTW-MOVIL-WEB-DEPLOY\Documentos\requemientos-dia1\"/>
    </mc:Choice>
  </mc:AlternateContent>
  <xr:revisionPtr revIDLastSave="0" documentId="13_ncr:1_{047105B8-819C-4F2B-A282-A81A53250131}" xr6:coauthVersionLast="47" xr6:coauthVersionMax="47" xr10:uidLastSave="{00000000-0000-0000-0000-000000000000}"/>
  <bookViews>
    <workbookView xWindow="-120" yWindow="-120" windowWidth="29040" windowHeight="15720" tabRatio="500" activeTab="2" xr2:uid="{00000000-000D-0000-FFFF-FFFF00000000}"/>
  </bookViews>
  <sheets>
    <sheet name="Interesados" sheetId="2" r:id="rId1"/>
    <sheet name="Reglas de Negocio" sheetId="3" r:id="rId2"/>
    <sheet name="Matriz Requerimientos" sheetId="4" r:id="rId3"/>
    <sheet name="Casos de Prueba" sheetId="5" r:id="rId4"/>
    <sheet name="Matriz Trazabilidad" sheetId="6" r:id="rId5"/>
  </sheets>
  <definedNames>
    <definedName name="_xlnm._FilterDatabase" localSheetId="3" hidden="1">'Casos de Prueba'!$A$4:$G$40</definedName>
    <definedName name="_xlnm._FilterDatabase" localSheetId="2" hidden="1">'Matriz Requerimientos'!$A$4:$M$60</definedName>
    <definedName name="_xlnm.Print_Titles" localSheetId="3">'Casos de Prueba'!$4:$4</definedName>
    <definedName name="_xlnm.Print_Titles" localSheetId="0">Interesados!$4:$4</definedName>
    <definedName name="_xlnm.Print_Titles" localSheetId="2">'Matriz Requerimientos'!$4:$4</definedName>
    <definedName name="_xlnm.Print_Titles" localSheetId="4">'Matriz Trazabilidad'!$4:$4</definedName>
    <definedName name="_xlnm.Print_Titles" localSheetId="1">'Reglas de Negocio'!$4:$4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5" i="6" l="1"/>
  <c r="F60" i="6"/>
  <c r="E60" i="6"/>
  <c r="D60" i="6"/>
  <c r="C60" i="6"/>
  <c r="B60" i="6"/>
  <c r="A60" i="6"/>
  <c r="I60" i="6" s="1"/>
  <c r="I59" i="6"/>
  <c r="F59" i="6"/>
  <c r="E59" i="6"/>
  <c r="D59" i="6"/>
  <c r="C59" i="6"/>
  <c r="B59" i="6"/>
  <c r="A59" i="6"/>
  <c r="F58" i="6"/>
  <c r="E58" i="6"/>
  <c r="D58" i="6"/>
  <c r="C58" i="6"/>
  <c r="B58" i="6"/>
  <c r="A58" i="6"/>
  <c r="I58" i="6" s="1"/>
  <c r="I57" i="6"/>
  <c r="F57" i="6"/>
  <c r="E57" i="6"/>
  <c r="D57" i="6"/>
  <c r="C57" i="6"/>
  <c r="B57" i="6"/>
  <c r="A57" i="6"/>
  <c r="F56" i="6"/>
  <c r="E56" i="6"/>
  <c r="D56" i="6"/>
  <c r="C56" i="6"/>
  <c r="B56" i="6"/>
  <c r="A56" i="6"/>
  <c r="I56" i="6" s="1"/>
  <c r="I55" i="6"/>
  <c r="F55" i="6"/>
  <c r="E55" i="6"/>
  <c r="D55" i="6"/>
  <c r="C55" i="6"/>
  <c r="B55" i="6"/>
  <c r="A55" i="6"/>
  <c r="I54" i="6"/>
  <c r="F54" i="6"/>
  <c r="E54" i="6"/>
  <c r="D54" i="6"/>
  <c r="C54" i="6"/>
  <c r="B54" i="6"/>
  <c r="A54" i="6"/>
  <c r="F53" i="6"/>
  <c r="E53" i="6"/>
  <c r="D53" i="6"/>
  <c r="C53" i="6"/>
  <c r="B53" i="6"/>
  <c r="A53" i="6"/>
  <c r="I53" i="6" s="1"/>
  <c r="I52" i="6"/>
  <c r="F52" i="6"/>
  <c r="E52" i="6"/>
  <c r="D52" i="6"/>
  <c r="C52" i="6"/>
  <c r="B52" i="6"/>
  <c r="A52" i="6"/>
  <c r="F51" i="6"/>
  <c r="E51" i="6"/>
  <c r="D51" i="6"/>
  <c r="C51" i="6"/>
  <c r="B51" i="6"/>
  <c r="A51" i="6"/>
  <c r="I51" i="6" s="1"/>
  <c r="I50" i="6"/>
  <c r="F50" i="6"/>
  <c r="E50" i="6"/>
  <c r="D50" i="6"/>
  <c r="C50" i="6"/>
  <c r="B50" i="6"/>
  <c r="A50" i="6"/>
  <c r="F49" i="6"/>
  <c r="E49" i="6"/>
  <c r="D49" i="6"/>
  <c r="C49" i="6"/>
  <c r="B49" i="6"/>
  <c r="A49" i="6"/>
  <c r="I49" i="6" s="1"/>
  <c r="F48" i="6"/>
  <c r="E48" i="6"/>
  <c r="D48" i="6"/>
  <c r="C48" i="6"/>
  <c r="B48" i="6"/>
  <c r="A48" i="6"/>
  <c r="I48" i="6" s="1"/>
  <c r="I47" i="6"/>
  <c r="F47" i="6"/>
  <c r="E47" i="6"/>
  <c r="D47" i="6"/>
  <c r="C47" i="6"/>
  <c r="B47" i="6"/>
  <c r="A47" i="6"/>
  <c r="F46" i="6"/>
  <c r="E46" i="6"/>
  <c r="D46" i="6"/>
  <c r="C46" i="6"/>
  <c r="B46" i="6"/>
  <c r="A46" i="6"/>
  <c r="I46" i="6" s="1"/>
  <c r="I45" i="6"/>
  <c r="F45" i="6"/>
  <c r="E45" i="6"/>
  <c r="D45" i="6"/>
  <c r="C45" i="6"/>
  <c r="B45" i="6"/>
  <c r="A45" i="6"/>
  <c r="F44" i="6"/>
  <c r="E44" i="6"/>
  <c r="D44" i="6"/>
  <c r="C44" i="6"/>
  <c r="B44" i="6"/>
  <c r="A44" i="6"/>
  <c r="I44" i="6" s="1"/>
  <c r="I43" i="6"/>
  <c r="F43" i="6"/>
  <c r="E43" i="6"/>
  <c r="D43" i="6"/>
  <c r="C43" i="6"/>
  <c r="B43" i="6"/>
  <c r="A43" i="6"/>
  <c r="I42" i="6"/>
  <c r="F42" i="6"/>
  <c r="E42" i="6"/>
  <c r="D42" i="6"/>
  <c r="C42" i="6"/>
  <c r="B42" i="6"/>
  <c r="A42" i="6"/>
  <c r="F41" i="6"/>
  <c r="E41" i="6"/>
  <c r="D41" i="6"/>
  <c r="C41" i="6"/>
  <c r="B41" i="6"/>
  <c r="A41" i="6"/>
  <c r="I41" i="6" s="1"/>
  <c r="I40" i="6"/>
  <c r="F40" i="6"/>
  <c r="E40" i="6"/>
  <c r="D40" i="6"/>
  <c r="C40" i="6"/>
  <c r="B40" i="6"/>
  <c r="A40" i="6"/>
  <c r="F39" i="6"/>
  <c r="E39" i="6"/>
  <c r="D39" i="6"/>
  <c r="C39" i="6"/>
  <c r="B39" i="6"/>
  <c r="A39" i="6"/>
  <c r="I39" i="6" s="1"/>
  <c r="I38" i="6"/>
  <c r="F38" i="6"/>
  <c r="E38" i="6"/>
  <c r="D38" i="6"/>
  <c r="C38" i="6"/>
  <c r="B38" i="6"/>
  <c r="A38" i="6"/>
  <c r="F37" i="6"/>
  <c r="E37" i="6"/>
  <c r="D37" i="6"/>
  <c r="C37" i="6"/>
  <c r="B37" i="6"/>
  <c r="A37" i="6"/>
  <c r="I37" i="6" s="1"/>
  <c r="F36" i="6"/>
  <c r="E36" i="6"/>
  <c r="D36" i="6"/>
  <c r="C36" i="6"/>
  <c r="B36" i="6"/>
  <c r="A36" i="6"/>
  <c r="I36" i="6" s="1"/>
  <c r="I35" i="6"/>
  <c r="F35" i="6"/>
  <c r="E35" i="6"/>
  <c r="D35" i="6"/>
  <c r="C35" i="6"/>
  <c r="B35" i="6"/>
  <c r="A35" i="6"/>
  <c r="F34" i="6"/>
  <c r="E34" i="6"/>
  <c r="D34" i="6"/>
  <c r="C34" i="6"/>
  <c r="B34" i="6"/>
  <c r="A34" i="6"/>
  <c r="I34" i="6" s="1"/>
  <c r="I33" i="6"/>
  <c r="F33" i="6"/>
  <c r="E33" i="6"/>
  <c r="D33" i="6"/>
  <c r="C33" i="6"/>
  <c r="B33" i="6"/>
  <c r="A33" i="6"/>
  <c r="F32" i="6"/>
  <c r="E32" i="6"/>
  <c r="D32" i="6"/>
  <c r="C32" i="6"/>
  <c r="B32" i="6"/>
  <c r="A32" i="6"/>
  <c r="I32" i="6" s="1"/>
  <c r="I31" i="6"/>
  <c r="F31" i="6"/>
  <c r="E31" i="6"/>
  <c r="D31" i="6"/>
  <c r="C31" i="6"/>
  <c r="B31" i="6"/>
  <c r="A31" i="6"/>
  <c r="I30" i="6"/>
  <c r="F30" i="6"/>
  <c r="E30" i="6"/>
  <c r="D30" i="6"/>
  <c r="C30" i="6"/>
  <c r="B30" i="6"/>
  <c r="A30" i="6"/>
  <c r="F29" i="6"/>
  <c r="E29" i="6"/>
  <c r="D29" i="6"/>
  <c r="C29" i="6"/>
  <c r="B29" i="6"/>
  <c r="A29" i="6"/>
  <c r="I29" i="6" s="1"/>
  <c r="I28" i="6"/>
  <c r="F28" i="6"/>
  <c r="E28" i="6"/>
  <c r="D28" i="6"/>
  <c r="C28" i="6"/>
  <c r="B28" i="6"/>
  <c r="A28" i="6"/>
  <c r="F27" i="6"/>
  <c r="E27" i="6"/>
  <c r="D27" i="6"/>
  <c r="C27" i="6"/>
  <c r="B27" i="6"/>
  <c r="A27" i="6"/>
  <c r="I27" i="6" s="1"/>
  <c r="I26" i="6"/>
  <c r="F26" i="6"/>
  <c r="E26" i="6"/>
  <c r="D26" i="6"/>
  <c r="C26" i="6"/>
  <c r="B26" i="6"/>
  <c r="A26" i="6"/>
  <c r="F25" i="6"/>
  <c r="E25" i="6"/>
  <c r="D25" i="6"/>
  <c r="C25" i="6"/>
  <c r="B25" i="6"/>
  <c r="A25" i="6"/>
  <c r="I25" i="6" s="1"/>
  <c r="F24" i="6"/>
  <c r="E24" i="6"/>
  <c r="D24" i="6"/>
  <c r="C24" i="6"/>
  <c r="B24" i="6"/>
  <c r="A24" i="6"/>
  <c r="I24" i="6" s="1"/>
  <c r="I23" i="6"/>
  <c r="F23" i="6"/>
  <c r="E23" i="6"/>
  <c r="D23" i="6"/>
  <c r="C23" i="6"/>
  <c r="B23" i="6"/>
  <c r="A23" i="6"/>
  <c r="F22" i="6"/>
  <c r="E22" i="6"/>
  <c r="D22" i="6"/>
  <c r="C22" i="6"/>
  <c r="B22" i="6"/>
  <c r="A22" i="6"/>
  <c r="I22" i="6" s="1"/>
  <c r="F21" i="6"/>
  <c r="E21" i="6"/>
  <c r="D21" i="6"/>
  <c r="C21" i="6"/>
  <c r="I21" i="6" s="1"/>
  <c r="B21" i="6"/>
  <c r="A21" i="6"/>
  <c r="F20" i="6"/>
  <c r="E20" i="6"/>
  <c r="D20" i="6"/>
  <c r="C20" i="6"/>
  <c r="B20" i="6"/>
  <c r="A20" i="6"/>
  <c r="I20" i="6" s="1"/>
  <c r="F19" i="6"/>
  <c r="I19" i="6" s="1"/>
  <c r="E19" i="6"/>
  <c r="D19" i="6"/>
  <c r="C19" i="6"/>
  <c r="B19" i="6"/>
  <c r="A19" i="6"/>
  <c r="F18" i="6"/>
  <c r="E18" i="6"/>
  <c r="D18" i="6"/>
  <c r="C18" i="6"/>
  <c r="B18" i="6"/>
  <c r="A18" i="6"/>
  <c r="I18" i="6" s="1"/>
  <c r="F17" i="6"/>
  <c r="E17" i="6"/>
  <c r="D17" i="6"/>
  <c r="C17" i="6"/>
  <c r="B17" i="6"/>
  <c r="A17" i="6"/>
  <c r="I17" i="6" s="1"/>
  <c r="F16" i="6"/>
  <c r="E16" i="6"/>
  <c r="D16" i="6"/>
  <c r="C16" i="6"/>
  <c r="B16" i="6"/>
  <c r="A16" i="6"/>
  <c r="I16" i="6" s="1"/>
  <c r="E15" i="6"/>
  <c r="D15" i="6"/>
  <c r="C15" i="6"/>
  <c r="B15" i="6"/>
  <c r="A15" i="6"/>
  <c r="F14" i="6"/>
  <c r="E14" i="6"/>
  <c r="D14" i="6"/>
  <c r="C14" i="6"/>
  <c r="I14" i="6" s="1"/>
  <c r="B14" i="6"/>
  <c r="A14" i="6"/>
  <c r="F13" i="6"/>
  <c r="E13" i="6"/>
  <c r="D13" i="6"/>
  <c r="C13" i="6"/>
  <c r="B13" i="6"/>
  <c r="A13" i="6"/>
  <c r="I13" i="6" s="1"/>
  <c r="F12" i="6"/>
  <c r="E12" i="6"/>
  <c r="I12" i="6" s="1"/>
  <c r="D12" i="6"/>
  <c r="C12" i="6"/>
  <c r="B12" i="6"/>
  <c r="A12" i="6"/>
  <c r="F11" i="6"/>
  <c r="E11" i="6"/>
  <c r="D11" i="6"/>
  <c r="C11" i="6"/>
  <c r="B11" i="6"/>
  <c r="A11" i="6"/>
  <c r="I11" i="6" s="1"/>
  <c r="I10" i="6"/>
  <c r="F10" i="6"/>
  <c r="E10" i="6"/>
  <c r="D10" i="6"/>
  <c r="C10" i="6"/>
  <c r="B10" i="6"/>
  <c r="A10" i="6"/>
  <c r="F9" i="6"/>
  <c r="E9" i="6"/>
  <c r="D9" i="6"/>
  <c r="C9" i="6"/>
  <c r="I9" i="6" s="1"/>
  <c r="B9" i="6"/>
  <c r="A9" i="6"/>
  <c r="F8" i="6"/>
  <c r="E8" i="6"/>
  <c r="D8" i="6"/>
  <c r="C8" i="6"/>
  <c r="B8" i="6"/>
  <c r="A8" i="6"/>
  <c r="I8" i="6" s="1"/>
  <c r="F7" i="6"/>
  <c r="E7" i="6"/>
  <c r="I7" i="6" s="1"/>
  <c r="D7" i="6"/>
  <c r="C7" i="6"/>
  <c r="B7" i="6"/>
  <c r="A7" i="6"/>
  <c r="F6" i="6"/>
  <c r="E6" i="6"/>
  <c r="D6" i="6"/>
  <c r="C6" i="6"/>
  <c r="B6" i="6"/>
  <c r="A6" i="6"/>
  <c r="I6" i="6" s="1"/>
  <c r="F5" i="6"/>
  <c r="E5" i="6"/>
  <c r="D5" i="6"/>
  <c r="C5" i="6"/>
  <c r="B5" i="6"/>
  <c r="A5" i="6"/>
  <c r="I5" i="6" s="1"/>
  <c r="I15" i="6" l="1"/>
</calcChain>
</file>

<file path=xl/sharedStrings.xml><?xml version="1.0" encoding="utf-8"?>
<sst xmlns="http://schemas.openxmlformats.org/spreadsheetml/2006/main" count="400" uniqueCount="235">
  <si>
    <t>INTERESADOS DEL PROYECTO</t>
  </si>
  <si>
    <t>Quiénes usarán o se verán afectados por el sistema. Cada requerimiento debería poder atribuirse a uno de ellos.</t>
  </si>
  <si>
    <t>ID</t>
  </si>
  <si>
    <t>Interesado / Rol</t>
  </si>
  <si>
    <t>Necesidad principal</t>
  </si>
  <si>
    <t>Nivel de influencia</t>
  </si>
  <si>
    <t>Cómo se le consultó</t>
  </si>
  <si>
    <t>INT-01</t>
  </si>
  <si>
    <t>Estudiante</t>
  </si>
  <si>
    <t>Saber si hay puestos libres y asegurar uno sin desplazarse hasta el laboratorio.</t>
  </si>
  <si>
    <t>Alta</t>
  </si>
  <si>
    <t>Entrevista + cuestionario</t>
  </si>
  <si>
    <t>INT-02</t>
  </si>
  <si>
    <t>Docente</t>
  </si>
  <si>
    <t>Reservar un laboratorio completo para una sesión de clase, con prioridad.</t>
  </si>
  <si>
    <t>Entrevista</t>
  </si>
  <si>
    <t>INT-03</t>
  </si>
  <si>
    <t>Encargado de laboratorio</t>
  </si>
  <si>
    <t>Registrar la asistencia efectiva y liberar rápido los puestos no ocupados.</t>
  </si>
  <si>
    <t>Media</t>
  </si>
  <si>
    <t>Observación en sitio</t>
  </si>
  <si>
    <t>INT-04</t>
  </si>
  <si>
    <t>Jefe de laboratorio</t>
  </si>
  <si>
    <t>Obtener indicadores de ocupación para sustentar compras de equipamiento.</t>
  </si>
  <si>
    <t>INT-05</t>
  </si>
  <si>
    <t>Oficina de Sistemas</t>
  </si>
  <si>
    <t>Que el sistema use la cuenta institucional y no cree otra base de usuarios.</t>
  </si>
  <si>
    <t>Documento técnico</t>
  </si>
  <si>
    <t>REGLAS DE NEGOCIO</t>
  </si>
  <si>
    <t>Lo que ya es cierto en el negocio. Una regla NO es un requerimiento: el requerimiento dice qué debe hacer el sistema para respetarla.</t>
  </si>
  <si>
    <t>Regla de negocio</t>
  </si>
  <si>
    <t>Fuente</t>
  </si>
  <si>
    <t>Requisitos que la implementan</t>
  </si>
  <si>
    <t>RN-01</t>
  </si>
  <si>
    <t>Un estudiante no puede tener más de una reserva activa por turno.</t>
  </si>
  <si>
    <t>Reglamento de laboratorios</t>
  </si>
  <si>
    <t>RF-03</t>
  </si>
  <si>
    <t>RN-02</t>
  </si>
  <si>
    <t>Un estudiante no puede reservar más de 10 horas por semana.</t>
  </si>
  <si>
    <t>RN-03</t>
  </si>
  <si>
    <t>La reserva de un docente bloquea el laboratorio completo y cancela las reservas individuales de ese turno, notificando a los afectados.</t>
  </si>
  <si>
    <t>Entrevista jefe de laboratorio</t>
  </si>
  <si>
    <t>RF-06, RF-09</t>
  </si>
  <si>
    <t>RN-04</t>
  </si>
  <si>
    <t>Si el estudiante no se presenta en los primeros 15 minutos del turno, la reserva se marca como no-show y el puesto queda libre.</t>
  </si>
  <si>
    <t>RF-05</t>
  </si>
  <si>
    <t>RN-05</t>
  </si>
  <si>
    <t>Tres no-show en un mismo mes suspenden al estudiante por dos semanas.</t>
  </si>
  <si>
    <t>RF-07</t>
  </si>
  <si>
    <t>RN-06</t>
  </si>
  <si>
    <t>Una reserva puede cancelarse hasta 2 horas antes del turno sin penalidad.</t>
  </si>
  <si>
    <t>Entrevista encargado</t>
  </si>
  <si>
    <t>RF-04</t>
  </si>
  <si>
    <t>RN-07</t>
  </si>
  <si>
    <t>Solo el personal autorizado puede registrar, editar o desactivar laboratorios y puestos.</t>
  </si>
  <si>
    <t>RF-10, RNF-02</t>
  </si>
  <si>
    <t>MATRIZ DE REQUERIMIENTOS</t>
  </si>
  <si>
    <t>Hoja principal. Un requerimiento por fila. Las diez primeras columnas son obligatorias; las columnas L y M se calculan solas.</t>
  </si>
  <si>
    <t>Nombre</t>
  </si>
  <si>
    <t>Descripción  (El sistema deberá…)</t>
  </si>
  <si>
    <t>Tipo</t>
  </si>
  <si>
    <t>Categoría RNF</t>
  </si>
  <si>
    <t>Actor</t>
  </si>
  <si>
    <t>Origen</t>
  </si>
  <si>
    <t>Referencia origen</t>
  </si>
  <si>
    <t>Prioridad</t>
  </si>
  <si>
    <t>Criterio de aceptación</t>
  </si>
  <si>
    <t>Componente</t>
  </si>
  <si>
    <t>Dependencias</t>
  </si>
  <si>
    <t>Estado</t>
  </si>
  <si>
    <t>RF-01</t>
  </si>
  <si>
    <t>Autenticar usuario</t>
  </si>
  <si>
    <t>El sistema deberá autenticar al usuario mediante su cuenta institucional para que solo la comunidad universitaria acceda, bloqueando el acceso tras 3 intentos fallidos.</t>
  </si>
  <si>
    <t>Funcional</t>
  </si>
  <si>
    <t>—</t>
  </si>
  <si>
    <t>Estudiante / Docente</t>
  </si>
  <si>
    <t>Restricción técnica</t>
  </si>
  <si>
    <t>Oficina Sistemas</t>
  </si>
  <si>
    <t>Must</t>
  </si>
  <si>
    <t>Con credenciales válidas ingresa; al tercer intento fallido el acceso queda bloqueado 10 minutos.</t>
  </si>
  <si>
    <t>Autenticación</t>
  </si>
  <si>
    <t>Aprobado</t>
  </si>
  <si>
    <t>RF-02</t>
  </si>
  <si>
    <t>Consultar disponibilidad</t>
  </si>
  <si>
    <t>El sistema deberá mostrar los puestos libres por laboratorio, fecha y turno para que el estudiante decida sin desplazarse.</t>
  </si>
  <si>
    <t>El listado refleja el estado real y se despliega en menos de 2 segundos.</t>
  </si>
  <si>
    <t>Reservas</t>
  </si>
  <si>
    <t>Reservar puesto</t>
  </si>
  <si>
    <t>El sistema deberá permitir reservar un puesto disponible para una fecha y turno, cumpliendo el límite de una reserva activa por turno y 10 horas semanales.</t>
  </si>
  <si>
    <t>RN-01, RN-02</t>
  </si>
  <si>
    <t>Genera un código de reserva único y rechaza la solicitud si se excede cualquiera de los dos límites.</t>
  </si>
  <si>
    <t>Cancelar reserva</t>
  </si>
  <si>
    <t>El sistema deberá permitir cancelar una reserva hasta 2 horas antes del inicio del turno para que el puesto vuelva a estar disponible.</t>
  </si>
  <si>
    <t>Should</t>
  </si>
  <si>
    <t>Cancelada la reserva, el puesto aparece libre de inmediato; a menos de 2 horas la opción se deshabilita.</t>
  </si>
  <si>
    <t>Registrar asistencia</t>
  </si>
  <si>
    <t>El sistema deberá permitir al encargado registrar la asistencia efectiva al puesto reservado, marcando no-show si el estudiante no se presenta en 15 minutos.</t>
  </si>
  <si>
    <t>Encargado</t>
  </si>
  <si>
    <t>Transcurridos 15 minutos sin registro, el estado pasa a NO_SHOW y el puesto figura disponible.</t>
  </si>
  <si>
    <t>Asistencia</t>
  </si>
  <si>
    <t>RF-06</t>
  </si>
  <si>
    <t>Reservar laboratorio completo</t>
  </si>
  <si>
    <t>El sistema deberá permitir al docente reservar un laboratorio completo para una sesión de clase, con prioridad sobre las reservas individuales.</t>
  </si>
  <si>
    <t>Al confirmarse, ningún puesto de ese laboratorio y turno queda disponible para estudiantes.</t>
  </si>
  <si>
    <t>Aplicar suspensión por inasistencia</t>
  </si>
  <si>
    <t>El sistema deberá suspender por dos semanas al estudiante que acumule tres no-show en un mismo mes, para desincentivar la reserva sin uso.</t>
  </si>
  <si>
    <t>Al tercer no-show del mes el estudiante no puede crear reservas durante 14 días.</t>
  </si>
  <si>
    <t>Propuesto</t>
  </si>
  <si>
    <t>RF-08</t>
  </si>
  <si>
    <t>Generar reporte de ocupación</t>
  </si>
  <si>
    <t>El sistema deberá generar un reporte mensual de ocupación por laboratorio y turno para que el jefe de laboratorio sustente decisiones de equipamiento.</t>
  </si>
  <si>
    <t>El reporte muestra reservas, asistencias y no-show por laboratorio y turno del mes elegido.</t>
  </si>
  <si>
    <t>Reportes</t>
  </si>
  <si>
    <t>RF-09</t>
  </si>
  <si>
    <t>Notificar cancelación automática</t>
  </si>
  <si>
    <t>El sistema deberá notificar al estudiante cuando su reserva individual sea cancelada por una reserva docente del mismo turno.</t>
  </si>
  <si>
    <t>La notificación se emite dentro de los 5 minutos posteriores a la reserva del docente.</t>
  </si>
  <si>
    <t>Notificaciones</t>
  </si>
  <si>
    <t>RF-10</t>
  </si>
  <si>
    <t>Administrar laboratorios</t>
  </si>
  <si>
    <t>El sistema deberá permitir al personal autorizado registrar, editar y desactivar laboratorios y puestos, indicando código, capacidad y ubicación.</t>
  </si>
  <si>
    <t>Administrador</t>
  </si>
  <si>
    <t>Un laboratorio desactivado deja de aparecer en la consulta de disponibilidad.</t>
  </si>
  <si>
    <t>Administración</t>
  </si>
  <si>
    <t>RF-11</t>
  </si>
  <si>
    <t>Consultar historial de reservas</t>
  </si>
  <si>
    <t>El sistema deberá permitir consultar el historial de reservas de los últimos 24 meses filtrando por estudiante y por fecha.</t>
  </si>
  <si>
    <t>Documento</t>
  </si>
  <si>
    <t>Dirección de Escuela</t>
  </si>
  <si>
    <t>Devuelve resultados de cualquier fecha dentro de los 24 meses previos.</t>
  </si>
  <si>
    <t>RF-12</t>
  </si>
  <si>
    <t>Liberar puestos vencidos</t>
  </si>
  <si>
    <t>El sistema deberá liberar automáticamente los puestos cuya reserva haya vencido sin registro de asistencia, para maximizar el uso del laboratorio.</t>
  </si>
  <si>
    <t>Sistema</t>
  </si>
  <si>
    <t>Observación</t>
  </si>
  <si>
    <t>Could</t>
  </si>
  <si>
    <t>Al minuto 16 del turno los puestos sin asistencia figuran disponibles.</t>
  </si>
  <si>
    <t>RNF-01</t>
  </si>
  <si>
    <t>Tiempo de respuesta</t>
  </si>
  <si>
    <t>El sistema deberá responder las consultas de disponibilidad en menos de 2 segundos con hasta 200 usuarios concurrentes.</t>
  </si>
  <si>
    <t>No funcional</t>
  </si>
  <si>
    <t>Rendimiento</t>
  </si>
  <si>
    <t>Todos</t>
  </si>
  <si>
    <t>Red institucional</t>
  </si>
  <si>
    <t>Prueba de carga con 200 sesiones simultáneas: percentil 95 por debajo de 2 segundos.</t>
  </si>
  <si>
    <t>Transversal</t>
  </si>
  <si>
    <t>RNF-02</t>
  </si>
  <si>
    <t>Protección de credenciales</t>
  </si>
  <si>
    <t>El sistema deberá almacenar las credenciales cifradas y registrar en bitácora todo acceso y cambio de configuración.</t>
  </si>
  <si>
    <t>Seguridad</t>
  </si>
  <si>
    <t>Ninguna credencial se almacena en texto plano; la bitácora registra usuario, acción y fecha.</t>
  </si>
  <si>
    <t>RNF-03</t>
  </si>
  <si>
    <t>Uso desde teléfono móvil</t>
  </si>
  <si>
    <t>El sistema deberá permitir completar una reserva desde un teléfono móvil en un máximo de 3 pasos y sin capacitación previa.</t>
  </si>
  <si>
    <t>Usabilidad</t>
  </si>
  <si>
    <t>Cinco usuarios sin instrucción previa completan una reserva en menos de 2 minutos.</t>
  </si>
  <si>
    <t>RNF-04</t>
  </si>
  <si>
    <t>Disponibilidad del servicio</t>
  </si>
  <si>
    <t>El sistema deberá estar operativo al menos el 99 % del horario académico de 07:00 a 21:00.</t>
  </si>
  <si>
    <t>Disponibilidad</t>
  </si>
  <si>
    <t>El registro mensual de caídas no supera el 1 % del horario de atención.</t>
  </si>
  <si>
    <t>RNF-05</t>
  </si>
  <si>
    <t>Conservación del historial</t>
  </si>
  <si>
    <t>El sistema deberá conservar el historial de reservas de los últimos 24 meses sin degradar el tiempo de consulta.</t>
  </si>
  <si>
    <t>Mantenibilidad</t>
  </si>
  <si>
    <t>Consultas sobre 24 meses de datos responden en menos de 5 segundos.</t>
  </si>
  <si>
    <t>CASOS DE PRUEBA</t>
  </si>
  <si>
    <t>Cada caso verifica un requerimiento. Todo requisito Must debe tener al menos un caso asociado.</t>
  </si>
  <si>
    <t>Requisito verificado</t>
  </si>
  <si>
    <t>Escenario</t>
  </si>
  <si>
    <t>Datos de entrada</t>
  </si>
  <si>
    <t>Resultado esperado</t>
  </si>
  <si>
    <t>Resultado obtenido</t>
  </si>
  <si>
    <t>CP-01</t>
  </si>
  <si>
    <t>Ingreso con credenciales válidas de la cuenta institucional.</t>
  </si>
  <si>
    <t>Usuario y contraseña correctos</t>
  </si>
  <si>
    <t>El sistema muestra la pantalla principal del estudiante.</t>
  </si>
  <si>
    <t>Pendiente</t>
  </si>
  <si>
    <t>CP-02</t>
  </si>
  <si>
    <t>Tres intentos consecutivos con contraseña incorrecta.</t>
  </si>
  <si>
    <t>Contraseña errónea x3</t>
  </si>
  <si>
    <t>El acceso queda bloqueado durante 10 minutos.</t>
  </si>
  <si>
    <t>CP-03</t>
  </si>
  <si>
    <t>Consulta de disponibilidad de LAB-A para el turno 09:00-11:00.</t>
  </si>
  <si>
    <t>LAB-A, fecha de hoy, turno 2</t>
  </si>
  <si>
    <t>Se listan los puestos libres en menos de 2 segundos.</t>
  </si>
  <si>
    <t>CP-04</t>
  </si>
  <si>
    <t>Dos estudiantes reservan el último puesto simultáneamente.</t>
  </si>
  <si>
    <t>Mismo puesto, mismo turno</t>
  </si>
  <si>
    <t>Solo una reserva se confirma; la otra recibe aviso de no disponibilidad.</t>
  </si>
  <si>
    <t>CP-05</t>
  </si>
  <si>
    <t>Estudiante intenta una segunda reserva en el mismo turno.</t>
  </si>
  <si>
    <t>Reserva activa existente</t>
  </si>
  <si>
    <t>El sistema rechaza la solicitud citando la regla RN-01.</t>
  </si>
  <si>
    <t>CP-06</t>
  </si>
  <si>
    <t>Cancelación a 1 hora del inicio del turno.</t>
  </si>
  <si>
    <t>Reserva con inicio en 60 min</t>
  </si>
  <si>
    <t>La opción de cancelar está deshabilitada.</t>
  </si>
  <si>
    <t>CP-07</t>
  </si>
  <si>
    <t>Estudiante no se presenta al turno reservado.</t>
  </si>
  <si>
    <t>Sin registro de asistencia</t>
  </si>
  <si>
    <t>A los 15 minutos el estado pasa a NO_SHOW y el puesto se libera.</t>
  </si>
  <si>
    <t>CP-08</t>
  </si>
  <si>
    <t>Docente reserva LAB-B completo para un turno con reservas individuales.</t>
  </si>
  <si>
    <t>LAB-B, turno 4</t>
  </si>
  <si>
    <t>Se cancelan las reservas individuales y se notifica a los afectados.</t>
  </si>
  <si>
    <t>CP-09</t>
  </si>
  <si>
    <t>Generación del reporte mensual de ocupación.</t>
  </si>
  <si>
    <t>Mes anterior completo</t>
  </si>
  <si>
    <t>El reporte muestra reservas, asistencias y no-show por laboratorio y turno.</t>
  </si>
  <si>
    <t>CP-10</t>
  </si>
  <si>
    <t>Prueba de carga con 200 sesiones concurrentes.</t>
  </si>
  <si>
    <t>200 consultas simultáneas</t>
  </si>
  <si>
    <t>El percentil 95 del tiempo de respuesta es inferior a 2 segundos.</t>
  </si>
  <si>
    <t>CP-11</t>
  </si>
  <si>
    <t>Inspección del almacenamiento de credenciales.</t>
  </si>
  <si>
    <t>Consulta a la base de datos</t>
  </si>
  <si>
    <t>Ninguna credencial figura en texto plano.</t>
  </si>
  <si>
    <t>CP-12</t>
  </si>
  <si>
    <t>Cinco usuarios sin instrucción previa completan una reserva desde el móvil.</t>
  </si>
  <si>
    <t>5 usuarios, teléfono propio</t>
  </si>
  <si>
    <t>Los cinco completan la reserva en menos de 2 minutos.</t>
  </si>
  <si>
    <t>CP-13</t>
  </si>
  <si>
    <t>El administrador desactiva LAB-C y se consulta la disponibilidad.</t>
  </si>
  <si>
    <t>LAB-C desactivado</t>
  </si>
  <si>
    <t>LAB-C deja de aparecer en la consulta de disponibilidad.</t>
  </si>
  <si>
    <t>MATRIZ DE TRAZABILIDAD</t>
  </si>
  <si>
    <t>Vista cruzada de la cadena completa. Las columnas B a F se traen solas desde la Matriz de Requerimientos; complete solo las columnas G y H.</t>
  </si>
  <si>
    <t>ID requisito</t>
  </si>
  <si>
    <t>Casos de prueba</t>
  </si>
  <si>
    <t>Módulo / archivo de código</t>
  </si>
  <si>
    <t>Documento de diseño o ADR</t>
  </si>
  <si>
    <t>¿Trazabilidad completa?</t>
  </si>
  <si>
    <t>Ing. GINO Rodriguez</t>
  </si>
  <si>
    <t>Lic. Rosmery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</si>
</sst>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i/>
      <sz val="9"/>
      <color rgb="FF5A6472"/>
      <name val="Arial"/>
      <family val="2"/>
    </font>
    <font>
      <b/>
      <sz val="10"/>
      <color rgb="FFFFFFFF"/>
      <name val="Arial"/>
      <family val="2"/>
    </font>
    <font>
      <sz val="9"/>
      <color rgb="FF1C1C1C"/>
      <name val="Arial"/>
      <family val="2"/>
    </font>
    <font>
      <b/>
      <sz val="9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2294D"/>
        <bgColor rgb="FF1F3A66"/>
      </patternFill>
    </fill>
    <fill>
      <patternFill patternType="solid">
        <fgColor rgb="FFFFF6DC"/>
        <bgColor rgb="FFF4F6FA"/>
      </patternFill>
    </fill>
    <fill>
      <patternFill patternType="solid">
        <fgColor rgb="FFF4F6FA"/>
        <bgColor rgb="FFEEF2F8"/>
      </patternFill>
    </fill>
  </fills>
  <borders count="2">
    <border>
      <left/>
      <right/>
      <top/>
      <bottom/>
      <diagonal/>
    </border>
    <border>
      <left style="thin">
        <color rgb="FFC9D3E4"/>
      </left>
      <right style="thin">
        <color rgb="FFC9D3E4"/>
      </right>
      <top style="thin">
        <color rgb="FFC9D3E4"/>
      </top>
      <bottom style="thin">
        <color rgb="FFC9D3E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horizontal="left" vertical="center" indent="1"/>
    </xf>
  </cellXfs>
  <cellStyles count="1">
    <cellStyle name="Normal" xfId="0" builtinId="0"/>
  </cellStyles>
  <dxfs count="9">
    <dxf>
      <font>
        <b/>
        <sz val="9"/>
        <color rgb="FFC0392B"/>
        <name val="Arial"/>
        <charset val="1"/>
      </font>
      <fill>
        <patternFill>
          <bgColor rgb="FFFBDDDC"/>
        </patternFill>
      </fill>
    </dxf>
    <dxf>
      <font>
        <b/>
        <sz val="9"/>
        <color rgb="FF1E7B34"/>
        <name val="Arial"/>
        <charset val="1"/>
      </font>
      <fill>
        <patternFill>
          <bgColor rgb="FFE4F2E4"/>
        </patternFill>
      </fill>
    </dxf>
    <dxf>
      <font>
        <b/>
        <sz val="9"/>
        <color rgb="FFC0392B"/>
        <name val="Arial"/>
        <charset val="1"/>
      </font>
      <fill>
        <patternFill>
          <bgColor rgb="FFFBDDDC"/>
        </patternFill>
      </fill>
    </dxf>
    <dxf>
      <font>
        <b/>
        <sz val="9"/>
        <color rgb="FFC0392B"/>
        <name val="Arial"/>
        <charset val="1"/>
      </font>
      <fill>
        <patternFill>
          <bgColor rgb="FFFBDDDC"/>
        </patternFill>
      </fill>
    </dxf>
    <dxf>
      <font>
        <b/>
        <sz val="9"/>
        <color rgb="FF1E7B34"/>
        <name val="Arial"/>
        <charset val="1"/>
      </font>
      <fill>
        <patternFill>
          <bgColor rgb="FFE4F2E4"/>
        </patternFill>
      </fill>
    </dxf>
    <dxf>
      <fill>
        <patternFill>
          <bgColor rgb="FFE8EDF5"/>
        </patternFill>
      </fill>
    </dxf>
    <dxf>
      <fill>
        <patternFill>
          <bgColor rgb="FFD6E4F7"/>
        </patternFill>
      </fill>
    </dxf>
    <dxf>
      <font>
        <b/>
        <sz val="9"/>
        <color rgb="FFFFFFFF"/>
        <name val="Arial"/>
        <charset val="1"/>
      </font>
      <fill>
        <patternFill>
          <bgColor rgb="FF12294D"/>
        </patternFill>
      </fill>
    </dxf>
    <dxf>
      <fill>
        <patternFill>
          <bgColor rgb="FFFBDDD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7B34"/>
      <rgbColor rgb="FF000080"/>
      <rgbColor rgb="FFB98600"/>
      <rgbColor rgb="FF800080"/>
      <rgbColor rgb="FF008080"/>
      <rgbColor rgb="FFD6E4F7"/>
      <rgbColor rgb="FF808080"/>
      <rgbColor rgb="FF9999FF"/>
      <rgbColor rgb="FF993366"/>
      <rgbColor rgb="FFFFF6DC"/>
      <rgbColor rgb="FFE8EDF5"/>
      <rgbColor rgb="FF660066"/>
      <rgbColor rgb="FFFF8080"/>
      <rgbColor rgb="FF0066CC"/>
      <rgbColor rgb="FFC9D3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2F8"/>
      <rgbColor rgb="FFE4F2E4"/>
      <rgbColor rgb="FFF4F6FA"/>
      <rgbColor rgb="FF99CCFF"/>
      <rgbColor rgb="FFFF99CC"/>
      <rgbColor rgb="FFCC99FF"/>
      <rgbColor rgb="FFFBDDDC"/>
      <rgbColor rgb="FF3366FF"/>
      <rgbColor rgb="FF33CCCC"/>
      <rgbColor rgb="FF99CC00"/>
      <rgbColor rgb="FFFFC000"/>
      <rgbColor rgb="FFFF9900"/>
      <rgbColor rgb="FFFF6600"/>
      <rgbColor rgb="FF5A6472"/>
      <rgbColor rgb="FF969696"/>
      <rgbColor rgb="FF12294D"/>
      <rgbColor rgb="FF339966"/>
      <rgbColor rgb="FF003300"/>
      <rgbColor rgb="FF333300"/>
      <rgbColor rgb="FFC0392B"/>
      <rgbColor rgb="FF993366"/>
      <rgbColor rgb="FF1F3A66"/>
      <rgbColor rgb="FF1C1C1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3A66"/>
    <pageSetUpPr fitToPage="1"/>
  </sheetPr>
  <dimension ref="A1:E19"/>
  <sheetViews>
    <sheetView showGridLines="0" zoomScaleNormal="100" workbookViewId="0">
      <pane ySplit="4" topLeftCell="A5" activePane="bottomLeft" state="frozen"/>
      <selection pane="bottomLeft" activeCell="B7" sqref="B7"/>
    </sheetView>
  </sheetViews>
  <sheetFormatPr baseColWidth="10" defaultColWidth="8.7109375" defaultRowHeight="15" x14ac:dyDescent="0.25"/>
  <cols>
    <col min="1" max="1" width="8" customWidth="1"/>
    <col min="2" max="2" width="26" customWidth="1"/>
    <col min="3" max="3" width="52" customWidth="1"/>
    <col min="4" max="4" width="18" customWidth="1"/>
    <col min="5" max="5" width="26" customWidth="1"/>
  </cols>
  <sheetData>
    <row r="1" spans="1:5" ht="30" customHeight="1" x14ac:dyDescent="0.25">
      <c r="A1" s="8" t="s">
        <v>0</v>
      </c>
      <c r="B1" s="8"/>
      <c r="C1" s="8"/>
      <c r="D1" s="8"/>
      <c r="E1" s="8"/>
    </row>
    <row r="2" spans="1:5" ht="18" customHeight="1" x14ac:dyDescent="0.25">
      <c r="A2" s="9" t="s">
        <v>1</v>
      </c>
      <c r="B2" s="9"/>
      <c r="C2" s="9"/>
      <c r="D2" s="9"/>
      <c r="E2" s="9"/>
    </row>
    <row r="4" spans="1:5" ht="27.75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ht="30" customHeight="1" x14ac:dyDescent="0.25">
      <c r="A5" s="2" t="s">
        <v>7</v>
      </c>
      <c r="B5" s="3" t="s">
        <v>233</v>
      </c>
      <c r="C5" s="3" t="s">
        <v>9</v>
      </c>
      <c r="D5" s="2" t="s">
        <v>10</v>
      </c>
      <c r="E5" s="3" t="s">
        <v>11</v>
      </c>
    </row>
    <row r="6" spans="1:5" ht="30" customHeight="1" x14ac:dyDescent="0.25">
      <c r="A6" s="2" t="s">
        <v>12</v>
      </c>
      <c r="B6" s="3" t="s">
        <v>234</v>
      </c>
      <c r="C6" s="3" t="s">
        <v>14</v>
      </c>
      <c r="D6" s="2" t="s">
        <v>10</v>
      </c>
      <c r="E6" s="3" t="s">
        <v>15</v>
      </c>
    </row>
    <row r="7" spans="1:5" ht="30" customHeight="1" x14ac:dyDescent="0.25">
      <c r="A7" s="2" t="s">
        <v>16</v>
      </c>
      <c r="B7" s="3" t="s">
        <v>17</v>
      </c>
      <c r="C7" s="3" t="s">
        <v>18</v>
      </c>
      <c r="D7" s="2" t="s">
        <v>19</v>
      </c>
      <c r="E7" s="3" t="s">
        <v>20</v>
      </c>
    </row>
    <row r="8" spans="1:5" ht="30" customHeight="1" x14ac:dyDescent="0.25">
      <c r="A8" s="2" t="s">
        <v>21</v>
      </c>
      <c r="B8" s="3" t="s">
        <v>22</v>
      </c>
      <c r="C8" s="3" t="s">
        <v>23</v>
      </c>
      <c r="D8" s="2" t="s">
        <v>10</v>
      </c>
      <c r="E8" s="3" t="s">
        <v>15</v>
      </c>
    </row>
    <row r="9" spans="1:5" ht="30" customHeight="1" x14ac:dyDescent="0.25">
      <c r="A9" s="2" t="s">
        <v>24</v>
      </c>
      <c r="B9" s="3" t="s">
        <v>25</v>
      </c>
      <c r="C9" s="3" t="s">
        <v>26</v>
      </c>
      <c r="D9" s="2" t="s">
        <v>19</v>
      </c>
      <c r="E9" s="3" t="s">
        <v>27</v>
      </c>
    </row>
    <row r="10" spans="1:5" ht="25.5" customHeight="1" x14ac:dyDescent="0.25">
      <c r="A10" s="4"/>
      <c r="B10" s="4"/>
      <c r="C10" s="4"/>
      <c r="D10" s="4"/>
      <c r="E10" s="4"/>
    </row>
    <row r="11" spans="1:5" ht="25.5" customHeight="1" x14ac:dyDescent="0.25">
      <c r="A11" s="4"/>
      <c r="B11" s="4"/>
      <c r="C11" s="4"/>
      <c r="D11" s="4"/>
      <c r="E11" s="4"/>
    </row>
    <row r="12" spans="1:5" ht="25.5" customHeight="1" x14ac:dyDescent="0.25">
      <c r="A12" s="4"/>
      <c r="B12" s="4"/>
      <c r="C12" s="4"/>
      <c r="D12" s="4"/>
      <c r="E12" s="4"/>
    </row>
    <row r="13" spans="1:5" ht="25.5" customHeight="1" x14ac:dyDescent="0.25">
      <c r="A13" s="4"/>
      <c r="B13" s="4"/>
      <c r="C13" s="4"/>
      <c r="D13" s="4"/>
      <c r="E13" s="4"/>
    </row>
    <row r="14" spans="1:5" ht="25.5" customHeight="1" x14ac:dyDescent="0.25">
      <c r="A14" s="4"/>
      <c r="B14" s="4"/>
      <c r="C14" s="4"/>
      <c r="D14" s="4"/>
      <c r="E14" s="4"/>
    </row>
    <row r="15" spans="1:5" ht="25.5" customHeight="1" x14ac:dyDescent="0.25">
      <c r="A15" s="4"/>
      <c r="B15" s="4"/>
      <c r="C15" s="4"/>
      <c r="D15" s="4"/>
      <c r="E15" s="4"/>
    </row>
    <row r="16" spans="1:5" ht="25.5" customHeight="1" x14ac:dyDescent="0.25">
      <c r="A16" s="4"/>
      <c r="B16" s="4"/>
      <c r="C16" s="4"/>
      <c r="D16" s="4"/>
      <c r="E16" s="4"/>
    </row>
    <row r="17" spans="1:5" ht="25.5" customHeight="1" x14ac:dyDescent="0.25">
      <c r="A17" s="4"/>
      <c r="B17" s="4"/>
      <c r="C17" s="4"/>
      <c r="D17" s="4"/>
      <c r="E17" s="4"/>
    </row>
    <row r="18" spans="1:5" ht="25.5" customHeight="1" x14ac:dyDescent="0.25">
      <c r="A18" s="4"/>
      <c r="B18" s="4"/>
      <c r="C18" s="4"/>
      <c r="D18" s="4"/>
      <c r="E18" s="4"/>
    </row>
    <row r="19" spans="1:5" ht="25.5" customHeight="1" x14ac:dyDescent="0.25">
      <c r="A19" s="4"/>
      <c r="B19" s="4"/>
      <c r="C19" s="4"/>
      <c r="D19" s="4"/>
      <c r="E19" s="4"/>
    </row>
  </sheetData>
  <mergeCells count="2">
    <mergeCell ref="A1:E1"/>
    <mergeCell ref="A2:E2"/>
  </mergeCells>
  <pageMargins left="0.3" right="0.3" top="0.4" bottom="0.4" header="0.511811023622047" footer="0.511811023622047"/>
  <pageSetup paperSize="9"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3A66"/>
    <pageSetUpPr fitToPage="1"/>
  </sheetPr>
  <dimension ref="A1:D21"/>
  <sheetViews>
    <sheetView showGridLines="0" zoomScaleNormal="100" workbookViewId="0">
      <pane ySplit="4" topLeftCell="A5" activePane="bottomLeft" state="frozen"/>
      <selection pane="bottomLeft" activeCell="C30" sqref="C30"/>
    </sheetView>
  </sheetViews>
  <sheetFormatPr baseColWidth="10" defaultColWidth="8.7109375" defaultRowHeight="15" x14ac:dyDescent="0.25"/>
  <cols>
    <col min="1" max="1" width="8" customWidth="1"/>
    <col min="2" max="2" width="68" customWidth="1"/>
    <col min="3" max="3" width="22" customWidth="1"/>
    <col min="4" max="4" width="30" customWidth="1"/>
  </cols>
  <sheetData>
    <row r="1" spans="1:4" ht="30" customHeight="1" x14ac:dyDescent="0.25">
      <c r="A1" s="8" t="s">
        <v>28</v>
      </c>
      <c r="B1" s="8"/>
      <c r="C1" s="8"/>
      <c r="D1" s="8"/>
    </row>
    <row r="2" spans="1:4" ht="18" customHeight="1" x14ac:dyDescent="0.25">
      <c r="A2" s="9" t="s">
        <v>29</v>
      </c>
      <c r="B2" s="9"/>
      <c r="C2" s="9"/>
      <c r="D2" s="9"/>
    </row>
    <row r="4" spans="1:4" ht="27.75" customHeight="1" x14ac:dyDescent="0.25">
      <c r="A4" s="1" t="s">
        <v>2</v>
      </c>
      <c r="B4" s="1" t="s">
        <v>30</v>
      </c>
      <c r="C4" s="1" t="s">
        <v>31</v>
      </c>
      <c r="D4" s="1" t="s">
        <v>32</v>
      </c>
    </row>
    <row r="5" spans="1:4" ht="30" customHeight="1" x14ac:dyDescent="0.25">
      <c r="A5" s="2" t="s">
        <v>33</v>
      </c>
      <c r="B5" s="3" t="s">
        <v>34</v>
      </c>
      <c r="C5" s="3" t="s">
        <v>35</v>
      </c>
      <c r="D5" s="3" t="s">
        <v>36</v>
      </c>
    </row>
    <row r="6" spans="1:4" ht="30" customHeight="1" x14ac:dyDescent="0.25">
      <c r="A6" s="2" t="s">
        <v>37</v>
      </c>
      <c r="B6" s="3" t="s">
        <v>38</v>
      </c>
      <c r="C6" s="3" t="s">
        <v>35</v>
      </c>
      <c r="D6" s="3" t="s">
        <v>36</v>
      </c>
    </row>
    <row r="7" spans="1:4" ht="30" customHeight="1" x14ac:dyDescent="0.25">
      <c r="A7" s="2" t="s">
        <v>39</v>
      </c>
      <c r="B7" s="3" t="s">
        <v>40</v>
      </c>
      <c r="C7" s="3" t="s">
        <v>41</v>
      </c>
      <c r="D7" s="3" t="s">
        <v>42</v>
      </c>
    </row>
    <row r="8" spans="1:4" ht="30" customHeight="1" x14ac:dyDescent="0.25">
      <c r="A8" s="2" t="s">
        <v>43</v>
      </c>
      <c r="B8" s="3" t="s">
        <v>44</v>
      </c>
      <c r="C8" s="3" t="s">
        <v>20</v>
      </c>
      <c r="D8" s="3" t="s">
        <v>45</v>
      </c>
    </row>
    <row r="9" spans="1:4" ht="30" customHeight="1" x14ac:dyDescent="0.25">
      <c r="A9" s="2" t="s">
        <v>46</v>
      </c>
      <c r="B9" s="3" t="s">
        <v>47</v>
      </c>
      <c r="C9" s="3" t="s">
        <v>35</v>
      </c>
      <c r="D9" s="3" t="s">
        <v>48</v>
      </c>
    </row>
    <row r="10" spans="1:4" ht="30" customHeight="1" x14ac:dyDescent="0.25">
      <c r="A10" s="2" t="s">
        <v>49</v>
      </c>
      <c r="B10" s="3" t="s">
        <v>50</v>
      </c>
      <c r="C10" s="3" t="s">
        <v>51</v>
      </c>
      <c r="D10" s="3" t="s">
        <v>52</v>
      </c>
    </row>
    <row r="11" spans="1:4" ht="30" customHeight="1" x14ac:dyDescent="0.25">
      <c r="A11" s="2" t="s">
        <v>53</v>
      </c>
      <c r="B11" s="3" t="s">
        <v>54</v>
      </c>
      <c r="C11" s="3" t="s">
        <v>35</v>
      </c>
      <c r="D11" s="3" t="s">
        <v>55</v>
      </c>
    </row>
    <row r="12" spans="1:4" ht="25.5" customHeight="1" x14ac:dyDescent="0.25">
      <c r="A12" s="4"/>
      <c r="B12" s="4"/>
      <c r="C12" s="4"/>
      <c r="D12" s="4"/>
    </row>
    <row r="13" spans="1:4" ht="25.5" customHeight="1" x14ac:dyDescent="0.25">
      <c r="A13" s="4"/>
      <c r="B13" s="4"/>
      <c r="C13" s="4"/>
      <c r="D13" s="4"/>
    </row>
    <row r="14" spans="1:4" ht="25.5" customHeight="1" x14ac:dyDescent="0.25">
      <c r="A14" s="4"/>
      <c r="B14" s="4"/>
      <c r="C14" s="4"/>
      <c r="D14" s="4"/>
    </row>
    <row r="15" spans="1:4" ht="25.5" customHeight="1" x14ac:dyDescent="0.25">
      <c r="A15" s="4"/>
      <c r="B15" s="4"/>
      <c r="C15" s="4"/>
      <c r="D15" s="4"/>
    </row>
    <row r="16" spans="1:4" ht="25.5" customHeight="1" x14ac:dyDescent="0.25">
      <c r="A16" s="4"/>
      <c r="B16" s="4"/>
      <c r="C16" s="4"/>
      <c r="D16" s="4"/>
    </row>
    <row r="17" spans="1:4" ht="25.5" customHeight="1" x14ac:dyDescent="0.25">
      <c r="A17" s="4"/>
      <c r="B17" s="4"/>
      <c r="C17" s="4"/>
      <c r="D17" s="4"/>
    </row>
    <row r="18" spans="1:4" ht="25.5" customHeight="1" x14ac:dyDescent="0.25">
      <c r="A18" s="4"/>
      <c r="B18" s="4"/>
      <c r="C18" s="4"/>
      <c r="D18" s="4"/>
    </row>
    <row r="19" spans="1:4" ht="25.5" customHeight="1" x14ac:dyDescent="0.25">
      <c r="A19" s="4"/>
      <c r="B19" s="4"/>
      <c r="C19" s="4"/>
      <c r="D19" s="4"/>
    </row>
    <row r="20" spans="1:4" ht="25.5" customHeight="1" x14ac:dyDescent="0.25">
      <c r="A20" s="4"/>
      <c r="B20" s="4"/>
      <c r="C20" s="4"/>
      <c r="D20" s="4"/>
    </row>
    <row r="21" spans="1:4" ht="25.5" customHeight="1" x14ac:dyDescent="0.25">
      <c r="A21" s="4"/>
      <c r="B21" s="4"/>
      <c r="C21" s="4"/>
      <c r="D21" s="4"/>
    </row>
  </sheetData>
  <mergeCells count="2">
    <mergeCell ref="A1:D1"/>
    <mergeCell ref="A2:D2"/>
  </mergeCells>
  <pageMargins left="0.3" right="0.3" top="0.4" bottom="0.4" header="0.511811023622047" footer="0.511811023622047"/>
  <pageSetup paperSize="9"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  <pageSetUpPr fitToPage="1"/>
  </sheetPr>
  <dimension ref="A1:M60"/>
  <sheetViews>
    <sheetView showGridLines="0" tabSelected="1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6" sqref="C6"/>
    </sheetView>
  </sheetViews>
  <sheetFormatPr baseColWidth="10" defaultColWidth="8.7109375" defaultRowHeight="15" x14ac:dyDescent="0.25"/>
  <cols>
    <col min="1" max="1" width="9" customWidth="1"/>
    <col min="2" max="2" width="24" customWidth="1"/>
    <col min="3" max="3" width="62" customWidth="1"/>
    <col min="4" max="4" width="13" customWidth="1"/>
    <col min="5" max="5" width="16" customWidth="1"/>
    <col min="6" max="6" width="18" customWidth="1"/>
    <col min="7" max="7" width="17" customWidth="1"/>
    <col min="8" max="8" width="15" customWidth="1"/>
    <col min="9" max="9" width="11" customWidth="1"/>
    <col min="10" max="10" width="52" customWidth="1"/>
    <col min="11" max="11" width="17" customWidth="1"/>
    <col min="12" max="13" width="14" customWidth="1"/>
  </cols>
  <sheetData>
    <row r="1" spans="1:13" ht="30" customHeight="1" x14ac:dyDescent="0.25">
      <c r="A1" s="8" t="s">
        <v>56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ht="18" customHeight="1" x14ac:dyDescent="0.25">
      <c r="A2" s="9" t="s">
        <v>57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4" spans="1:13" ht="33.75" customHeight="1" x14ac:dyDescent="0.25">
      <c r="A4" s="5" t="s">
        <v>2</v>
      </c>
      <c r="B4" s="5" t="s">
        <v>58</v>
      </c>
      <c r="C4" s="5" t="s">
        <v>59</v>
      </c>
      <c r="D4" s="5" t="s">
        <v>60</v>
      </c>
      <c r="E4" s="5" t="s">
        <v>61</v>
      </c>
      <c r="F4" s="5" t="s">
        <v>62</v>
      </c>
      <c r="G4" s="5" t="s">
        <v>63</v>
      </c>
      <c r="H4" s="5" t="s">
        <v>64</v>
      </c>
      <c r="I4" s="5" t="s">
        <v>65</v>
      </c>
      <c r="J4" s="5" t="s">
        <v>66</v>
      </c>
      <c r="K4" s="5" t="s">
        <v>67</v>
      </c>
      <c r="L4" s="5" t="s">
        <v>68</v>
      </c>
      <c r="M4" s="5" t="s">
        <v>69</v>
      </c>
    </row>
    <row r="5" spans="1:13" ht="39.75" customHeight="1" x14ac:dyDescent="0.25">
      <c r="A5" s="2" t="s">
        <v>70</v>
      </c>
      <c r="B5" s="3" t="s">
        <v>71</v>
      </c>
      <c r="C5" s="3" t="s">
        <v>72</v>
      </c>
      <c r="D5" s="2" t="s">
        <v>73</v>
      </c>
      <c r="E5" s="3" t="s">
        <v>74</v>
      </c>
      <c r="F5" s="3" t="s">
        <v>75</v>
      </c>
      <c r="G5" s="3" t="s">
        <v>76</v>
      </c>
      <c r="H5" s="3" t="s">
        <v>77</v>
      </c>
      <c r="I5" s="2" t="s">
        <v>78</v>
      </c>
      <c r="J5" s="3" t="s">
        <v>79</v>
      </c>
      <c r="K5" s="3" t="s">
        <v>80</v>
      </c>
      <c r="L5" s="3" t="s">
        <v>74</v>
      </c>
      <c r="M5" s="3" t="s">
        <v>81</v>
      </c>
    </row>
    <row r="6" spans="1:13" ht="39.75" customHeight="1" x14ac:dyDescent="0.25">
      <c r="A6" s="2" t="s">
        <v>82</v>
      </c>
      <c r="B6" s="3" t="s">
        <v>83</v>
      </c>
      <c r="C6" s="3" t="s">
        <v>84</v>
      </c>
      <c r="D6" s="2" t="s">
        <v>73</v>
      </c>
      <c r="E6" s="3" t="s">
        <v>74</v>
      </c>
      <c r="F6" s="3" t="s">
        <v>8</v>
      </c>
      <c r="G6" s="3" t="s">
        <v>15</v>
      </c>
      <c r="H6" s="3" t="s">
        <v>7</v>
      </c>
      <c r="I6" s="2" t="s">
        <v>78</v>
      </c>
      <c r="J6" s="3" t="s">
        <v>85</v>
      </c>
      <c r="K6" s="3" t="s">
        <v>86</v>
      </c>
      <c r="L6" s="3" t="s">
        <v>70</v>
      </c>
      <c r="M6" s="3" t="s">
        <v>81</v>
      </c>
    </row>
    <row r="7" spans="1:13" ht="39.75" customHeight="1" x14ac:dyDescent="0.25">
      <c r="A7" s="2" t="s">
        <v>36</v>
      </c>
      <c r="B7" s="3" t="s">
        <v>87</v>
      </c>
      <c r="C7" s="3" t="s">
        <v>88</v>
      </c>
      <c r="D7" s="2" t="s">
        <v>73</v>
      </c>
      <c r="E7" s="3" t="s">
        <v>74</v>
      </c>
      <c r="F7" s="3" t="s">
        <v>8</v>
      </c>
      <c r="G7" s="3" t="s">
        <v>30</v>
      </c>
      <c r="H7" s="3" t="s">
        <v>89</v>
      </c>
      <c r="I7" s="2" t="s">
        <v>78</v>
      </c>
      <c r="J7" s="3" t="s">
        <v>90</v>
      </c>
      <c r="K7" s="3" t="s">
        <v>86</v>
      </c>
      <c r="L7" s="3" t="s">
        <v>82</v>
      </c>
      <c r="M7" s="3" t="s">
        <v>81</v>
      </c>
    </row>
    <row r="8" spans="1:13" ht="39.75" customHeight="1" x14ac:dyDescent="0.25">
      <c r="A8" s="2" t="s">
        <v>52</v>
      </c>
      <c r="B8" s="3" t="s">
        <v>91</v>
      </c>
      <c r="C8" s="3" t="s">
        <v>92</v>
      </c>
      <c r="D8" s="2" t="s">
        <v>73</v>
      </c>
      <c r="E8" s="3" t="s">
        <v>74</v>
      </c>
      <c r="F8" s="3" t="s">
        <v>8</v>
      </c>
      <c r="G8" s="3" t="s">
        <v>30</v>
      </c>
      <c r="H8" s="3" t="s">
        <v>49</v>
      </c>
      <c r="I8" s="2" t="s">
        <v>93</v>
      </c>
      <c r="J8" s="3" t="s">
        <v>94</v>
      </c>
      <c r="K8" s="3" t="s">
        <v>86</v>
      </c>
      <c r="L8" s="3" t="s">
        <v>36</v>
      </c>
      <c r="M8" s="3" t="s">
        <v>81</v>
      </c>
    </row>
    <row r="9" spans="1:13" ht="39.75" customHeight="1" x14ac:dyDescent="0.25">
      <c r="A9" s="2" t="s">
        <v>45</v>
      </c>
      <c r="B9" s="3" t="s">
        <v>95</v>
      </c>
      <c r="C9" s="3" t="s">
        <v>96</v>
      </c>
      <c r="D9" s="2" t="s">
        <v>73</v>
      </c>
      <c r="E9" s="3" t="s">
        <v>74</v>
      </c>
      <c r="F9" s="3" t="s">
        <v>97</v>
      </c>
      <c r="G9" s="3" t="s">
        <v>30</v>
      </c>
      <c r="H9" s="3" t="s">
        <v>43</v>
      </c>
      <c r="I9" s="2" t="s">
        <v>78</v>
      </c>
      <c r="J9" s="3" t="s">
        <v>98</v>
      </c>
      <c r="K9" s="3" t="s">
        <v>99</v>
      </c>
      <c r="L9" s="3" t="s">
        <v>36</v>
      </c>
      <c r="M9" s="3" t="s">
        <v>81</v>
      </c>
    </row>
    <row r="10" spans="1:13" ht="39.75" customHeight="1" x14ac:dyDescent="0.25">
      <c r="A10" s="2" t="s">
        <v>100</v>
      </c>
      <c r="B10" s="3" t="s">
        <v>101</v>
      </c>
      <c r="C10" s="3" t="s">
        <v>102</v>
      </c>
      <c r="D10" s="2" t="s">
        <v>73</v>
      </c>
      <c r="E10" s="3" t="s">
        <v>74</v>
      </c>
      <c r="F10" s="3" t="s">
        <v>13</v>
      </c>
      <c r="G10" s="3" t="s">
        <v>30</v>
      </c>
      <c r="H10" s="3" t="s">
        <v>39</v>
      </c>
      <c r="I10" s="2" t="s">
        <v>78</v>
      </c>
      <c r="J10" s="3" t="s">
        <v>103</v>
      </c>
      <c r="K10" s="3" t="s">
        <v>86</v>
      </c>
      <c r="L10" s="3" t="s">
        <v>70</v>
      </c>
      <c r="M10" s="3" t="s">
        <v>81</v>
      </c>
    </row>
    <row r="11" spans="1:13" ht="39.75" customHeight="1" x14ac:dyDescent="0.25">
      <c r="A11" s="2" t="s">
        <v>48</v>
      </c>
      <c r="B11" s="3" t="s">
        <v>104</v>
      </c>
      <c r="C11" s="3" t="s">
        <v>105</v>
      </c>
      <c r="D11" s="2" t="s">
        <v>73</v>
      </c>
      <c r="E11" s="3" t="s">
        <v>74</v>
      </c>
      <c r="F11" s="3" t="s">
        <v>8</v>
      </c>
      <c r="G11" s="3" t="s">
        <v>30</v>
      </c>
      <c r="H11" s="3" t="s">
        <v>46</v>
      </c>
      <c r="I11" s="2" t="s">
        <v>93</v>
      </c>
      <c r="J11" s="3" t="s">
        <v>106</v>
      </c>
      <c r="K11" s="3" t="s">
        <v>86</v>
      </c>
      <c r="L11" s="3" t="s">
        <v>45</v>
      </c>
      <c r="M11" s="3" t="s">
        <v>107</v>
      </c>
    </row>
    <row r="12" spans="1:13" ht="39.75" customHeight="1" x14ac:dyDescent="0.25">
      <c r="A12" s="2" t="s">
        <v>108</v>
      </c>
      <c r="B12" s="3" t="s">
        <v>109</v>
      </c>
      <c r="C12" s="3" t="s">
        <v>110</v>
      </c>
      <c r="D12" s="2" t="s">
        <v>73</v>
      </c>
      <c r="E12" s="3" t="s">
        <v>74</v>
      </c>
      <c r="F12" s="3" t="s">
        <v>22</v>
      </c>
      <c r="G12" s="3" t="s">
        <v>15</v>
      </c>
      <c r="H12" s="3" t="s">
        <v>21</v>
      </c>
      <c r="I12" s="2" t="s">
        <v>78</v>
      </c>
      <c r="J12" s="3" t="s">
        <v>111</v>
      </c>
      <c r="K12" s="3" t="s">
        <v>112</v>
      </c>
      <c r="L12" s="3" t="s">
        <v>45</v>
      </c>
      <c r="M12" s="3" t="s">
        <v>81</v>
      </c>
    </row>
    <row r="13" spans="1:13" ht="39.75" customHeight="1" x14ac:dyDescent="0.25">
      <c r="A13" s="2" t="s">
        <v>113</v>
      </c>
      <c r="B13" s="3" t="s">
        <v>114</v>
      </c>
      <c r="C13" s="3" t="s">
        <v>115</v>
      </c>
      <c r="D13" s="2" t="s">
        <v>73</v>
      </c>
      <c r="E13" s="3" t="s">
        <v>74</v>
      </c>
      <c r="F13" s="3" t="s">
        <v>8</v>
      </c>
      <c r="G13" s="3" t="s">
        <v>30</v>
      </c>
      <c r="H13" s="3" t="s">
        <v>39</v>
      </c>
      <c r="I13" s="2" t="s">
        <v>93</v>
      </c>
      <c r="J13" s="3" t="s">
        <v>116</v>
      </c>
      <c r="K13" s="3" t="s">
        <v>117</v>
      </c>
      <c r="L13" s="3" t="s">
        <v>100</v>
      </c>
      <c r="M13" s="3" t="s">
        <v>107</v>
      </c>
    </row>
    <row r="14" spans="1:13" ht="39.75" customHeight="1" x14ac:dyDescent="0.25">
      <c r="A14" s="2" t="s">
        <v>118</v>
      </c>
      <c r="B14" s="3" t="s">
        <v>119</v>
      </c>
      <c r="C14" s="3" t="s">
        <v>120</v>
      </c>
      <c r="D14" s="2" t="s">
        <v>73</v>
      </c>
      <c r="E14" s="3" t="s">
        <v>74</v>
      </c>
      <c r="F14" s="3" t="s">
        <v>121</v>
      </c>
      <c r="G14" s="3" t="s">
        <v>30</v>
      </c>
      <c r="H14" s="3" t="s">
        <v>53</v>
      </c>
      <c r="I14" s="2" t="s">
        <v>78</v>
      </c>
      <c r="J14" s="3" t="s">
        <v>122</v>
      </c>
      <c r="K14" s="3" t="s">
        <v>123</v>
      </c>
      <c r="L14" s="3" t="s">
        <v>70</v>
      </c>
      <c r="M14" s="3" t="s">
        <v>81</v>
      </c>
    </row>
    <row r="15" spans="1:13" ht="39.75" customHeight="1" x14ac:dyDescent="0.25">
      <c r="A15" s="2" t="s">
        <v>124</v>
      </c>
      <c r="B15" s="3" t="s">
        <v>125</v>
      </c>
      <c r="C15" s="3" t="s">
        <v>126</v>
      </c>
      <c r="D15" s="2" t="s">
        <v>73</v>
      </c>
      <c r="E15" s="3" t="s">
        <v>74</v>
      </c>
      <c r="F15" s="3" t="s">
        <v>22</v>
      </c>
      <c r="G15" s="3" t="s">
        <v>127</v>
      </c>
      <c r="H15" s="3" t="s">
        <v>128</v>
      </c>
      <c r="I15" s="2" t="s">
        <v>93</v>
      </c>
      <c r="J15" s="3" t="s">
        <v>129</v>
      </c>
      <c r="K15" s="3" t="s">
        <v>112</v>
      </c>
      <c r="L15" s="3" t="s">
        <v>45</v>
      </c>
      <c r="M15" s="3" t="s">
        <v>107</v>
      </c>
    </row>
    <row r="16" spans="1:13" ht="39.75" customHeight="1" x14ac:dyDescent="0.25">
      <c r="A16" s="2" t="s">
        <v>130</v>
      </c>
      <c r="B16" s="3" t="s">
        <v>131</v>
      </c>
      <c r="C16" s="3" t="s">
        <v>132</v>
      </c>
      <c r="D16" s="2" t="s">
        <v>73</v>
      </c>
      <c r="E16" s="3" t="s">
        <v>74</v>
      </c>
      <c r="F16" s="3" t="s">
        <v>133</v>
      </c>
      <c r="G16" s="3" t="s">
        <v>134</v>
      </c>
      <c r="H16" s="3" t="s">
        <v>16</v>
      </c>
      <c r="I16" s="2" t="s">
        <v>135</v>
      </c>
      <c r="J16" s="3" t="s">
        <v>136</v>
      </c>
      <c r="K16" s="3" t="s">
        <v>99</v>
      </c>
      <c r="L16" s="3" t="s">
        <v>45</v>
      </c>
      <c r="M16" s="3" t="s">
        <v>107</v>
      </c>
    </row>
    <row r="17" spans="1:13" ht="39.75" customHeight="1" x14ac:dyDescent="0.25">
      <c r="A17" s="2" t="s">
        <v>137</v>
      </c>
      <c r="B17" s="3" t="s">
        <v>138</v>
      </c>
      <c r="C17" s="3" t="s">
        <v>139</v>
      </c>
      <c r="D17" s="2" t="s">
        <v>140</v>
      </c>
      <c r="E17" s="3" t="s">
        <v>141</v>
      </c>
      <c r="F17" s="3" t="s">
        <v>142</v>
      </c>
      <c r="G17" s="3" t="s">
        <v>76</v>
      </c>
      <c r="H17" s="3" t="s">
        <v>143</v>
      </c>
      <c r="I17" s="2" t="s">
        <v>78</v>
      </c>
      <c r="J17" s="3" t="s">
        <v>144</v>
      </c>
      <c r="K17" s="3" t="s">
        <v>145</v>
      </c>
      <c r="L17" s="3" t="s">
        <v>82</v>
      </c>
      <c r="M17" s="3" t="s">
        <v>81</v>
      </c>
    </row>
    <row r="18" spans="1:13" ht="39.75" customHeight="1" x14ac:dyDescent="0.25">
      <c r="A18" s="2" t="s">
        <v>146</v>
      </c>
      <c r="B18" s="3" t="s">
        <v>147</v>
      </c>
      <c r="C18" s="3" t="s">
        <v>148</v>
      </c>
      <c r="D18" s="2" t="s">
        <v>140</v>
      </c>
      <c r="E18" s="3" t="s">
        <v>149</v>
      </c>
      <c r="F18" s="3" t="s">
        <v>121</v>
      </c>
      <c r="G18" s="3" t="s">
        <v>30</v>
      </c>
      <c r="H18" s="3" t="s">
        <v>53</v>
      </c>
      <c r="I18" s="2" t="s">
        <v>78</v>
      </c>
      <c r="J18" s="3" t="s">
        <v>150</v>
      </c>
      <c r="K18" s="3" t="s">
        <v>80</v>
      </c>
      <c r="L18" s="3" t="s">
        <v>70</v>
      </c>
      <c r="M18" s="3" t="s">
        <v>81</v>
      </c>
    </row>
    <row r="19" spans="1:13" ht="39.75" customHeight="1" x14ac:dyDescent="0.25">
      <c r="A19" s="2" t="s">
        <v>151</v>
      </c>
      <c r="B19" s="3" t="s">
        <v>152</v>
      </c>
      <c r="C19" s="3" t="s">
        <v>153</v>
      </c>
      <c r="D19" s="2" t="s">
        <v>140</v>
      </c>
      <c r="E19" s="3" t="s">
        <v>154</v>
      </c>
      <c r="F19" s="3" t="s">
        <v>8</v>
      </c>
      <c r="G19" s="3" t="s">
        <v>15</v>
      </c>
      <c r="H19" s="3" t="s">
        <v>7</v>
      </c>
      <c r="I19" s="2" t="s">
        <v>78</v>
      </c>
      <c r="J19" s="3" t="s">
        <v>155</v>
      </c>
      <c r="K19" s="3" t="s">
        <v>145</v>
      </c>
      <c r="L19" s="3" t="s">
        <v>36</v>
      </c>
      <c r="M19" s="3" t="s">
        <v>81</v>
      </c>
    </row>
    <row r="20" spans="1:13" ht="39.75" customHeight="1" x14ac:dyDescent="0.25">
      <c r="A20" s="2" t="s">
        <v>156</v>
      </c>
      <c r="B20" s="3" t="s">
        <v>157</v>
      </c>
      <c r="C20" s="3" t="s">
        <v>158</v>
      </c>
      <c r="D20" s="2" t="s">
        <v>140</v>
      </c>
      <c r="E20" s="3" t="s">
        <v>159</v>
      </c>
      <c r="F20" s="3" t="s">
        <v>142</v>
      </c>
      <c r="G20" s="3" t="s">
        <v>15</v>
      </c>
      <c r="H20" s="3" t="s">
        <v>21</v>
      </c>
      <c r="I20" s="2" t="s">
        <v>93</v>
      </c>
      <c r="J20" s="3" t="s">
        <v>160</v>
      </c>
      <c r="K20" s="3" t="s">
        <v>145</v>
      </c>
      <c r="L20" s="3" t="s">
        <v>74</v>
      </c>
      <c r="M20" s="3" t="s">
        <v>107</v>
      </c>
    </row>
    <row r="21" spans="1:13" ht="39.75" customHeight="1" x14ac:dyDescent="0.25">
      <c r="A21" s="2" t="s">
        <v>161</v>
      </c>
      <c r="B21" s="3" t="s">
        <v>162</v>
      </c>
      <c r="C21" s="3" t="s">
        <v>163</v>
      </c>
      <c r="D21" s="2" t="s">
        <v>140</v>
      </c>
      <c r="E21" s="3" t="s">
        <v>164</v>
      </c>
      <c r="F21" s="3" t="s">
        <v>22</v>
      </c>
      <c r="G21" s="3" t="s">
        <v>127</v>
      </c>
      <c r="H21" s="3" t="s">
        <v>128</v>
      </c>
      <c r="I21" s="2" t="s">
        <v>93</v>
      </c>
      <c r="J21" s="3" t="s">
        <v>165</v>
      </c>
      <c r="K21" s="3" t="s">
        <v>112</v>
      </c>
      <c r="L21" s="3" t="s">
        <v>124</v>
      </c>
      <c r="M21" s="3" t="s">
        <v>107</v>
      </c>
    </row>
    <row r="22" spans="1:13" ht="30" customHeight="1" x14ac:dyDescent="0.25">
      <c r="A22" s="2"/>
      <c r="B22" s="3"/>
      <c r="C22" s="3"/>
      <c r="D22" s="2"/>
      <c r="E22" s="3"/>
      <c r="F22" s="3"/>
      <c r="G22" s="3"/>
      <c r="H22" s="3"/>
      <c r="I22" s="2"/>
      <c r="J22" s="3"/>
      <c r="K22" s="3"/>
      <c r="L22" s="3"/>
      <c r="M22" s="3"/>
    </row>
    <row r="23" spans="1:13" ht="30" customHeight="1" x14ac:dyDescent="0.25">
      <c r="A23" s="2"/>
      <c r="B23" s="3"/>
      <c r="C23" s="3"/>
      <c r="D23" s="2"/>
      <c r="E23" s="3"/>
      <c r="F23" s="3"/>
      <c r="G23" s="3"/>
      <c r="H23" s="3"/>
      <c r="I23" s="2"/>
      <c r="J23" s="3"/>
      <c r="K23" s="3"/>
      <c r="L23" s="3"/>
      <c r="M23" s="3"/>
    </row>
    <row r="24" spans="1:13" ht="30" customHeight="1" x14ac:dyDescent="0.25">
      <c r="A24" s="2"/>
      <c r="B24" s="3"/>
      <c r="C24" s="3"/>
      <c r="D24" s="2"/>
      <c r="E24" s="3"/>
      <c r="F24" s="3"/>
      <c r="G24" s="3"/>
      <c r="H24" s="3"/>
      <c r="I24" s="2"/>
      <c r="J24" s="3"/>
      <c r="K24" s="3"/>
      <c r="L24" s="3"/>
      <c r="M24" s="3"/>
    </row>
    <row r="25" spans="1:13" ht="30" customHeight="1" x14ac:dyDescent="0.25">
      <c r="A25" s="2"/>
      <c r="B25" s="3"/>
      <c r="C25" s="3"/>
      <c r="D25" s="2"/>
      <c r="E25" s="3"/>
      <c r="F25" s="3"/>
      <c r="G25" s="3"/>
      <c r="H25" s="3"/>
      <c r="I25" s="2"/>
      <c r="J25" s="3"/>
      <c r="K25" s="3"/>
      <c r="L25" s="3"/>
      <c r="M25" s="3"/>
    </row>
    <row r="26" spans="1:13" ht="30" customHeight="1" x14ac:dyDescent="0.25">
      <c r="A26" s="2"/>
      <c r="B26" s="3"/>
      <c r="C26" s="3"/>
      <c r="D26" s="2"/>
      <c r="E26" s="3"/>
      <c r="F26" s="3"/>
      <c r="G26" s="3"/>
      <c r="H26" s="3"/>
      <c r="I26" s="2"/>
      <c r="J26" s="3"/>
      <c r="K26" s="3"/>
      <c r="L26" s="3"/>
      <c r="M26" s="3"/>
    </row>
    <row r="27" spans="1:13" ht="30" customHeight="1" x14ac:dyDescent="0.25">
      <c r="A27" s="2"/>
      <c r="B27" s="3"/>
      <c r="C27" s="3"/>
      <c r="D27" s="2"/>
      <c r="E27" s="3"/>
      <c r="F27" s="3"/>
      <c r="G27" s="3"/>
      <c r="H27" s="3"/>
      <c r="I27" s="2"/>
      <c r="J27" s="3"/>
      <c r="K27" s="3"/>
      <c r="L27" s="3"/>
      <c r="M27" s="3"/>
    </row>
    <row r="28" spans="1:13" ht="30" customHeight="1" x14ac:dyDescent="0.25">
      <c r="A28" s="2"/>
      <c r="B28" s="3"/>
      <c r="C28" s="3"/>
      <c r="D28" s="2"/>
      <c r="E28" s="3"/>
      <c r="F28" s="3"/>
      <c r="G28" s="3"/>
      <c r="H28" s="3"/>
      <c r="I28" s="2"/>
      <c r="J28" s="3"/>
      <c r="K28" s="3"/>
      <c r="L28" s="3"/>
      <c r="M28" s="3"/>
    </row>
    <row r="29" spans="1:13" ht="30" customHeight="1" x14ac:dyDescent="0.25">
      <c r="A29" s="2"/>
      <c r="B29" s="3"/>
      <c r="C29" s="3"/>
      <c r="D29" s="2"/>
      <c r="E29" s="3"/>
      <c r="F29" s="3"/>
      <c r="G29" s="3"/>
      <c r="H29" s="3"/>
      <c r="I29" s="2"/>
      <c r="J29" s="3"/>
      <c r="K29" s="3"/>
      <c r="L29" s="3"/>
      <c r="M29" s="3"/>
    </row>
    <row r="30" spans="1:13" ht="30" customHeight="1" x14ac:dyDescent="0.25">
      <c r="A30" s="2"/>
      <c r="B30" s="3"/>
      <c r="C30" s="3"/>
      <c r="D30" s="2"/>
      <c r="E30" s="3"/>
      <c r="F30" s="3"/>
      <c r="G30" s="3"/>
      <c r="H30" s="3"/>
      <c r="I30" s="2"/>
      <c r="J30" s="3"/>
      <c r="K30" s="3"/>
      <c r="L30" s="3"/>
      <c r="M30" s="3"/>
    </row>
    <row r="31" spans="1:13" ht="30" customHeight="1" x14ac:dyDescent="0.25">
      <c r="A31" s="2"/>
      <c r="B31" s="3"/>
      <c r="C31" s="3"/>
      <c r="D31" s="2"/>
      <c r="E31" s="3"/>
      <c r="F31" s="3"/>
      <c r="G31" s="3"/>
      <c r="H31" s="3"/>
      <c r="I31" s="2"/>
      <c r="J31" s="3"/>
      <c r="K31" s="3"/>
      <c r="L31" s="3"/>
      <c r="M31" s="3"/>
    </row>
    <row r="32" spans="1:13" ht="30" customHeight="1" x14ac:dyDescent="0.25">
      <c r="A32" s="2"/>
      <c r="B32" s="3"/>
      <c r="C32" s="3"/>
      <c r="D32" s="2"/>
      <c r="E32" s="3"/>
      <c r="F32" s="3"/>
      <c r="G32" s="3"/>
      <c r="H32" s="3"/>
      <c r="I32" s="2"/>
      <c r="J32" s="3"/>
      <c r="K32" s="3"/>
      <c r="L32" s="3"/>
      <c r="M32" s="3"/>
    </row>
    <row r="33" spans="1:13" ht="30" customHeight="1" x14ac:dyDescent="0.25">
      <c r="A33" s="2"/>
      <c r="B33" s="3"/>
      <c r="C33" s="3"/>
      <c r="D33" s="2"/>
      <c r="E33" s="3"/>
      <c r="F33" s="3"/>
      <c r="G33" s="3"/>
      <c r="H33" s="3"/>
      <c r="I33" s="2"/>
      <c r="J33" s="3"/>
      <c r="K33" s="3"/>
      <c r="L33" s="3"/>
      <c r="M33" s="3"/>
    </row>
    <row r="34" spans="1:13" ht="30" customHeight="1" x14ac:dyDescent="0.25">
      <c r="A34" s="2"/>
      <c r="B34" s="3"/>
      <c r="C34" s="3"/>
      <c r="D34" s="2"/>
      <c r="E34" s="3"/>
      <c r="F34" s="3"/>
      <c r="G34" s="3"/>
      <c r="H34" s="3"/>
      <c r="I34" s="2"/>
      <c r="J34" s="3"/>
      <c r="K34" s="3"/>
      <c r="L34" s="3"/>
      <c r="M34" s="3"/>
    </row>
    <row r="35" spans="1:13" ht="30" customHeight="1" x14ac:dyDescent="0.25">
      <c r="A35" s="2"/>
      <c r="B35" s="3"/>
      <c r="C35" s="3"/>
      <c r="D35" s="2"/>
      <c r="E35" s="3"/>
      <c r="F35" s="3"/>
      <c r="G35" s="3"/>
      <c r="H35" s="3"/>
      <c r="I35" s="2"/>
      <c r="J35" s="3"/>
      <c r="K35" s="3"/>
      <c r="L35" s="3"/>
      <c r="M35" s="3"/>
    </row>
    <row r="36" spans="1:13" ht="30" customHeight="1" x14ac:dyDescent="0.25">
      <c r="A36" s="2"/>
      <c r="B36" s="3"/>
      <c r="C36" s="3"/>
      <c r="D36" s="2"/>
      <c r="E36" s="3"/>
      <c r="F36" s="3"/>
      <c r="G36" s="3"/>
      <c r="H36" s="3"/>
      <c r="I36" s="2"/>
      <c r="J36" s="3"/>
      <c r="K36" s="3"/>
      <c r="L36" s="3"/>
      <c r="M36" s="3"/>
    </row>
    <row r="37" spans="1:13" ht="30" customHeight="1" x14ac:dyDescent="0.25">
      <c r="A37" s="2"/>
      <c r="B37" s="3"/>
      <c r="C37" s="3"/>
      <c r="D37" s="2"/>
      <c r="E37" s="3"/>
      <c r="F37" s="3"/>
      <c r="G37" s="3"/>
      <c r="H37" s="3"/>
      <c r="I37" s="2"/>
      <c r="J37" s="3"/>
      <c r="K37" s="3"/>
      <c r="L37" s="3"/>
      <c r="M37" s="3"/>
    </row>
    <row r="38" spans="1:13" ht="30" customHeight="1" x14ac:dyDescent="0.25">
      <c r="A38" s="2"/>
      <c r="B38" s="3"/>
      <c r="C38" s="3"/>
      <c r="D38" s="2"/>
      <c r="E38" s="3"/>
      <c r="F38" s="3"/>
      <c r="G38" s="3"/>
      <c r="H38" s="3"/>
      <c r="I38" s="2"/>
      <c r="J38" s="3"/>
      <c r="K38" s="3"/>
      <c r="L38" s="3"/>
      <c r="M38" s="3"/>
    </row>
    <row r="39" spans="1:13" ht="30" customHeight="1" x14ac:dyDescent="0.25">
      <c r="A39" s="2"/>
      <c r="B39" s="3"/>
      <c r="C39" s="3"/>
      <c r="D39" s="2"/>
      <c r="E39" s="3"/>
      <c r="F39" s="3"/>
      <c r="G39" s="3"/>
      <c r="H39" s="3"/>
      <c r="I39" s="2"/>
      <c r="J39" s="3"/>
      <c r="K39" s="3"/>
      <c r="L39" s="3"/>
      <c r="M39" s="3"/>
    </row>
    <row r="40" spans="1:13" ht="30" customHeight="1" x14ac:dyDescent="0.25">
      <c r="A40" s="2"/>
      <c r="B40" s="3"/>
      <c r="C40" s="3"/>
      <c r="D40" s="2"/>
      <c r="E40" s="3"/>
      <c r="F40" s="3"/>
      <c r="G40" s="3"/>
      <c r="H40" s="3"/>
      <c r="I40" s="2"/>
      <c r="J40" s="3"/>
      <c r="K40" s="3"/>
      <c r="L40" s="3"/>
      <c r="M40" s="3"/>
    </row>
    <row r="41" spans="1:13" ht="30" customHeight="1" x14ac:dyDescent="0.25">
      <c r="A41" s="2"/>
      <c r="B41" s="3"/>
      <c r="C41" s="3"/>
      <c r="D41" s="2"/>
      <c r="E41" s="3"/>
      <c r="F41" s="3"/>
      <c r="G41" s="3"/>
      <c r="H41" s="3"/>
      <c r="I41" s="2"/>
      <c r="J41" s="3"/>
      <c r="K41" s="3"/>
      <c r="L41" s="3"/>
      <c r="M41" s="3"/>
    </row>
    <row r="42" spans="1:13" ht="30" customHeight="1" x14ac:dyDescent="0.25">
      <c r="A42" s="2"/>
      <c r="B42" s="3"/>
      <c r="C42" s="3"/>
      <c r="D42" s="2"/>
      <c r="E42" s="3"/>
      <c r="F42" s="3"/>
      <c r="G42" s="3"/>
      <c r="H42" s="3"/>
      <c r="I42" s="2"/>
      <c r="J42" s="3"/>
      <c r="K42" s="3"/>
      <c r="L42" s="3"/>
      <c r="M42" s="3"/>
    </row>
    <row r="43" spans="1:13" ht="30" customHeight="1" x14ac:dyDescent="0.25">
      <c r="A43" s="2"/>
      <c r="B43" s="3"/>
      <c r="C43" s="3"/>
      <c r="D43" s="2"/>
      <c r="E43" s="3"/>
      <c r="F43" s="3"/>
      <c r="G43" s="3"/>
      <c r="H43" s="3"/>
      <c r="I43" s="2"/>
      <c r="J43" s="3"/>
      <c r="K43" s="3"/>
      <c r="L43" s="3"/>
      <c r="M43" s="3"/>
    </row>
    <row r="44" spans="1:13" ht="30" customHeight="1" x14ac:dyDescent="0.25">
      <c r="A44" s="2"/>
      <c r="B44" s="3"/>
      <c r="C44" s="3"/>
      <c r="D44" s="2"/>
      <c r="E44" s="3"/>
      <c r="F44" s="3"/>
      <c r="G44" s="3"/>
      <c r="H44" s="3"/>
      <c r="I44" s="2"/>
      <c r="J44" s="3"/>
      <c r="K44" s="3"/>
      <c r="L44" s="3"/>
      <c r="M44" s="3"/>
    </row>
    <row r="45" spans="1:13" ht="30" customHeight="1" x14ac:dyDescent="0.25">
      <c r="A45" s="2"/>
      <c r="B45" s="3"/>
      <c r="C45" s="3"/>
      <c r="D45" s="2"/>
      <c r="E45" s="3"/>
      <c r="F45" s="3"/>
      <c r="G45" s="3"/>
      <c r="H45" s="3"/>
      <c r="I45" s="2"/>
      <c r="J45" s="3"/>
      <c r="K45" s="3"/>
      <c r="L45" s="3"/>
      <c r="M45" s="3"/>
    </row>
    <row r="46" spans="1:13" ht="30" customHeight="1" x14ac:dyDescent="0.25">
      <c r="A46" s="2"/>
      <c r="B46" s="3"/>
      <c r="C46" s="3"/>
      <c r="D46" s="2"/>
      <c r="E46" s="3"/>
      <c r="F46" s="3"/>
      <c r="G46" s="3"/>
      <c r="H46" s="3"/>
      <c r="I46" s="2"/>
      <c r="J46" s="3"/>
      <c r="K46" s="3"/>
      <c r="L46" s="3"/>
      <c r="M46" s="3"/>
    </row>
    <row r="47" spans="1:13" ht="30" customHeight="1" x14ac:dyDescent="0.25">
      <c r="A47" s="2"/>
      <c r="B47" s="3"/>
      <c r="C47" s="3"/>
      <c r="D47" s="2"/>
      <c r="E47" s="3"/>
      <c r="F47" s="3"/>
      <c r="G47" s="3"/>
      <c r="H47" s="3"/>
      <c r="I47" s="2"/>
      <c r="J47" s="3"/>
      <c r="K47" s="3"/>
      <c r="L47" s="3"/>
      <c r="M47" s="3"/>
    </row>
    <row r="48" spans="1:13" ht="30" customHeight="1" x14ac:dyDescent="0.25">
      <c r="A48" s="2"/>
      <c r="B48" s="3"/>
      <c r="C48" s="3"/>
      <c r="D48" s="2"/>
      <c r="E48" s="3"/>
      <c r="F48" s="3"/>
      <c r="G48" s="3"/>
      <c r="H48" s="3"/>
      <c r="I48" s="2"/>
      <c r="J48" s="3"/>
      <c r="K48" s="3"/>
      <c r="L48" s="3"/>
      <c r="M48" s="3"/>
    </row>
    <row r="49" spans="1:13" ht="30" customHeight="1" x14ac:dyDescent="0.25">
      <c r="A49" s="2"/>
      <c r="B49" s="3"/>
      <c r="C49" s="3"/>
      <c r="D49" s="2"/>
      <c r="E49" s="3"/>
      <c r="F49" s="3"/>
      <c r="G49" s="3"/>
      <c r="H49" s="3"/>
      <c r="I49" s="2"/>
      <c r="J49" s="3"/>
      <c r="K49" s="3"/>
      <c r="L49" s="3"/>
      <c r="M49" s="3"/>
    </row>
    <row r="50" spans="1:13" ht="30" customHeight="1" x14ac:dyDescent="0.25">
      <c r="A50" s="2"/>
      <c r="B50" s="3"/>
      <c r="C50" s="3"/>
      <c r="D50" s="2"/>
      <c r="E50" s="3"/>
      <c r="F50" s="3"/>
      <c r="G50" s="3"/>
      <c r="H50" s="3"/>
      <c r="I50" s="2"/>
      <c r="J50" s="3"/>
      <c r="K50" s="3"/>
      <c r="L50" s="3"/>
      <c r="M50" s="3"/>
    </row>
    <row r="51" spans="1:13" ht="30" customHeight="1" x14ac:dyDescent="0.25">
      <c r="A51" s="2"/>
      <c r="B51" s="3"/>
      <c r="C51" s="3"/>
      <c r="D51" s="2"/>
      <c r="E51" s="3"/>
      <c r="F51" s="3"/>
      <c r="G51" s="3"/>
      <c r="H51" s="3"/>
      <c r="I51" s="2"/>
      <c r="J51" s="3"/>
      <c r="K51" s="3"/>
      <c r="L51" s="3"/>
      <c r="M51" s="3"/>
    </row>
    <row r="52" spans="1:13" ht="30" customHeight="1" x14ac:dyDescent="0.25">
      <c r="A52" s="2"/>
      <c r="B52" s="3"/>
      <c r="C52" s="3"/>
      <c r="D52" s="2"/>
      <c r="E52" s="3"/>
      <c r="F52" s="3"/>
      <c r="G52" s="3"/>
      <c r="H52" s="3"/>
      <c r="I52" s="2"/>
      <c r="J52" s="3"/>
      <c r="K52" s="3"/>
      <c r="L52" s="3"/>
      <c r="M52" s="3"/>
    </row>
    <row r="53" spans="1:13" ht="30" customHeight="1" x14ac:dyDescent="0.25">
      <c r="A53" s="2"/>
      <c r="B53" s="3"/>
      <c r="C53" s="3"/>
      <c r="D53" s="2"/>
      <c r="E53" s="3"/>
      <c r="F53" s="3"/>
      <c r="G53" s="3"/>
      <c r="H53" s="3"/>
      <c r="I53" s="2"/>
      <c r="J53" s="3"/>
      <c r="K53" s="3"/>
      <c r="L53" s="3"/>
      <c r="M53" s="3"/>
    </row>
    <row r="54" spans="1:13" ht="30" customHeight="1" x14ac:dyDescent="0.25">
      <c r="A54" s="2"/>
      <c r="B54" s="3"/>
      <c r="C54" s="3"/>
      <c r="D54" s="2"/>
      <c r="E54" s="3"/>
      <c r="F54" s="3"/>
      <c r="G54" s="3"/>
      <c r="H54" s="3"/>
      <c r="I54" s="2"/>
      <c r="J54" s="3"/>
      <c r="K54" s="3"/>
      <c r="L54" s="3"/>
      <c r="M54" s="3"/>
    </row>
    <row r="55" spans="1:13" ht="30" customHeight="1" x14ac:dyDescent="0.25">
      <c r="A55" s="2"/>
      <c r="B55" s="3"/>
      <c r="C55" s="3"/>
      <c r="D55" s="2"/>
      <c r="E55" s="3"/>
      <c r="F55" s="3"/>
      <c r="G55" s="3"/>
      <c r="H55" s="3"/>
      <c r="I55" s="2"/>
      <c r="J55" s="3"/>
      <c r="K55" s="3"/>
      <c r="L55" s="3"/>
      <c r="M55" s="3"/>
    </row>
    <row r="56" spans="1:13" ht="30" customHeight="1" x14ac:dyDescent="0.25">
      <c r="A56" s="2"/>
      <c r="B56" s="3"/>
      <c r="C56" s="3"/>
      <c r="D56" s="2"/>
      <c r="E56" s="3"/>
      <c r="F56" s="3"/>
      <c r="G56" s="3"/>
      <c r="H56" s="3"/>
      <c r="I56" s="2"/>
      <c r="J56" s="3"/>
      <c r="K56" s="3"/>
      <c r="L56" s="3"/>
      <c r="M56" s="3"/>
    </row>
    <row r="57" spans="1:13" ht="30" customHeight="1" x14ac:dyDescent="0.25">
      <c r="A57" s="2"/>
      <c r="B57" s="3"/>
      <c r="C57" s="3"/>
      <c r="D57" s="2"/>
      <c r="E57" s="3"/>
      <c r="F57" s="3"/>
      <c r="G57" s="3"/>
      <c r="H57" s="3"/>
      <c r="I57" s="2"/>
      <c r="J57" s="3"/>
      <c r="K57" s="3"/>
      <c r="L57" s="3"/>
      <c r="M57" s="3"/>
    </row>
    <row r="58" spans="1:13" ht="30" customHeight="1" x14ac:dyDescent="0.25">
      <c r="A58" s="2"/>
      <c r="B58" s="3"/>
      <c r="C58" s="3"/>
      <c r="D58" s="2"/>
      <c r="E58" s="3"/>
      <c r="F58" s="3"/>
      <c r="G58" s="3"/>
      <c r="H58" s="3"/>
      <c r="I58" s="2"/>
      <c r="J58" s="3"/>
      <c r="K58" s="3"/>
      <c r="L58" s="3"/>
      <c r="M58" s="3"/>
    </row>
    <row r="59" spans="1:13" ht="30" customHeight="1" x14ac:dyDescent="0.25">
      <c r="A59" s="2"/>
      <c r="B59" s="3"/>
      <c r="C59" s="3"/>
      <c r="D59" s="2"/>
      <c r="E59" s="3"/>
      <c r="F59" s="3"/>
      <c r="G59" s="3"/>
      <c r="H59" s="3"/>
      <c r="I59" s="2"/>
      <c r="J59" s="3"/>
      <c r="K59" s="3"/>
      <c r="L59" s="3"/>
      <c r="M59" s="3"/>
    </row>
    <row r="60" spans="1:13" ht="30" customHeight="1" x14ac:dyDescent="0.25">
      <c r="A60" s="2"/>
      <c r="B60" s="3"/>
      <c r="C60" s="3"/>
      <c r="D60" s="2"/>
      <c r="E60" s="3"/>
      <c r="F60" s="3"/>
      <c r="G60" s="3"/>
      <c r="H60" s="3"/>
      <c r="I60" s="2"/>
      <c r="J60" s="3"/>
      <c r="K60" s="3"/>
      <c r="L60" s="3"/>
      <c r="M60" s="3"/>
    </row>
  </sheetData>
  <autoFilter ref="A4:M60" xr:uid="{00000000-0009-0000-0000-000003000000}"/>
  <mergeCells count="2">
    <mergeCell ref="A1:M1"/>
    <mergeCell ref="A2:M2"/>
  </mergeCells>
  <conditionalFormatting sqref="A5:M60">
    <cfRule type="expression" dxfId="8" priority="5">
      <formula>AND($A5&lt;&gt;"",$J5="")</formula>
    </cfRule>
  </conditionalFormatting>
  <conditionalFormatting sqref="I5:I60">
    <cfRule type="cellIs" dxfId="7" priority="2" operator="equal">
      <formula>"Must"</formula>
    </cfRule>
    <cfRule type="cellIs" dxfId="6" priority="3" operator="equal">
      <formula>"Should"</formula>
    </cfRule>
    <cfRule type="cellIs" dxfId="5" priority="4" operator="equal">
      <formula>"Could"</formula>
    </cfRule>
  </conditionalFormatting>
  <dataValidations count="1">
    <dataValidation type="list" allowBlank="1" errorTitle="Valor no permitido" error="Seleccione un valor de la lista desplegable." sqref="M5:M60 K5:K60 I5:I60 G5:G60 D5:E60" xr:uid="{00000000-0002-0000-0300-000000000000}">
      <formula1>#REF!</formula1>
      <formula2>0</formula2>
    </dataValidation>
  </dataValidations>
  <pageMargins left="0.3" right="0.3" top="0.4" bottom="0.4" header="0.511811023622047" footer="0.511811023622047"/>
  <pageSetup paperSize="9"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F3A66"/>
    <pageSetUpPr fitToPage="1"/>
  </sheetPr>
  <dimension ref="A1:G40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sqref="A1:G1"/>
    </sheetView>
  </sheetViews>
  <sheetFormatPr baseColWidth="10" defaultColWidth="8.7109375" defaultRowHeight="15" x14ac:dyDescent="0.25"/>
  <cols>
    <col min="1" max="1" width="10" customWidth="1"/>
    <col min="2" max="2" width="18" customWidth="1"/>
    <col min="3" max="3" width="46" customWidth="1"/>
    <col min="4" max="4" width="30" customWidth="1"/>
    <col min="5" max="5" width="46" customWidth="1"/>
    <col min="6" max="6" width="26" customWidth="1"/>
    <col min="7" max="7" width="14" customWidth="1"/>
  </cols>
  <sheetData>
    <row r="1" spans="1:7" ht="30" customHeight="1" x14ac:dyDescent="0.25">
      <c r="A1" s="8" t="s">
        <v>166</v>
      </c>
      <c r="B1" s="8"/>
      <c r="C1" s="8"/>
      <c r="D1" s="8"/>
      <c r="E1" s="8"/>
      <c r="F1" s="8"/>
      <c r="G1" s="8"/>
    </row>
    <row r="2" spans="1:7" ht="18" customHeight="1" x14ac:dyDescent="0.25">
      <c r="A2" s="9" t="s">
        <v>167</v>
      </c>
      <c r="B2" s="9"/>
      <c r="C2" s="9"/>
      <c r="D2" s="9"/>
      <c r="E2" s="9"/>
      <c r="F2" s="9"/>
      <c r="G2" s="9"/>
    </row>
    <row r="4" spans="1:7" ht="30" customHeight="1" x14ac:dyDescent="0.25">
      <c r="A4" s="5" t="s">
        <v>2</v>
      </c>
      <c r="B4" s="5" t="s">
        <v>168</v>
      </c>
      <c r="C4" s="5" t="s">
        <v>169</v>
      </c>
      <c r="D4" s="5" t="s">
        <v>170</v>
      </c>
      <c r="E4" s="5" t="s">
        <v>171</v>
      </c>
      <c r="F4" s="5" t="s">
        <v>172</v>
      </c>
      <c r="G4" s="5" t="s">
        <v>69</v>
      </c>
    </row>
    <row r="5" spans="1:7" ht="31.5" customHeight="1" x14ac:dyDescent="0.25">
      <c r="A5" s="2" t="s">
        <v>173</v>
      </c>
      <c r="B5" s="2" t="s">
        <v>70</v>
      </c>
      <c r="C5" s="3" t="s">
        <v>174</v>
      </c>
      <c r="D5" s="3" t="s">
        <v>175</v>
      </c>
      <c r="E5" s="3" t="s">
        <v>176</v>
      </c>
      <c r="F5" s="3"/>
      <c r="G5" s="2" t="s">
        <v>177</v>
      </c>
    </row>
    <row r="6" spans="1:7" ht="31.5" customHeight="1" x14ac:dyDescent="0.25">
      <c r="A6" s="2" t="s">
        <v>178</v>
      </c>
      <c r="B6" s="2" t="s">
        <v>70</v>
      </c>
      <c r="C6" s="3" t="s">
        <v>179</v>
      </c>
      <c r="D6" s="3" t="s">
        <v>180</v>
      </c>
      <c r="E6" s="3" t="s">
        <v>181</v>
      </c>
      <c r="F6" s="3"/>
      <c r="G6" s="2" t="s">
        <v>177</v>
      </c>
    </row>
    <row r="7" spans="1:7" ht="31.5" customHeight="1" x14ac:dyDescent="0.25">
      <c r="A7" s="2" t="s">
        <v>182</v>
      </c>
      <c r="B7" s="2" t="s">
        <v>82</v>
      </c>
      <c r="C7" s="3" t="s">
        <v>183</v>
      </c>
      <c r="D7" s="3" t="s">
        <v>184</v>
      </c>
      <c r="E7" s="3" t="s">
        <v>185</v>
      </c>
      <c r="F7" s="3"/>
      <c r="G7" s="2" t="s">
        <v>177</v>
      </c>
    </row>
    <row r="8" spans="1:7" ht="31.5" customHeight="1" x14ac:dyDescent="0.25">
      <c r="A8" s="2" t="s">
        <v>186</v>
      </c>
      <c r="B8" s="2" t="s">
        <v>36</v>
      </c>
      <c r="C8" s="3" t="s">
        <v>187</v>
      </c>
      <c r="D8" s="3" t="s">
        <v>188</v>
      </c>
      <c r="E8" s="3" t="s">
        <v>189</v>
      </c>
      <c r="F8" s="3"/>
      <c r="G8" s="2" t="s">
        <v>177</v>
      </c>
    </row>
    <row r="9" spans="1:7" ht="31.5" customHeight="1" x14ac:dyDescent="0.25">
      <c r="A9" s="2" t="s">
        <v>190</v>
      </c>
      <c r="B9" s="2" t="s">
        <v>36</v>
      </c>
      <c r="C9" s="3" t="s">
        <v>191</v>
      </c>
      <c r="D9" s="3" t="s">
        <v>192</v>
      </c>
      <c r="E9" s="3" t="s">
        <v>193</v>
      </c>
      <c r="F9" s="3"/>
      <c r="G9" s="2" t="s">
        <v>177</v>
      </c>
    </row>
    <row r="10" spans="1:7" ht="31.5" customHeight="1" x14ac:dyDescent="0.25">
      <c r="A10" s="2" t="s">
        <v>194</v>
      </c>
      <c r="B10" s="2" t="s">
        <v>52</v>
      </c>
      <c r="C10" s="3" t="s">
        <v>195</v>
      </c>
      <c r="D10" s="3" t="s">
        <v>196</v>
      </c>
      <c r="E10" s="3" t="s">
        <v>197</v>
      </c>
      <c r="F10" s="3"/>
      <c r="G10" s="2" t="s">
        <v>177</v>
      </c>
    </row>
    <row r="11" spans="1:7" ht="31.5" customHeight="1" x14ac:dyDescent="0.25">
      <c r="A11" s="2" t="s">
        <v>198</v>
      </c>
      <c r="B11" s="2" t="s">
        <v>45</v>
      </c>
      <c r="C11" s="3" t="s">
        <v>199</v>
      </c>
      <c r="D11" s="3" t="s">
        <v>200</v>
      </c>
      <c r="E11" s="3" t="s">
        <v>201</v>
      </c>
      <c r="F11" s="3"/>
      <c r="G11" s="2" t="s">
        <v>177</v>
      </c>
    </row>
    <row r="12" spans="1:7" ht="31.5" customHeight="1" x14ac:dyDescent="0.25">
      <c r="A12" s="2" t="s">
        <v>202</v>
      </c>
      <c r="B12" s="2" t="s">
        <v>100</v>
      </c>
      <c r="C12" s="3" t="s">
        <v>203</v>
      </c>
      <c r="D12" s="3" t="s">
        <v>204</v>
      </c>
      <c r="E12" s="3" t="s">
        <v>205</v>
      </c>
      <c r="F12" s="3"/>
      <c r="G12" s="2" t="s">
        <v>177</v>
      </c>
    </row>
    <row r="13" spans="1:7" ht="31.5" customHeight="1" x14ac:dyDescent="0.25">
      <c r="A13" s="2" t="s">
        <v>206</v>
      </c>
      <c r="B13" s="2" t="s">
        <v>108</v>
      </c>
      <c r="C13" s="3" t="s">
        <v>207</v>
      </c>
      <c r="D13" s="3" t="s">
        <v>208</v>
      </c>
      <c r="E13" s="3" t="s">
        <v>209</v>
      </c>
      <c r="F13" s="3"/>
      <c r="G13" s="2" t="s">
        <v>177</v>
      </c>
    </row>
    <row r="14" spans="1:7" ht="31.5" customHeight="1" x14ac:dyDescent="0.25">
      <c r="A14" s="2" t="s">
        <v>210</v>
      </c>
      <c r="B14" s="2" t="s">
        <v>137</v>
      </c>
      <c r="C14" s="3" t="s">
        <v>211</v>
      </c>
      <c r="D14" s="3" t="s">
        <v>212</v>
      </c>
      <c r="E14" s="3" t="s">
        <v>213</v>
      </c>
      <c r="F14" s="3"/>
      <c r="G14" s="2" t="s">
        <v>177</v>
      </c>
    </row>
    <row r="15" spans="1:7" ht="31.5" customHeight="1" x14ac:dyDescent="0.25">
      <c r="A15" s="2" t="s">
        <v>214</v>
      </c>
      <c r="B15" s="2" t="s">
        <v>146</v>
      </c>
      <c r="C15" s="3" t="s">
        <v>215</v>
      </c>
      <c r="D15" s="3" t="s">
        <v>216</v>
      </c>
      <c r="E15" s="3" t="s">
        <v>217</v>
      </c>
      <c r="F15" s="3"/>
      <c r="G15" s="2" t="s">
        <v>177</v>
      </c>
    </row>
    <row r="16" spans="1:7" ht="31.5" customHeight="1" x14ac:dyDescent="0.25">
      <c r="A16" s="2" t="s">
        <v>218</v>
      </c>
      <c r="B16" s="2" t="s">
        <v>151</v>
      </c>
      <c r="C16" s="3" t="s">
        <v>219</v>
      </c>
      <c r="D16" s="3" t="s">
        <v>220</v>
      </c>
      <c r="E16" s="3" t="s">
        <v>221</v>
      </c>
      <c r="F16" s="3"/>
      <c r="G16" s="2" t="s">
        <v>177</v>
      </c>
    </row>
    <row r="17" spans="1:7" ht="31.5" customHeight="1" x14ac:dyDescent="0.25">
      <c r="A17" s="2" t="s">
        <v>222</v>
      </c>
      <c r="B17" s="2" t="s">
        <v>118</v>
      </c>
      <c r="C17" s="3" t="s">
        <v>223</v>
      </c>
      <c r="D17" s="3" t="s">
        <v>224</v>
      </c>
      <c r="E17" s="3" t="s">
        <v>225</v>
      </c>
      <c r="F17" s="3"/>
      <c r="G17" s="2" t="s">
        <v>177</v>
      </c>
    </row>
    <row r="18" spans="1:7" ht="27.75" customHeight="1" x14ac:dyDescent="0.25">
      <c r="A18" s="2"/>
      <c r="B18" s="2"/>
      <c r="C18" s="3"/>
      <c r="D18" s="3"/>
      <c r="E18" s="3"/>
      <c r="F18" s="3"/>
      <c r="G18" s="2"/>
    </row>
    <row r="19" spans="1:7" ht="27.75" customHeight="1" x14ac:dyDescent="0.25">
      <c r="A19" s="2"/>
      <c r="B19" s="2"/>
      <c r="C19" s="3"/>
      <c r="D19" s="3"/>
      <c r="E19" s="3"/>
      <c r="F19" s="3"/>
      <c r="G19" s="2"/>
    </row>
    <row r="20" spans="1:7" ht="27.75" customHeight="1" x14ac:dyDescent="0.25">
      <c r="A20" s="2"/>
      <c r="B20" s="2"/>
      <c r="C20" s="3"/>
      <c r="D20" s="3"/>
      <c r="E20" s="3"/>
      <c r="F20" s="3"/>
      <c r="G20" s="2"/>
    </row>
    <row r="21" spans="1:7" ht="27.75" customHeight="1" x14ac:dyDescent="0.25">
      <c r="A21" s="2"/>
      <c r="B21" s="2"/>
      <c r="C21" s="3"/>
      <c r="D21" s="3"/>
      <c r="E21" s="3"/>
      <c r="F21" s="3"/>
      <c r="G21" s="2"/>
    </row>
    <row r="22" spans="1:7" ht="27.75" customHeight="1" x14ac:dyDescent="0.25">
      <c r="A22" s="2"/>
      <c r="B22" s="2"/>
      <c r="C22" s="3"/>
      <c r="D22" s="3"/>
      <c r="E22" s="3"/>
      <c r="F22" s="3"/>
      <c r="G22" s="2"/>
    </row>
    <row r="23" spans="1:7" ht="27.75" customHeight="1" x14ac:dyDescent="0.25">
      <c r="A23" s="2"/>
      <c r="B23" s="2"/>
      <c r="C23" s="3"/>
      <c r="D23" s="3"/>
      <c r="E23" s="3"/>
      <c r="F23" s="3"/>
      <c r="G23" s="2"/>
    </row>
    <row r="24" spans="1:7" ht="27.75" customHeight="1" x14ac:dyDescent="0.25">
      <c r="A24" s="2"/>
      <c r="B24" s="2"/>
      <c r="C24" s="3"/>
      <c r="D24" s="3"/>
      <c r="E24" s="3"/>
      <c r="F24" s="3"/>
      <c r="G24" s="2"/>
    </row>
    <row r="25" spans="1:7" ht="27.75" customHeight="1" x14ac:dyDescent="0.25">
      <c r="A25" s="2"/>
      <c r="B25" s="2"/>
      <c r="C25" s="3"/>
      <c r="D25" s="3"/>
      <c r="E25" s="3"/>
      <c r="F25" s="3"/>
      <c r="G25" s="2"/>
    </row>
    <row r="26" spans="1:7" ht="27.75" customHeight="1" x14ac:dyDescent="0.25">
      <c r="A26" s="2"/>
      <c r="B26" s="2"/>
      <c r="C26" s="3"/>
      <c r="D26" s="3"/>
      <c r="E26" s="3"/>
      <c r="F26" s="3"/>
      <c r="G26" s="2"/>
    </row>
    <row r="27" spans="1:7" ht="27.75" customHeight="1" x14ac:dyDescent="0.25">
      <c r="A27" s="2"/>
      <c r="B27" s="2"/>
      <c r="C27" s="3"/>
      <c r="D27" s="3"/>
      <c r="E27" s="3"/>
      <c r="F27" s="3"/>
      <c r="G27" s="2"/>
    </row>
    <row r="28" spans="1:7" ht="27.75" customHeight="1" x14ac:dyDescent="0.25">
      <c r="A28" s="2"/>
      <c r="B28" s="2"/>
      <c r="C28" s="3"/>
      <c r="D28" s="3"/>
      <c r="E28" s="3"/>
      <c r="F28" s="3"/>
      <c r="G28" s="2"/>
    </row>
    <row r="29" spans="1:7" ht="27.75" customHeight="1" x14ac:dyDescent="0.25">
      <c r="A29" s="2"/>
      <c r="B29" s="2"/>
      <c r="C29" s="3"/>
      <c r="D29" s="3"/>
      <c r="E29" s="3"/>
      <c r="F29" s="3"/>
      <c r="G29" s="2"/>
    </row>
    <row r="30" spans="1:7" ht="27.75" customHeight="1" x14ac:dyDescent="0.25">
      <c r="A30" s="2"/>
      <c r="B30" s="2"/>
      <c r="C30" s="3"/>
      <c r="D30" s="3"/>
      <c r="E30" s="3"/>
      <c r="F30" s="3"/>
      <c r="G30" s="2"/>
    </row>
    <row r="31" spans="1:7" ht="27.75" customHeight="1" x14ac:dyDescent="0.25">
      <c r="A31" s="2"/>
      <c r="B31" s="2"/>
      <c r="C31" s="3"/>
      <c r="D31" s="3"/>
      <c r="E31" s="3"/>
      <c r="F31" s="3"/>
      <c r="G31" s="2"/>
    </row>
    <row r="32" spans="1:7" ht="27.75" customHeight="1" x14ac:dyDescent="0.25">
      <c r="A32" s="2"/>
      <c r="B32" s="2"/>
      <c r="C32" s="3"/>
      <c r="D32" s="3"/>
      <c r="E32" s="3"/>
      <c r="F32" s="3"/>
      <c r="G32" s="2"/>
    </row>
    <row r="33" spans="1:7" ht="27.75" customHeight="1" x14ac:dyDescent="0.25">
      <c r="A33" s="2"/>
      <c r="B33" s="2"/>
      <c r="C33" s="3"/>
      <c r="D33" s="3"/>
      <c r="E33" s="3"/>
      <c r="F33" s="3"/>
      <c r="G33" s="2"/>
    </row>
    <row r="34" spans="1:7" ht="27.75" customHeight="1" x14ac:dyDescent="0.25">
      <c r="A34" s="2"/>
      <c r="B34" s="2"/>
      <c r="C34" s="3"/>
      <c r="D34" s="3"/>
      <c r="E34" s="3"/>
      <c r="F34" s="3"/>
      <c r="G34" s="2"/>
    </row>
    <row r="35" spans="1:7" ht="27.75" customHeight="1" x14ac:dyDescent="0.25">
      <c r="A35" s="2"/>
      <c r="B35" s="2"/>
      <c r="C35" s="3"/>
      <c r="D35" s="3"/>
      <c r="E35" s="3"/>
      <c r="F35" s="3"/>
      <c r="G35" s="2"/>
    </row>
    <row r="36" spans="1:7" ht="27.75" customHeight="1" x14ac:dyDescent="0.25">
      <c r="A36" s="2"/>
      <c r="B36" s="2"/>
      <c r="C36" s="3"/>
      <c r="D36" s="3"/>
      <c r="E36" s="3"/>
      <c r="F36" s="3"/>
      <c r="G36" s="2"/>
    </row>
    <row r="37" spans="1:7" ht="27.75" customHeight="1" x14ac:dyDescent="0.25">
      <c r="A37" s="2"/>
      <c r="B37" s="2"/>
      <c r="C37" s="3"/>
      <c r="D37" s="3"/>
      <c r="E37" s="3"/>
      <c r="F37" s="3"/>
      <c r="G37" s="2"/>
    </row>
    <row r="38" spans="1:7" ht="27.75" customHeight="1" x14ac:dyDescent="0.25">
      <c r="A38" s="2"/>
      <c r="B38" s="2"/>
      <c r="C38" s="3"/>
      <c r="D38" s="3"/>
      <c r="E38" s="3"/>
      <c r="F38" s="3"/>
      <c r="G38" s="2"/>
    </row>
    <row r="39" spans="1:7" ht="27.75" customHeight="1" x14ac:dyDescent="0.25">
      <c r="A39" s="2"/>
      <c r="B39" s="2"/>
      <c r="C39" s="3"/>
      <c r="D39" s="3"/>
      <c r="E39" s="3"/>
      <c r="F39" s="3"/>
      <c r="G39" s="2"/>
    </row>
    <row r="40" spans="1:7" ht="27.75" customHeight="1" x14ac:dyDescent="0.25">
      <c r="A40" s="2"/>
      <c r="B40" s="2"/>
      <c r="C40" s="3"/>
      <c r="D40" s="3"/>
      <c r="E40" s="3"/>
      <c r="F40" s="3"/>
      <c r="G40" s="2"/>
    </row>
  </sheetData>
  <autoFilter ref="A4:G40" xr:uid="{00000000-0009-0000-0000-000004000000}"/>
  <mergeCells count="2">
    <mergeCell ref="A1:G1"/>
    <mergeCell ref="A2:G2"/>
  </mergeCells>
  <conditionalFormatting sqref="G5:G40">
    <cfRule type="cellIs" dxfId="4" priority="2" operator="equal">
      <formula>"Aprobado"</formula>
    </cfRule>
    <cfRule type="cellIs" dxfId="3" priority="3" operator="equal">
      <formula>"Fallido"</formula>
    </cfRule>
  </conditionalFormatting>
  <dataValidations count="1">
    <dataValidation type="list" allowBlank="1" errorTitle="Valor no permitido" error="Seleccione un valor de la lista desplegable." sqref="G5:G40" xr:uid="{00000000-0002-0000-0400-000000000000}">
      <formula1>#REF!</formula1>
      <formula2>0</formula2>
    </dataValidation>
  </dataValidations>
  <pageMargins left="0.3" right="0.3" top="0.4" bottom="0.4" header="0.511811023622047" footer="0.511811023622047"/>
  <pageSetup paperSize="9"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B98600"/>
    <pageSetUpPr fitToPage="1"/>
  </sheetPr>
  <dimension ref="A1:I60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F24" sqref="F24"/>
    </sheetView>
  </sheetViews>
  <sheetFormatPr baseColWidth="10" defaultColWidth="8.7109375" defaultRowHeight="15" x14ac:dyDescent="0.25"/>
  <cols>
    <col min="1" max="1" width="13" customWidth="1"/>
    <col min="2" max="2" width="30" customWidth="1"/>
    <col min="3" max="3" width="20" customWidth="1"/>
    <col min="4" max="4" width="12" customWidth="1"/>
    <col min="5" max="5" width="20" customWidth="1"/>
    <col min="6" max="6" width="24" customWidth="1"/>
    <col min="7" max="7" width="30" customWidth="1"/>
    <col min="8" max="8" width="28" customWidth="1"/>
    <col min="9" max="9" width="20" customWidth="1"/>
  </cols>
  <sheetData>
    <row r="1" spans="1:9" ht="30" customHeight="1" x14ac:dyDescent="0.25">
      <c r="A1" s="8" t="s">
        <v>226</v>
      </c>
      <c r="B1" s="8"/>
      <c r="C1" s="8"/>
      <c r="D1" s="8"/>
      <c r="E1" s="8"/>
      <c r="F1" s="8"/>
      <c r="G1" s="8"/>
      <c r="H1" s="8"/>
      <c r="I1" s="8"/>
    </row>
    <row r="2" spans="1:9" ht="18" customHeight="1" x14ac:dyDescent="0.25">
      <c r="A2" s="9" t="s">
        <v>227</v>
      </c>
      <c r="B2" s="9"/>
      <c r="C2" s="9"/>
      <c r="D2" s="9"/>
      <c r="E2" s="9"/>
      <c r="F2" s="9"/>
      <c r="G2" s="9"/>
      <c r="H2" s="9"/>
      <c r="I2" s="9"/>
    </row>
    <row r="4" spans="1:9" ht="33.75" customHeight="1" x14ac:dyDescent="0.25">
      <c r="A4" s="5" t="s">
        <v>228</v>
      </c>
      <c r="B4" s="5" t="s">
        <v>58</v>
      </c>
      <c r="C4" s="5" t="s">
        <v>63</v>
      </c>
      <c r="D4" s="5" t="s">
        <v>65</v>
      </c>
      <c r="E4" s="5" t="s">
        <v>67</v>
      </c>
      <c r="F4" s="5" t="s">
        <v>229</v>
      </c>
      <c r="G4" s="5" t="s">
        <v>230</v>
      </c>
      <c r="H4" s="5" t="s">
        <v>231</v>
      </c>
      <c r="I4" s="5" t="s">
        <v>232</v>
      </c>
    </row>
    <row r="5" spans="1:9" ht="25.5" customHeight="1" x14ac:dyDescent="0.25">
      <c r="A5" s="6" t="str">
        <f>IF('Matriz Requerimientos'!A5="","",'Matriz Requerimientos'!A5)</f>
        <v>RF-01</v>
      </c>
      <c r="B5" s="7" t="str">
        <f>IF('Matriz Requerimientos'!A5="","",'Matriz Requerimientos'!B5)</f>
        <v>Autenticar usuario</v>
      </c>
      <c r="C5" s="7" t="str">
        <f>IF('Matriz Requerimientos'!A5="","",'Matriz Requerimientos'!H5)</f>
        <v>Oficina Sistemas</v>
      </c>
      <c r="D5" s="6" t="str">
        <f>IF('Matriz Requerimientos'!A5="","",'Matriz Requerimientos'!I5)</f>
        <v>Must</v>
      </c>
      <c r="E5" s="7" t="str">
        <f>IF('Matriz Requerimientos'!A5="","",'Matriz Requerimientos'!K5)</f>
        <v>Autenticación</v>
      </c>
      <c r="F5" s="6" t="str">
        <f>IF('Matriz Requerimientos'!A5="","",IF(COUNTIF('Casos de Prueba'!$B$5:$B$40,'Matriz Requerimientos'!A5)=0,"SIN PRUEBA",COUNTIF('Casos de Prueba'!$B$5:$B$40,'Matriz Requerimientos'!A5)&amp;" caso(s)"))</f>
        <v>2 caso(s)</v>
      </c>
      <c r="G5" s="3"/>
      <c r="H5" s="3"/>
      <c r="I5" s="6" t="str">
        <f t="shared" ref="I5:I36" si="0">IF(A5="","",IF(AND(C5&lt;&gt;"",E5&lt;&gt;"",F5&lt;&gt;"SIN PRUEBA",G5&lt;&gt;""),"Completa","Incompleta"))</f>
        <v>Incompleta</v>
      </c>
    </row>
    <row r="6" spans="1:9" ht="25.5" customHeight="1" x14ac:dyDescent="0.25">
      <c r="A6" s="6" t="str">
        <f>IF('Matriz Requerimientos'!A6="","",'Matriz Requerimientos'!A6)</f>
        <v>RF-02</v>
      </c>
      <c r="B6" s="7" t="str">
        <f>IF('Matriz Requerimientos'!A6="","",'Matriz Requerimientos'!B6)</f>
        <v>Consultar disponibilidad</v>
      </c>
      <c r="C6" s="7" t="str">
        <f>IF('Matriz Requerimientos'!A6="","",'Matriz Requerimientos'!H6)</f>
        <v>INT-01</v>
      </c>
      <c r="D6" s="6" t="str">
        <f>IF('Matriz Requerimientos'!A6="","",'Matriz Requerimientos'!I6)</f>
        <v>Must</v>
      </c>
      <c r="E6" s="7" t="str">
        <f>IF('Matriz Requerimientos'!A6="","",'Matriz Requerimientos'!K6)</f>
        <v>Reservas</v>
      </c>
      <c r="F6" s="6" t="str">
        <f>IF('Matriz Requerimientos'!A6="","",IF(COUNTIF('Casos de Prueba'!$B$5:$B$40,'Matriz Requerimientos'!A6)=0,"SIN PRUEBA",COUNTIF('Casos de Prueba'!$B$5:$B$40,'Matriz Requerimientos'!A6)&amp;" caso(s)"))</f>
        <v>1 caso(s)</v>
      </c>
      <c r="G6" s="3"/>
      <c r="H6" s="3"/>
      <c r="I6" s="6" t="str">
        <f t="shared" si="0"/>
        <v>Incompleta</v>
      </c>
    </row>
    <row r="7" spans="1:9" ht="25.5" customHeight="1" x14ac:dyDescent="0.25">
      <c r="A7" s="6" t="str">
        <f>IF('Matriz Requerimientos'!A7="","",'Matriz Requerimientos'!A7)</f>
        <v>RF-03</v>
      </c>
      <c r="B7" s="7" t="str">
        <f>IF('Matriz Requerimientos'!A7="","",'Matriz Requerimientos'!B7)</f>
        <v>Reservar puesto</v>
      </c>
      <c r="C7" s="7" t="str">
        <f>IF('Matriz Requerimientos'!A7="","",'Matriz Requerimientos'!H7)</f>
        <v>RN-01, RN-02</v>
      </c>
      <c r="D7" s="6" t="str">
        <f>IF('Matriz Requerimientos'!A7="","",'Matriz Requerimientos'!I7)</f>
        <v>Must</v>
      </c>
      <c r="E7" s="7" t="str">
        <f>IF('Matriz Requerimientos'!A7="","",'Matriz Requerimientos'!K7)</f>
        <v>Reservas</v>
      </c>
      <c r="F7" s="6" t="str">
        <f>IF('Matriz Requerimientos'!A7="","",IF(COUNTIF('Casos de Prueba'!$B$5:$B$40,'Matriz Requerimientos'!A7)=0,"SIN PRUEBA",COUNTIF('Casos de Prueba'!$B$5:$B$40,'Matriz Requerimientos'!A7)&amp;" caso(s)"))</f>
        <v>2 caso(s)</v>
      </c>
      <c r="G7" s="3"/>
      <c r="H7" s="3"/>
      <c r="I7" s="6" t="str">
        <f t="shared" si="0"/>
        <v>Incompleta</v>
      </c>
    </row>
    <row r="8" spans="1:9" ht="25.5" customHeight="1" x14ac:dyDescent="0.25">
      <c r="A8" s="6" t="str">
        <f>IF('Matriz Requerimientos'!A8="","",'Matriz Requerimientos'!A8)</f>
        <v>RF-04</v>
      </c>
      <c r="B8" s="7" t="str">
        <f>IF('Matriz Requerimientos'!A8="","",'Matriz Requerimientos'!B8)</f>
        <v>Cancelar reserva</v>
      </c>
      <c r="C8" s="7" t="str">
        <f>IF('Matriz Requerimientos'!A8="","",'Matriz Requerimientos'!H8)</f>
        <v>RN-06</v>
      </c>
      <c r="D8" s="6" t="str">
        <f>IF('Matriz Requerimientos'!A8="","",'Matriz Requerimientos'!I8)</f>
        <v>Should</v>
      </c>
      <c r="E8" s="7" t="str">
        <f>IF('Matriz Requerimientos'!A8="","",'Matriz Requerimientos'!K8)</f>
        <v>Reservas</v>
      </c>
      <c r="F8" s="6" t="str">
        <f>IF('Matriz Requerimientos'!A8="","",IF(COUNTIF('Casos de Prueba'!$B$5:$B$40,'Matriz Requerimientos'!A8)=0,"SIN PRUEBA",COUNTIF('Casos de Prueba'!$B$5:$B$40,'Matriz Requerimientos'!A8)&amp;" caso(s)"))</f>
        <v>1 caso(s)</v>
      </c>
      <c r="G8" s="3"/>
      <c r="H8" s="3"/>
      <c r="I8" s="6" t="str">
        <f t="shared" si="0"/>
        <v>Incompleta</v>
      </c>
    </row>
    <row r="9" spans="1:9" ht="25.5" customHeight="1" x14ac:dyDescent="0.25">
      <c r="A9" s="6" t="str">
        <f>IF('Matriz Requerimientos'!A9="","",'Matriz Requerimientos'!A9)</f>
        <v>RF-05</v>
      </c>
      <c r="B9" s="7" t="str">
        <f>IF('Matriz Requerimientos'!A9="","",'Matriz Requerimientos'!B9)</f>
        <v>Registrar asistencia</v>
      </c>
      <c r="C9" s="7" t="str">
        <f>IF('Matriz Requerimientos'!A9="","",'Matriz Requerimientos'!H9)</f>
        <v>RN-04</v>
      </c>
      <c r="D9" s="6" t="str">
        <f>IF('Matriz Requerimientos'!A9="","",'Matriz Requerimientos'!I9)</f>
        <v>Must</v>
      </c>
      <c r="E9" s="7" t="str">
        <f>IF('Matriz Requerimientos'!A9="","",'Matriz Requerimientos'!K9)</f>
        <v>Asistencia</v>
      </c>
      <c r="F9" s="6" t="str">
        <f>IF('Matriz Requerimientos'!A9="","",IF(COUNTIF('Casos de Prueba'!$B$5:$B$40,'Matriz Requerimientos'!A9)=0,"SIN PRUEBA",COUNTIF('Casos de Prueba'!$B$5:$B$40,'Matriz Requerimientos'!A9)&amp;" caso(s)"))</f>
        <v>1 caso(s)</v>
      </c>
      <c r="G9" s="3"/>
      <c r="H9" s="3"/>
      <c r="I9" s="6" t="str">
        <f t="shared" si="0"/>
        <v>Incompleta</v>
      </c>
    </row>
    <row r="10" spans="1:9" ht="25.5" customHeight="1" x14ac:dyDescent="0.25">
      <c r="A10" s="6" t="str">
        <f>IF('Matriz Requerimientos'!A10="","",'Matriz Requerimientos'!A10)</f>
        <v>RF-06</v>
      </c>
      <c r="B10" s="7" t="str">
        <f>IF('Matriz Requerimientos'!A10="","",'Matriz Requerimientos'!B10)</f>
        <v>Reservar laboratorio completo</v>
      </c>
      <c r="C10" s="7" t="str">
        <f>IF('Matriz Requerimientos'!A10="","",'Matriz Requerimientos'!H10)</f>
        <v>RN-03</v>
      </c>
      <c r="D10" s="6" t="str">
        <f>IF('Matriz Requerimientos'!A10="","",'Matriz Requerimientos'!I10)</f>
        <v>Must</v>
      </c>
      <c r="E10" s="7" t="str">
        <f>IF('Matriz Requerimientos'!A10="","",'Matriz Requerimientos'!K10)</f>
        <v>Reservas</v>
      </c>
      <c r="F10" s="6" t="str">
        <f>IF('Matriz Requerimientos'!A10="","",IF(COUNTIF('Casos de Prueba'!$B$5:$B$40,'Matriz Requerimientos'!A10)=0,"SIN PRUEBA",COUNTIF('Casos de Prueba'!$B$5:$B$40,'Matriz Requerimientos'!A10)&amp;" caso(s)"))</f>
        <v>1 caso(s)</v>
      </c>
      <c r="G10" s="3"/>
      <c r="H10" s="3"/>
      <c r="I10" s="6" t="str">
        <f t="shared" si="0"/>
        <v>Incompleta</v>
      </c>
    </row>
    <row r="11" spans="1:9" ht="25.5" customHeight="1" x14ac:dyDescent="0.25">
      <c r="A11" s="6" t="str">
        <f>IF('Matriz Requerimientos'!A11="","",'Matriz Requerimientos'!A11)</f>
        <v>RF-07</v>
      </c>
      <c r="B11" s="7" t="str">
        <f>IF('Matriz Requerimientos'!A11="","",'Matriz Requerimientos'!B11)</f>
        <v>Aplicar suspensión por inasistencia</v>
      </c>
      <c r="C11" s="7" t="str">
        <f>IF('Matriz Requerimientos'!A11="","",'Matriz Requerimientos'!H11)</f>
        <v>RN-05</v>
      </c>
      <c r="D11" s="6" t="str">
        <f>IF('Matriz Requerimientos'!A11="","",'Matriz Requerimientos'!I11)</f>
        <v>Should</v>
      </c>
      <c r="E11" s="7" t="str">
        <f>IF('Matriz Requerimientos'!A11="","",'Matriz Requerimientos'!K11)</f>
        <v>Reservas</v>
      </c>
      <c r="F11" s="6" t="str">
        <f>IF('Matriz Requerimientos'!A11="","",IF(COUNTIF('Casos de Prueba'!$B$5:$B$40,'Matriz Requerimientos'!A11)=0,"SIN PRUEBA",COUNTIF('Casos de Prueba'!$B$5:$B$40,'Matriz Requerimientos'!A11)&amp;" caso(s)"))</f>
        <v>SIN PRUEBA</v>
      </c>
      <c r="G11" s="3"/>
      <c r="H11" s="3"/>
      <c r="I11" s="6" t="str">
        <f t="shared" si="0"/>
        <v>Incompleta</v>
      </c>
    </row>
    <row r="12" spans="1:9" ht="25.5" customHeight="1" x14ac:dyDescent="0.25">
      <c r="A12" s="6" t="str">
        <f>IF('Matriz Requerimientos'!A12="","",'Matriz Requerimientos'!A12)</f>
        <v>RF-08</v>
      </c>
      <c r="B12" s="7" t="str">
        <f>IF('Matriz Requerimientos'!A12="","",'Matriz Requerimientos'!B12)</f>
        <v>Generar reporte de ocupación</v>
      </c>
      <c r="C12" s="7" t="str">
        <f>IF('Matriz Requerimientos'!A12="","",'Matriz Requerimientos'!H12)</f>
        <v>INT-04</v>
      </c>
      <c r="D12" s="6" t="str">
        <f>IF('Matriz Requerimientos'!A12="","",'Matriz Requerimientos'!I12)</f>
        <v>Must</v>
      </c>
      <c r="E12" s="7" t="str">
        <f>IF('Matriz Requerimientos'!A12="","",'Matriz Requerimientos'!K12)</f>
        <v>Reportes</v>
      </c>
      <c r="F12" s="6" t="str">
        <f>IF('Matriz Requerimientos'!A12="","",IF(COUNTIF('Casos de Prueba'!$B$5:$B$40,'Matriz Requerimientos'!A12)=0,"SIN PRUEBA",COUNTIF('Casos de Prueba'!$B$5:$B$40,'Matriz Requerimientos'!A12)&amp;" caso(s)"))</f>
        <v>1 caso(s)</v>
      </c>
      <c r="G12" s="3"/>
      <c r="H12" s="3"/>
      <c r="I12" s="6" t="str">
        <f t="shared" si="0"/>
        <v>Incompleta</v>
      </c>
    </row>
    <row r="13" spans="1:9" ht="25.5" customHeight="1" x14ac:dyDescent="0.25">
      <c r="A13" s="6" t="str">
        <f>IF('Matriz Requerimientos'!A13="","",'Matriz Requerimientos'!A13)</f>
        <v>RF-09</v>
      </c>
      <c r="B13" s="7" t="str">
        <f>IF('Matriz Requerimientos'!A13="","",'Matriz Requerimientos'!B13)</f>
        <v>Notificar cancelación automática</v>
      </c>
      <c r="C13" s="7" t="str">
        <f>IF('Matriz Requerimientos'!A13="","",'Matriz Requerimientos'!H13)</f>
        <v>RN-03</v>
      </c>
      <c r="D13" s="6" t="str">
        <f>IF('Matriz Requerimientos'!A13="","",'Matriz Requerimientos'!I13)</f>
        <v>Should</v>
      </c>
      <c r="E13" s="7" t="str">
        <f>IF('Matriz Requerimientos'!A13="","",'Matriz Requerimientos'!K13)</f>
        <v>Notificaciones</v>
      </c>
      <c r="F13" s="6" t="str">
        <f>IF('Matriz Requerimientos'!A13="","",IF(COUNTIF('Casos de Prueba'!$B$5:$B$40,'Matriz Requerimientos'!A13)=0,"SIN PRUEBA",COUNTIF('Casos de Prueba'!$B$5:$B$40,'Matriz Requerimientos'!A13)&amp;" caso(s)"))</f>
        <v>SIN PRUEBA</v>
      </c>
      <c r="G13" s="3"/>
      <c r="H13" s="3"/>
      <c r="I13" s="6" t="str">
        <f t="shared" si="0"/>
        <v>Incompleta</v>
      </c>
    </row>
    <row r="14" spans="1:9" ht="25.5" customHeight="1" x14ac:dyDescent="0.25">
      <c r="A14" s="6" t="str">
        <f>IF('Matriz Requerimientos'!A14="","",'Matriz Requerimientos'!A14)</f>
        <v>RF-10</v>
      </c>
      <c r="B14" s="7" t="str">
        <f>IF('Matriz Requerimientos'!A14="","",'Matriz Requerimientos'!B14)</f>
        <v>Administrar laboratorios</v>
      </c>
      <c r="C14" s="7" t="str">
        <f>IF('Matriz Requerimientos'!A14="","",'Matriz Requerimientos'!H14)</f>
        <v>RN-07</v>
      </c>
      <c r="D14" s="6" t="str">
        <f>IF('Matriz Requerimientos'!A14="","",'Matriz Requerimientos'!I14)</f>
        <v>Must</v>
      </c>
      <c r="E14" s="7" t="str">
        <f>IF('Matriz Requerimientos'!A14="","",'Matriz Requerimientos'!K14)</f>
        <v>Administración</v>
      </c>
      <c r="F14" s="6" t="str">
        <f>IF('Matriz Requerimientos'!A14="","",IF(COUNTIF('Casos de Prueba'!$B$5:$B$40,'Matriz Requerimientos'!A14)=0,"SIN PRUEBA",COUNTIF('Casos de Prueba'!$B$5:$B$40,'Matriz Requerimientos'!A14)&amp;" caso(s)"))</f>
        <v>1 caso(s)</v>
      </c>
      <c r="G14" s="3"/>
      <c r="H14" s="3"/>
      <c r="I14" s="6" t="str">
        <f t="shared" si="0"/>
        <v>Incompleta</v>
      </c>
    </row>
    <row r="15" spans="1:9" ht="25.5" customHeight="1" x14ac:dyDescent="0.25">
      <c r="A15" s="6" t="str">
        <f>IF('Matriz Requerimientos'!A15="","",'Matriz Requerimientos'!A15)</f>
        <v>RF-11</v>
      </c>
      <c r="B15" s="7" t="str">
        <f>IF('Matriz Requerimientos'!A15="","",'Matriz Requerimientos'!B15)</f>
        <v>Consultar historial de reservas</v>
      </c>
      <c r="C15" s="7" t="str">
        <f>IF('Matriz Requerimientos'!A15="","",'Matriz Requerimientos'!H15)</f>
        <v>Dirección de Escuela</v>
      </c>
      <c r="D15" s="6" t="str">
        <f>IF('Matriz Requerimientos'!A15="","",'Matriz Requerimientos'!I15)</f>
        <v>Should</v>
      </c>
      <c r="E15" s="7" t="str">
        <f>IF('Matriz Requerimientos'!A15="","",'Matriz Requerimientos'!K15)</f>
        <v>Reportes</v>
      </c>
      <c r="F15" s="6" t="str">
        <f>IF('Matriz Requerimientos'!A15="","",IF(COUNTIF('Casos de Prueba'!$B$5:$B$40,'Matriz Requerimientos'!A15)=0,"SIN PRUEBA",COUNTIF('Casos de Prueba'!$B$5:$B$40,'Matriz Requerimientos'!A15)&amp;" caso(s)"))</f>
        <v>SIN PRUEBA</v>
      </c>
      <c r="G15" s="3"/>
      <c r="H15" s="3"/>
      <c r="I15" s="6" t="str">
        <f t="shared" si="0"/>
        <v>Incompleta</v>
      </c>
    </row>
    <row r="16" spans="1:9" ht="25.5" customHeight="1" x14ac:dyDescent="0.25">
      <c r="A16" s="6" t="str">
        <f>IF('Matriz Requerimientos'!A16="","",'Matriz Requerimientos'!A16)</f>
        <v>RF-12</v>
      </c>
      <c r="B16" s="7" t="str">
        <f>IF('Matriz Requerimientos'!A16="","",'Matriz Requerimientos'!B16)</f>
        <v>Liberar puestos vencidos</v>
      </c>
      <c r="C16" s="7" t="str">
        <f>IF('Matriz Requerimientos'!A16="","",'Matriz Requerimientos'!H16)</f>
        <v>INT-03</v>
      </c>
      <c r="D16" s="6" t="str">
        <f>IF('Matriz Requerimientos'!A16="","",'Matriz Requerimientos'!I16)</f>
        <v>Could</v>
      </c>
      <c r="E16" s="7" t="str">
        <f>IF('Matriz Requerimientos'!A16="","",'Matriz Requerimientos'!K16)</f>
        <v>Asistencia</v>
      </c>
      <c r="F16" s="6" t="str">
        <f>IF('Matriz Requerimientos'!A16="","",IF(COUNTIF('Casos de Prueba'!$B$5:$B$40,'Matriz Requerimientos'!A16)=0,"SIN PRUEBA",COUNTIF('Casos de Prueba'!$B$5:$B$40,'Matriz Requerimientos'!A16)&amp;" caso(s)"))</f>
        <v>SIN PRUEBA</v>
      </c>
      <c r="G16" s="3"/>
      <c r="H16" s="3"/>
      <c r="I16" s="6" t="str">
        <f t="shared" si="0"/>
        <v>Incompleta</v>
      </c>
    </row>
    <row r="17" spans="1:9" ht="25.5" customHeight="1" x14ac:dyDescent="0.25">
      <c r="A17" s="6" t="str">
        <f>IF('Matriz Requerimientos'!A17="","",'Matriz Requerimientos'!A17)</f>
        <v>RNF-01</v>
      </c>
      <c r="B17" s="7" t="str">
        <f>IF('Matriz Requerimientos'!A17="","",'Matriz Requerimientos'!B17)</f>
        <v>Tiempo de respuesta</v>
      </c>
      <c r="C17" s="7" t="str">
        <f>IF('Matriz Requerimientos'!A17="","",'Matriz Requerimientos'!H17)</f>
        <v>Red institucional</v>
      </c>
      <c r="D17" s="6" t="str">
        <f>IF('Matriz Requerimientos'!A17="","",'Matriz Requerimientos'!I17)</f>
        <v>Must</v>
      </c>
      <c r="E17" s="7" t="str">
        <f>IF('Matriz Requerimientos'!A17="","",'Matriz Requerimientos'!K17)</f>
        <v>Transversal</v>
      </c>
      <c r="F17" s="6" t="str">
        <f>IF('Matriz Requerimientos'!A17="","",IF(COUNTIF('Casos de Prueba'!$B$5:$B$40,'Matriz Requerimientos'!A17)=0,"SIN PRUEBA",COUNTIF('Casos de Prueba'!$B$5:$B$40,'Matriz Requerimientos'!A17)&amp;" caso(s)"))</f>
        <v>1 caso(s)</v>
      </c>
      <c r="G17" s="3"/>
      <c r="H17" s="3"/>
      <c r="I17" s="6" t="str">
        <f t="shared" si="0"/>
        <v>Incompleta</v>
      </c>
    </row>
    <row r="18" spans="1:9" ht="25.5" customHeight="1" x14ac:dyDescent="0.25">
      <c r="A18" s="6" t="str">
        <f>IF('Matriz Requerimientos'!A18="","",'Matriz Requerimientos'!A18)</f>
        <v>RNF-02</v>
      </c>
      <c r="B18" s="7" t="str">
        <f>IF('Matriz Requerimientos'!A18="","",'Matriz Requerimientos'!B18)</f>
        <v>Protección de credenciales</v>
      </c>
      <c r="C18" s="7" t="str">
        <f>IF('Matriz Requerimientos'!A18="","",'Matriz Requerimientos'!H18)</f>
        <v>RN-07</v>
      </c>
      <c r="D18" s="6" t="str">
        <f>IF('Matriz Requerimientos'!A18="","",'Matriz Requerimientos'!I18)</f>
        <v>Must</v>
      </c>
      <c r="E18" s="7" t="str">
        <f>IF('Matriz Requerimientos'!A18="","",'Matriz Requerimientos'!K18)</f>
        <v>Autenticación</v>
      </c>
      <c r="F18" s="6" t="str">
        <f>IF('Matriz Requerimientos'!A18="","",IF(COUNTIF('Casos de Prueba'!$B$5:$B$40,'Matriz Requerimientos'!A18)=0,"SIN PRUEBA",COUNTIF('Casos de Prueba'!$B$5:$B$40,'Matriz Requerimientos'!A18)&amp;" caso(s)"))</f>
        <v>1 caso(s)</v>
      </c>
      <c r="G18" s="3"/>
      <c r="H18" s="3"/>
      <c r="I18" s="6" t="str">
        <f t="shared" si="0"/>
        <v>Incompleta</v>
      </c>
    </row>
    <row r="19" spans="1:9" ht="25.5" customHeight="1" x14ac:dyDescent="0.25">
      <c r="A19" s="6" t="str">
        <f>IF('Matriz Requerimientos'!A19="","",'Matriz Requerimientos'!A19)</f>
        <v>RNF-03</v>
      </c>
      <c r="B19" s="7" t="str">
        <f>IF('Matriz Requerimientos'!A19="","",'Matriz Requerimientos'!B19)</f>
        <v>Uso desde teléfono móvil</v>
      </c>
      <c r="C19" s="7" t="str">
        <f>IF('Matriz Requerimientos'!A19="","",'Matriz Requerimientos'!H19)</f>
        <v>INT-01</v>
      </c>
      <c r="D19" s="6" t="str">
        <f>IF('Matriz Requerimientos'!A19="","",'Matriz Requerimientos'!I19)</f>
        <v>Must</v>
      </c>
      <c r="E19" s="7" t="str">
        <f>IF('Matriz Requerimientos'!A19="","",'Matriz Requerimientos'!K19)</f>
        <v>Transversal</v>
      </c>
      <c r="F19" s="6" t="str">
        <f>IF('Matriz Requerimientos'!A19="","",IF(COUNTIF('Casos de Prueba'!$B$5:$B$40,'Matriz Requerimientos'!A19)=0,"SIN PRUEBA",COUNTIF('Casos de Prueba'!$B$5:$B$40,'Matriz Requerimientos'!A19)&amp;" caso(s)"))</f>
        <v>1 caso(s)</v>
      </c>
      <c r="G19" s="3"/>
      <c r="H19" s="3"/>
      <c r="I19" s="6" t="str">
        <f t="shared" si="0"/>
        <v>Incompleta</v>
      </c>
    </row>
    <row r="20" spans="1:9" ht="25.5" customHeight="1" x14ac:dyDescent="0.25">
      <c r="A20" s="6" t="str">
        <f>IF('Matriz Requerimientos'!A20="","",'Matriz Requerimientos'!A20)</f>
        <v>RNF-04</v>
      </c>
      <c r="B20" s="7" t="str">
        <f>IF('Matriz Requerimientos'!A20="","",'Matriz Requerimientos'!B20)</f>
        <v>Disponibilidad del servicio</v>
      </c>
      <c r="C20" s="7" t="str">
        <f>IF('Matriz Requerimientos'!A20="","",'Matriz Requerimientos'!H20)</f>
        <v>INT-04</v>
      </c>
      <c r="D20" s="6" t="str">
        <f>IF('Matriz Requerimientos'!A20="","",'Matriz Requerimientos'!I20)</f>
        <v>Should</v>
      </c>
      <c r="E20" s="7" t="str">
        <f>IF('Matriz Requerimientos'!A20="","",'Matriz Requerimientos'!K20)</f>
        <v>Transversal</v>
      </c>
      <c r="F20" s="6" t="str">
        <f>IF('Matriz Requerimientos'!A20="","",IF(COUNTIF('Casos de Prueba'!$B$5:$B$40,'Matriz Requerimientos'!A20)=0,"SIN PRUEBA",COUNTIF('Casos de Prueba'!$B$5:$B$40,'Matriz Requerimientos'!A20)&amp;" caso(s)"))</f>
        <v>SIN PRUEBA</v>
      </c>
      <c r="G20" s="3"/>
      <c r="H20" s="3"/>
      <c r="I20" s="6" t="str">
        <f t="shared" si="0"/>
        <v>Incompleta</v>
      </c>
    </row>
    <row r="21" spans="1:9" ht="25.5" customHeight="1" x14ac:dyDescent="0.25">
      <c r="A21" s="6" t="str">
        <f>IF('Matriz Requerimientos'!A21="","",'Matriz Requerimientos'!A21)</f>
        <v>RNF-05</v>
      </c>
      <c r="B21" s="7" t="str">
        <f>IF('Matriz Requerimientos'!A21="","",'Matriz Requerimientos'!B21)</f>
        <v>Conservación del historial</v>
      </c>
      <c r="C21" s="7" t="str">
        <f>IF('Matriz Requerimientos'!A21="","",'Matriz Requerimientos'!H21)</f>
        <v>Dirección de Escuela</v>
      </c>
      <c r="D21" s="6" t="str">
        <f>IF('Matriz Requerimientos'!A21="","",'Matriz Requerimientos'!I21)</f>
        <v>Should</v>
      </c>
      <c r="E21" s="7" t="str">
        <f>IF('Matriz Requerimientos'!A21="","",'Matriz Requerimientos'!K21)</f>
        <v>Reportes</v>
      </c>
      <c r="F21" s="6" t="str">
        <f>IF('Matriz Requerimientos'!A21="","",IF(COUNTIF('Casos de Prueba'!$B$5:$B$40,'Matriz Requerimientos'!A21)=0,"SIN PRUEBA",COUNTIF('Casos de Prueba'!$B$5:$B$40,'Matriz Requerimientos'!A21)&amp;" caso(s)"))</f>
        <v>SIN PRUEBA</v>
      </c>
      <c r="G21" s="3"/>
      <c r="H21" s="3"/>
      <c r="I21" s="6" t="str">
        <f t="shared" si="0"/>
        <v>Incompleta</v>
      </c>
    </row>
    <row r="22" spans="1:9" ht="25.5" customHeight="1" x14ac:dyDescent="0.25">
      <c r="A22" s="6" t="str">
        <f>IF('Matriz Requerimientos'!A22="","",'Matriz Requerimientos'!A22)</f>
        <v/>
      </c>
      <c r="B22" s="7" t="str">
        <f>IF('Matriz Requerimientos'!A22="","",'Matriz Requerimientos'!B22)</f>
        <v/>
      </c>
      <c r="C22" s="7" t="str">
        <f>IF('Matriz Requerimientos'!A22="","",'Matriz Requerimientos'!H22)</f>
        <v/>
      </c>
      <c r="D22" s="6" t="str">
        <f>IF('Matriz Requerimientos'!A22="","",'Matriz Requerimientos'!I22)</f>
        <v/>
      </c>
      <c r="E22" s="7" t="str">
        <f>IF('Matriz Requerimientos'!A22="","",'Matriz Requerimientos'!K22)</f>
        <v/>
      </c>
      <c r="F22" s="6" t="str">
        <f>IF('Matriz Requerimientos'!A22="","",IF(COUNTIF('Casos de Prueba'!$B$5:$B$40,'Matriz Requerimientos'!A22)=0,"SIN PRUEBA",COUNTIF('Casos de Prueba'!$B$5:$B$40,'Matriz Requerimientos'!A22)&amp;" caso(s)"))</f>
        <v/>
      </c>
      <c r="G22" s="3"/>
      <c r="H22" s="3"/>
      <c r="I22" s="6" t="str">
        <f t="shared" si="0"/>
        <v/>
      </c>
    </row>
    <row r="23" spans="1:9" ht="25.5" customHeight="1" x14ac:dyDescent="0.25">
      <c r="A23" s="6" t="str">
        <f>IF('Matriz Requerimientos'!A23="","",'Matriz Requerimientos'!A23)</f>
        <v/>
      </c>
      <c r="B23" s="7" t="str">
        <f>IF('Matriz Requerimientos'!A23="","",'Matriz Requerimientos'!B23)</f>
        <v/>
      </c>
      <c r="C23" s="7" t="str">
        <f>IF('Matriz Requerimientos'!A23="","",'Matriz Requerimientos'!H23)</f>
        <v/>
      </c>
      <c r="D23" s="6" t="str">
        <f>IF('Matriz Requerimientos'!A23="","",'Matriz Requerimientos'!I23)</f>
        <v/>
      </c>
      <c r="E23" s="7" t="str">
        <f>IF('Matriz Requerimientos'!A23="","",'Matriz Requerimientos'!K23)</f>
        <v/>
      </c>
      <c r="F23" s="6" t="str">
        <f>IF('Matriz Requerimientos'!A23="","",IF(COUNTIF('Casos de Prueba'!$B$5:$B$40,'Matriz Requerimientos'!A23)=0,"SIN PRUEBA",COUNTIF('Casos de Prueba'!$B$5:$B$40,'Matriz Requerimientos'!A23)&amp;" caso(s)"))</f>
        <v/>
      </c>
      <c r="G23" s="3"/>
      <c r="H23" s="3"/>
      <c r="I23" s="6" t="str">
        <f t="shared" si="0"/>
        <v/>
      </c>
    </row>
    <row r="24" spans="1:9" ht="25.5" customHeight="1" x14ac:dyDescent="0.25">
      <c r="A24" s="6" t="str">
        <f>IF('Matriz Requerimientos'!A24="","",'Matriz Requerimientos'!A24)</f>
        <v/>
      </c>
      <c r="B24" s="7" t="str">
        <f>IF('Matriz Requerimientos'!A24="","",'Matriz Requerimientos'!B24)</f>
        <v/>
      </c>
      <c r="C24" s="7" t="str">
        <f>IF('Matriz Requerimientos'!A24="","",'Matriz Requerimientos'!H24)</f>
        <v/>
      </c>
      <c r="D24" s="6" t="str">
        <f>IF('Matriz Requerimientos'!A24="","",'Matriz Requerimientos'!I24)</f>
        <v/>
      </c>
      <c r="E24" s="7" t="str">
        <f>IF('Matriz Requerimientos'!A24="","",'Matriz Requerimientos'!K24)</f>
        <v/>
      </c>
      <c r="F24" s="6" t="str">
        <f>IF('Matriz Requerimientos'!A24="","",IF(COUNTIF('Casos de Prueba'!$B$5:$B$40,'Matriz Requerimientos'!A24)=0,"SIN PRUEBA",COUNTIF('Casos de Prueba'!$B$5:$B$40,'Matriz Requerimientos'!A24)&amp;" caso(s)"))</f>
        <v/>
      </c>
      <c r="G24" s="3"/>
      <c r="H24" s="3"/>
      <c r="I24" s="6" t="str">
        <f t="shared" si="0"/>
        <v/>
      </c>
    </row>
    <row r="25" spans="1:9" ht="25.5" customHeight="1" x14ac:dyDescent="0.25">
      <c r="A25" s="6" t="str">
        <f>IF('Matriz Requerimientos'!A25="","",'Matriz Requerimientos'!A25)</f>
        <v/>
      </c>
      <c r="B25" s="7" t="str">
        <f>IF('Matriz Requerimientos'!A25="","",'Matriz Requerimientos'!B25)</f>
        <v/>
      </c>
      <c r="C25" s="7" t="str">
        <f>IF('Matriz Requerimientos'!A25="","",'Matriz Requerimientos'!H25)</f>
        <v/>
      </c>
      <c r="D25" s="6" t="str">
        <f>IF('Matriz Requerimientos'!A25="","",'Matriz Requerimientos'!I25)</f>
        <v/>
      </c>
      <c r="E25" s="7" t="str">
        <f>IF('Matriz Requerimientos'!A25="","",'Matriz Requerimientos'!K25)</f>
        <v/>
      </c>
      <c r="F25" s="6" t="str">
        <f>IF('Matriz Requerimientos'!A25="","",IF(COUNTIF('Casos de Prueba'!$B$5:$B$40,'Matriz Requerimientos'!A25)=0,"SIN PRUEBA",COUNTIF('Casos de Prueba'!$B$5:$B$40,'Matriz Requerimientos'!A25)&amp;" caso(s)"))</f>
        <v/>
      </c>
      <c r="G25" s="3"/>
      <c r="H25" s="3"/>
      <c r="I25" s="6" t="str">
        <f t="shared" si="0"/>
        <v/>
      </c>
    </row>
    <row r="26" spans="1:9" ht="25.5" customHeight="1" x14ac:dyDescent="0.25">
      <c r="A26" s="6" t="str">
        <f>IF('Matriz Requerimientos'!A26="","",'Matriz Requerimientos'!A26)</f>
        <v/>
      </c>
      <c r="B26" s="7" t="str">
        <f>IF('Matriz Requerimientos'!A26="","",'Matriz Requerimientos'!B26)</f>
        <v/>
      </c>
      <c r="C26" s="7" t="str">
        <f>IF('Matriz Requerimientos'!A26="","",'Matriz Requerimientos'!H26)</f>
        <v/>
      </c>
      <c r="D26" s="6" t="str">
        <f>IF('Matriz Requerimientos'!A26="","",'Matriz Requerimientos'!I26)</f>
        <v/>
      </c>
      <c r="E26" s="7" t="str">
        <f>IF('Matriz Requerimientos'!A26="","",'Matriz Requerimientos'!K26)</f>
        <v/>
      </c>
      <c r="F26" s="6" t="str">
        <f>IF('Matriz Requerimientos'!A26="","",IF(COUNTIF('Casos de Prueba'!$B$5:$B$40,'Matriz Requerimientos'!A26)=0,"SIN PRUEBA",COUNTIF('Casos de Prueba'!$B$5:$B$40,'Matriz Requerimientos'!A26)&amp;" caso(s)"))</f>
        <v/>
      </c>
      <c r="G26" s="3"/>
      <c r="H26" s="3"/>
      <c r="I26" s="6" t="str">
        <f t="shared" si="0"/>
        <v/>
      </c>
    </row>
    <row r="27" spans="1:9" ht="25.5" customHeight="1" x14ac:dyDescent="0.25">
      <c r="A27" s="6" t="str">
        <f>IF('Matriz Requerimientos'!A27="","",'Matriz Requerimientos'!A27)</f>
        <v/>
      </c>
      <c r="B27" s="7" t="str">
        <f>IF('Matriz Requerimientos'!A27="","",'Matriz Requerimientos'!B27)</f>
        <v/>
      </c>
      <c r="C27" s="7" t="str">
        <f>IF('Matriz Requerimientos'!A27="","",'Matriz Requerimientos'!H27)</f>
        <v/>
      </c>
      <c r="D27" s="6" t="str">
        <f>IF('Matriz Requerimientos'!A27="","",'Matriz Requerimientos'!I27)</f>
        <v/>
      </c>
      <c r="E27" s="7" t="str">
        <f>IF('Matriz Requerimientos'!A27="","",'Matriz Requerimientos'!K27)</f>
        <v/>
      </c>
      <c r="F27" s="6" t="str">
        <f>IF('Matriz Requerimientos'!A27="","",IF(COUNTIF('Casos de Prueba'!$B$5:$B$40,'Matriz Requerimientos'!A27)=0,"SIN PRUEBA",COUNTIF('Casos de Prueba'!$B$5:$B$40,'Matriz Requerimientos'!A27)&amp;" caso(s)"))</f>
        <v/>
      </c>
      <c r="G27" s="3"/>
      <c r="H27" s="3"/>
      <c r="I27" s="6" t="str">
        <f t="shared" si="0"/>
        <v/>
      </c>
    </row>
    <row r="28" spans="1:9" ht="25.5" customHeight="1" x14ac:dyDescent="0.25">
      <c r="A28" s="6" t="str">
        <f>IF('Matriz Requerimientos'!A28="","",'Matriz Requerimientos'!A28)</f>
        <v/>
      </c>
      <c r="B28" s="7" t="str">
        <f>IF('Matriz Requerimientos'!A28="","",'Matriz Requerimientos'!B28)</f>
        <v/>
      </c>
      <c r="C28" s="7" t="str">
        <f>IF('Matriz Requerimientos'!A28="","",'Matriz Requerimientos'!H28)</f>
        <v/>
      </c>
      <c r="D28" s="6" t="str">
        <f>IF('Matriz Requerimientos'!A28="","",'Matriz Requerimientos'!I28)</f>
        <v/>
      </c>
      <c r="E28" s="7" t="str">
        <f>IF('Matriz Requerimientos'!A28="","",'Matriz Requerimientos'!K28)</f>
        <v/>
      </c>
      <c r="F28" s="6" t="str">
        <f>IF('Matriz Requerimientos'!A28="","",IF(COUNTIF('Casos de Prueba'!$B$5:$B$40,'Matriz Requerimientos'!A28)=0,"SIN PRUEBA",COUNTIF('Casos de Prueba'!$B$5:$B$40,'Matriz Requerimientos'!A28)&amp;" caso(s)"))</f>
        <v/>
      </c>
      <c r="G28" s="3"/>
      <c r="H28" s="3"/>
      <c r="I28" s="6" t="str">
        <f t="shared" si="0"/>
        <v/>
      </c>
    </row>
    <row r="29" spans="1:9" ht="25.5" customHeight="1" x14ac:dyDescent="0.25">
      <c r="A29" s="6" t="str">
        <f>IF('Matriz Requerimientos'!A29="","",'Matriz Requerimientos'!A29)</f>
        <v/>
      </c>
      <c r="B29" s="7" t="str">
        <f>IF('Matriz Requerimientos'!A29="","",'Matriz Requerimientos'!B29)</f>
        <v/>
      </c>
      <c r="C29" s="7" t="str">
        <f>IF('Matriz Requerimientos'!A29="","",'Matriz Requerimientos'!H29)</f>
        <v/>
      </c>
      <c r="D29" s="6" t="str">
        <f>IF('Matriz Requerimientos'!A29="","",'Matriz Requerimientos'!I29)</f>
        <v/>
      </c>
      <c r="E29" s="7" t="str">
        <f>IF('Matriz Requerimientos'!A29="","",'Matriz Requerimientos'!K29)</f>
        <v/>
      </c>
      <c r="F29" s="6" t="str">
        <f>IF('Matriz Requerimientos'!A29="","",IF(COUNTIF('Casos de Prueba'!$B$5:$B$40,'Matriz Requerimientos'!A29)=0,"SIN PRUEBA",COUNTIF('Casos de Prueba'!$B$5:$B$40,'Matriz Requerimientos'!A29)&amp;" caso(s)"))</f>
        <v/>
      </c>
      <c r="G29" s="3"/>
      <c r="H29" s="3"/>
      <c r="I29" s="6" t="str">
        <f t="shared" si="0"/>
        <v/>
      </c>
    </row>
    <row r="30" spans="1:9" ht="25.5" customHeight="1" x14ac:dyDescent="0.25">
      <c r="A30" s="6" t="str">
        <f>IF('Matriz Requerimientos'!A30="","",'Matriz Requerimientos'!A30)</f>
        <v/>
      </c>
      <c r="B30" s="7" t="str">
        <f>IF('Matriz Requerimientos'!A30="","",'Matriz Requerimientos'!B30)</f>
        <v/>
      </c>
      <c r="C30" s="7" t="str">
        <f>IF('Matriz Requerimientos'!A30="","",'Matriz Requerimientos'!H30)</f>
        <v/>
      </c>
      <c r="D30" s="6" t="str">
        <f>IF('Matriz Requerimientos'!A30="","",'Matriz Requerimientos'!I30)</f>
        <v/>
      </c>
      <c r="E30" s="7" t="str">
        <f>IF('Matriz Requerimientos'!A30="","",'Matriz Requerimientos'!K30)</f>
        <v/>
      </c>
      <c r="F30" s="6" t="str">
        <f>IF('Matriz Requerimientos'!A30="","",IF(COUNTIF('Casos de Prueba'!$B$5:$B$40,'Matriz Requerimientos'!A30)=0,"SIN PRUEBA",COUNTIF('Casos de Prueba'!$B$5:$B$40,'Matriz Requerimientos'!A30)&amp;" caso(s)"))</f>
        <v/>
      </c>
      <c r="G30" s="3"/>
      <c r="H30" s="3"/>
      <c r="I30" s="6" t="str">
        <f t="shared" si="0"/>
        <v/>
      </c>
    </row>
    <row r="31" spans="1:9" ht="25.5" customHeight="1" x14ac:dyDescent="0.25">
      <c r="A31" s="6" t="str">
        <f>IF('Matriz Requerimientos'!A31="","",'Matriz Requerimientos'!A31)</f>
        <v/>
      </c>
      <c r="B31" s="7" t="str">
        <f>IF('Matriz Requerimientos'!A31="","",'Matriz Requerimientos'!B31)</f>
        <v/>
      </c>
      <c r="C31" s="7" t="str">
        <f>IF('Matriz Requerimientos'!A31="","",'Matriz Requerimientos'!H31)</f>
        <v/>
      </c>
      <c r="D31" s="6" t="str">
        <f>IF('Matriz Requerimientos'!A31="","",'Matriz Requerimientos'!I31)</f>
        <v/>
      </c>
      <c r="E31" s="7" t="str">
        <f>IF('Matriz Requerimientos'!A31="","",'Matriz Requerimientos'!K31)</f>
        <v/>
      </c>
      <c r="F31" s="6" t="str">
        <f>IF('Matriz Requerimientos'!A31="","",IF(COUNTIF('Casos de Prueba'!$B$5:$B$40,'Matriz Requerimientos'!A31)=0,"SIN PRUEBA",COUNTIF('Casos de Prueba'!$B$5:$B$40,'Matriz Requerimientos'!A31)&amp;" caso(s)"))</f>
        <v/>
      </c>
      <c r="G31" s="3"/>
      <c r="H31" s="3"/>
      <c r="I31" s="6" t="str">
        <f t="shared" si="0"/>
        <v/>
      </c>
    </row>
    <row r="32" spans="1:9" ht="25.5" customHeight="1" x14ac:dyDescent="0.25">
      <c r="A32" s="6" t="str">
        <f>IF('Matriz Requerimientos'!A32="","",'Matriz Requerimientos'!A32)</f>
        <v/>
      </c>
      <c r="B32" s="7" t="str">
        <f>IF('Matriz Requerimientos'!A32="","",'Matriz Requerimientos'!B32)</f>
        <v/>
      </c>
      <c r="C32" s="7" t="str">
        <f>IF('Matriz Requerimientos'!A32="","",'Matriz Requerimientos'!H32)</f>
        <v/>
      </c>
      <c r="D32" s="6" t="str">
        <f>IF('Matriz Requerimientos'!A32="","",'Matriz Requerimientos'!I32)</f>
        <v/>
      </c>
      <c r="E32" s="7" t="str">
        <f>IF('Matriz Requerimientos'!A32="","",'Matriz Requerimientos'!K32)</f>
        <v/>
      </c>
      <c r="F32" s="6" t="str">
        <f>IF('Matriz Requerimientos'!A32="","",IF(COUNTIF('Casos de Prueba'!$B$5:$B$40,'Matriz Requerimientos'!A32)=0,"SIN PRUEBA",COUNTIF('Casos de Prueba'!$B$5:$B$40,'Matriz Requerimientos'!A32)&amp;" caso(s)"))</f>
        <v/>
      </c>
      <c r="G32" s="3"/>
      <c r="H32" s="3"/>
      <c r="I32" s="6" t="str">
        <f t="shared" si="0"/>
        <v/>
      </c>
    </row>
    <row r="33" spans="1:9" ht="25.5" customHeight="1" x14ac:dyDescent="0.25">
      <c r="A33" s="6" t="str">
        <f>IF('Matriz Requerimientos'!A33="","",'Matriz Requerimientos'!A33)</f>
        <v/>
      </c>
      <c r="B33" s="7" t="str">
        <f>IF('Matriz Requerimientos'!A33="","",'Matriz Requerimientos'!B33)</f>
        <v/>
      </c>
      <c r="C33" s="7" t="str">
        <f>IF('Matriz Requerimientos'!A33="","",'Matriz Requerimientos'!H33)</f>
        <v/>
      </c>
      <c r="D33" s="6" t="str">
        <f>IF('Matriz Requerimientos'!A33="","",'Matriz Requerimientos'!I33)</f>
        <v/>
      </c>
      <c r="E33" s="7" t="str">
        <f>IF('Matriz Requerimientos'!A33="","",'Matriz Requerimientos'!K33)</f>
        <v/>
      </c>
      <c r="F33" s="6" t="str">
        <f>IF('Matriz Requerimientos'!A33="","",IF(COUNTIF('Casos de Prueba'!$B$5:$B$40,'Matriz Requerimientos'!A33)=0,"SIN PRUEBA",COUNTIF('Casos de Prueba'!$B$5:$B$40,'Matriz Requerimientos'!A33)&amp;" caso(s)"))</f>
        <v/>
      </c>
      <c r="G33" s="3"/>
      <c r="H33" s="3"/>
      <c r="I33" s="6" t="str">
        <f t="shared" si="0"/>
        <v/>
      </c>
    </row>
    <row r="34" spans="1:9" ht="25.5" customHeight="1" x14ac:dyDescent="0.25">
      <c r="A34" s="6" t="str">
        <f>IF('Matriz Requerimientos'!A34="","",'Matriz Requerimientos'!A34)</f>
        <v/>
      </c>
      <c r="B34" s="7" t="str">
        <f>IF('Matriz Requerimientos'!A34="","",'Matriz Requerimientos'!B34)</f>
        <v/>
      </c>
      <c r="C34" s="7" t="str">
        <f>IF('Matriz Requerimientos'!A34="","",'Matriz Requerimientos'!H34)</f>
        <v/>
      </c>
      <c r="D34" s="6" t="str">
        <f>IF('Matriz Requerimientos'!A34="","",'Matriz Requerimientos'!I34)</f>
        <v/>
      </c>
      <c r="E34" s="7" t="str">
        <f>IF('Matriz Requerimientos'!A34="","",'Matriz Requerimientos'!K34)</f>
        <v/>
      </c>
      <c r="F34" s="6" t="str">
        <f>IF('Matriz Requerimientos'!A34="","",IF(COUNTIF('Casos de Prueba'!$B$5:$B$40,'Matriz Requerimientos'!A34)=0,"SIN PRUEBA",COUNTIF('Casos de Prueba'!$B$5:$B$40,'Matriz Requerimientos'!A34)&amp;" caso(s)"))</f>
        <v/>
      </c>
      <c r="G34" s="3"/>
      <c r="H34" s="3"/>
      <c r="I34" s="6" t="str">
        <f t="shared" si="0"/>
        <v/>
      </c>
    </row>
    <row r="35" spans="1:9" ht="25.5" customHeight="1" x14ac:dyDescent="0.25">
      <c r="A35" s="6" t="str">
        <f>IF('Matriz Requerimientos'!A35="","",'Matriz Requerimientos'!A35)</f>
        <v/>
      </c>
      <c r="B35" s="7" t="str">
        <f>IF('Matriz Requerimientos'!A35="","",'Matriz Requerimientos'!B35)</f>
        <v/>
      </c>
      <c r="C35" s="7" t="str">
        <f>IF('Matriz Requerimientos'!A35="","",'Matriz Requerimientos'!H35)</f>
        <v/>
      </c>
      <c r="D35" s="6" t="str">
        <f>IF('Matriz Requerimientos'!A35="","",'Matriz Requerimientos'!I35)</f>
        <v/>
      </c>
      <c r="E35" s="7" t="str">
        <f>IF('Matriz Requerimientos'!A35="","",'Matriz Requerimientos'!K35)</f>
        <v/>
      </c>
      <c r="F35" s="6" t="str">
        <f>IF('Matriz Requerimientos'!A35="","",IF(COUNTIF('Casos de Prueba'!$B$5:$B$40,'Matriz Requerimientos'!A35)=0,"SIN PRUEBA",COUNTIF('Casos de Prueba'!$B$5:$B$40,'Matriz Requerimientos'!A35)&amp;" caso(s)"))</f>
        <v/>
      </c>
      <c r="G35" s="3"/>
      <c r="H35" s="3"/>
      <c r="I35" s="6" t="str">
        <f t="shared" si="0"/>
        <v/>
      </c>
    </row>
    <row r="36" spans="1:9" ht="25.5" customHeight="1" x14ac:dyDescent="0.25">
      <c r="A36" s="6" t="str">
        <f>IF('Matriz Requerimientos'!A36="","",'Matriz Requerimientos'!A36)</f>
        <v/>
      </c>
      <c r="B36" s="7" t="str">
        <f>IF('Matriz Requerimientos'!A36="","",'Matriz Requerimientos'!B36)</f>
        <v/>
      </c>
      <c r="C36" s="7" t="str">
        <f>IF('Matriz Requerimientos'!A36="","",'Matriz Requerimientos'!H36)</f>
        <v/>
      </c>
      <c r="D36" s="6" t="str">
        <f>IF('Matriz Requerimientos'!A36="","",'Matriz Requerimientos'!I36)</f>
        <v/>
      </c>
      <c r="E36" s="7" t="str">
        <f>IF('Matriz Requerimientos'!A36="","",'Matriz Requerimientos'!K36)</f>
        <v/>
      </c>
      <c r="F36" s="6" t="str">
        <f>IF('Matriz Requerimientos'!A36="","",IF(COUNTIF('Casos de Prueba'!$B$5:$B$40,'Matriz Requerimientos'!A36)=0,"SIN PRUEBA",COUNTIF('Casos de Prueba'!$B$5:$B$40,'Matriz Requerimientos'!A36)&amp;" caso(s)"))</f>
        <v/>
      </c>
      <c r="G36" s="3"/>
      <c r="H36" s="3"/>
      <c r="I36" s="6" t="str">
        <f t="shared" si="0"/>
        <v/>
      </c>
    </row>
    <row r="37" spans="1:9" ht="25.5" customHeight="1" x14ac:dyDescent="0.25">
      <c r="A37" s="6" t="str">
        <f>IF('Matriz Requerimientos'!A37="","",'Matriz Requerimientos'!A37)</f>
        <v/>
      </c>
      <c r="B37" s="7" t="str">
        <f>IF('Matriz Requerimientos'!A37="","",'Matriz Requerimientos'!B37)</f>
        <v/>
      </c>
      <c r="C37" s="7" t="str">
        <f>IF('Matriz Requerimientos'!A37="","",'Matriz Requerimientos'!H37)</f>
        <v/>
      </c>
      <c r="D37" s="6" t="str">
        <f>IF('Matriz Requerimientos'!A37="","",'Matriz Requerimientos'!I37)</f>
        <v/>
      </c>
      <c r="E37" s="7" t="str">
        <f>IF('Matriz Requerimientos'!A37="","",'Matriz Requerimientos'!K37)</f>
        <v/>
      </c>
      <c r="F37" s="6" t="str">
        <f>IF('Matriz Requerimientos'!A37="","",IF(COUNTIF('Casos de Prueba'!$B$5:$B$40,'Matriz Requerimientos'!A37)=0,"SIN PRUEBA",COUNTIF('Casos de Prueba'!$B$5:$B$40,'Matriz Requerimientos'!A37)&amp;" caso(s)"))</f>
        <v/>
      </c>
      <c r="G37" s="3"/>
      <c r="H37" s="3"/>
      <c r="I37" s="6" t="str">
        <f t="shared" ref="I37:I60" si="1">IF(A37="","",IF(AND(C37&lt;&gt;"",E37&lt;&gt;"",F37&lt;&gt;"SIN PRUEBA",G37&lt;&gt;""),"Completa","Incompleta"))</f>
        <v/>
      </c>
    </row>
    <row r="38" spans="1:9" ht="25.5" customHeight="1" x14ac:dyDescent="0.25">
      <c r="A38" s="6" t="str">
        <f>IF('Matriz Requerimientos'!A38="","",'Matriz Requerimientos'!A38)</f>
        <v/>
      </c>
      <c r="B38" s="7" t="str">
        <f>IF('Matriz Requerimientos'!A38="","",'Matriz Requerimientos'!B38)</f>
        <v/>
      </c>
      <c r="C38" s="7" t="str">
        <f>IF('Matriz Requerimientos'!A38="","",'Matriz Requerimientos'!H38)</f>
        <v/>
      </c>
      <c r="D38" s="6" t="str">
        <f>IF('Matriz Requerimientos'!A38="","",'Matriz Requerimientos'!I38)</f>
        <v/>
      </c>
      <c r="E38" s="7" t="str">
        <f>IF('Matriz Requerimientos'!A38="","",'Matriz Requerimientos'!K38)</f>
        <v/>
      </c>
      <c r="F38" s="6" t="str">
        <f>IF('Matriz Requerimientos'!A38="","",IF(COUNTIF('Casos de Prueba'!$B$5:$B$40,'Matriz Requerimientos'!A38)=0,"SIN PRUEBA",COUNTIF('Casos de Prueba'!$B$5:$B$40,'Matriz Requerimientos'!A38)&amp;" caso(s)"))</f>
        <v/>
      </c>
      <c r="G38" s="3"/>
      <c r="H38" s="3"/>
      <c r="I38" s="6" t="str">
        <f t="shared" si="1"/>
        <v/>
      </c>
    </row>
    <row r="39" spans="1:9" ht="25.5" customHeight="1" x14ac:dyDescent="0.25">
      <c r="A39" s="6" t="str">
        <f>IF('Matriz Requerimientos'!A39="","",'Matriz Requerimientos'!A39)</f>
        <v/>
      </c>
      <c r="B39" s="7" t="str">
        <f>IF('Matriz Requerimientos'!A39="","",'Matriz Requerimientos'!B39)</f>
        <v/>
      </c>
      <c r="C39" s="7" t="str">
        <f>IF('Matriz Requerimientos'!A39="","",'Matriz Requerimientos'!H39)</f>
        <v/>
      </c>
      <c r="D39" s="6" t="str">
        <f>IF('Matriz Requerimientos'!A39="","",'Matriz Requerimientos'!I39)</f>
        <v/>
      </c>
      <c r="E39" s="7" t="str">
        <f>IF('Matriz Requerimientos'!A39="","",'Matriz Requerimientos'!K39)</f>
        <v/>
      </c>
      <c r="F39" s="6" t="str">
        <f>IF('Matriz Requerimientos'!A39="","",IF(COUNTIF('Casos de Prueba'!$B$5:$B$40,'Matriz Requerimientos'!A39)=0,"SIN PRUEBA",COUNTIF('Casos de Prueba'!$B$5:$B$40,'Matriz Requerimientos'!A39)&amp;" caso(s)"))</f>
        <v/>
      </c>
      <c r="G39" s="3"/>
      <c r="H39" s="3"/>
      <c r="I39" s="6" t="str">
        <f t="shared" si="1"/>
        <v/>
      </c>
    </row>
    <row r="40" spans="1:9" ht="25.5" customHeight="1" x14ac:dyDescent="0.25">
      <c r="A40" s="6" t="str">
        <f>IF('Matriz Requerimientos'!A40="","",'Matriz Requerimientos'!A40)</f>
        <v/>
      </c>
      <c r="B40" s="7" t="str">
        <f>IF('Matriz Requerimientos'!A40="","",'Matriz Requerimientos'!B40)</f>
        <v/>
      </c>
      <c r="C40" s="7" t="str">
        <f>IF('Matriz Requerimientos'!A40="","",'Matriz Requerimientos'!H40)</f>
        <v/>
      </c>
      <c r="D40" s="6" t="str">
        <f>IF('Matriz Requerimientos'!A40="","",'Matriz Requerimientos'!I40)</f>
        <v/>
      </c>
      <c r="E40" s="7" t="str">
        <f>IF('Matriz Requerimientos'!A40="","",'Matriz Requerimientos'!K40)</f>
        <v/>
      </c>
      <c r="F40" s="6" t="str">
        <f>IF('Matriz Requerimientos'!A40="","",IF(COUNTIF('Casos de Prueba'!$B$5:$B$40,'Matriz Requerimientos'!A40)=0,"SIN PRUEBA",COUNTIF('Casos de Prueba'!$B$5:$B$40,'Matriz Requerimientos'!A40)&amp;" caso(s)"))</f>
        <v/>
      </c>
      <c r="G40" s="3"/>
      <c r="H40" s="3"/>
      <c r="I40" s="6" t="str">
        <f t="shared" si="1"/>
        <v/>
      </c>
    </row>
    <row r="41" spans="1:9" ht="25.5" customHeight="1" x14ac:dyDescent="0.25">
      <c r="A41" s="6" t="str">
        <f>IF('Matriz Requerimientos'!A41="","",'Matriz Requerimientos'!A41)</f>
        <v/>
      </c>
      <c r="B41" s="7" t="str">
        <f>IF('Matriz Requerimientos'!A41="","",'Matriz Requerimientos'!B41)</f>
        <v/>
      </c>
      <c r="C41" s="7" t="str">
        <f>IF('Matriz Requerimientos'!A41="","",'Matriz Requerimientos'!H41)</f>
        <v/>
      </c>
      <c r="D41" s="6" t="str">
        <f>IF('Matriz Requerimientos'!A41="","",'Matriz Requerimientos'!I41)</f>
        <v/>
      </c>
      <c r="E41" s="7" t="str">
        <f>IF('Matriz Requerimientos'!A41="","",'Matriz Requerimientos'!K41)</f>
        <v/>
      </c>
      <c r="F41" s="6" t="str">
        <f>IF('Matriz Requerimientos'!A41="","",IF(COUNTIF('Casos de Prueba'!$B$5:$B$40,'Matriz Requerimientos'!A41)=0,"SIN PRUEBA",COUNTIF('Casos de Prueba'!$B$5:$B$40,'Matriz Requerimientos'!A41)&amp;" caso(s)"))</f>
        <v/>
      </c>
      <c r="G41" s="3"/>
      <c r="H41" s="3"/>
      <c r="I41" s="6" t="str">
        <f t="shared" si="1"/>
        <v/>
      </c>
    </row>
    <row r="42" spans="1:9" ht="25.5" customHeight="1" x14ac:dyDescent="0.25">
      <c r="A42" s="6" t="str">
        <f>IF('Matriz Requerimientos'!A42="","",'Matriz Requerimientos'!A42)</f>
        <v/>
      </c>
      <c r="B42" s="7" t="str">
        <f>IF('Matriz Requerimientos'!A42="","",'Matriz Requerimientos'!B42)</f>
        <v/>
      </c>
      <c r="C42" s="7" t="str">
        <f>IF('Matriz Requerimientos'!A42="","",'Matriz Requerimientos'!H42)</f>
        <v/>
      </c>
      <c r="D42" s="6" t="str">
        <f>IF('Matriz Requerimientos'!A42="","",'Matriz Requerimientos'!I42)</f>
        <v/>
      </c>
      <c r="E42" s="7" t="str">
        <f>IF('Matriz Requerimientos'!A42="","",'Matriz Requerimientos'!K42)</f>
        <v/>
      </c>
      <c r="F42" s="6" t="str">
        <f>IF('Matriz Requerimientos'!A42="","",IF(COUNTIF('Casos de Prueba'!$B$5:$B$40,'Matriz Requerimientos'!A42)=0,"SIN PRUEBA",COUNTIF('Casos de Prueba'!$B$5:$B$40,'Matriz Requerimientos'!A42)&amp;" caso(s)"))</f>
        <v/>
      </c>
      <c r="G42" s="3"/>
      <c r="H42" s="3"/>
      <c r="I42" s="6" t="str">
        <f t="shared" si="1"/>
        <v/>
      </c>
    </row>
    <row r="43" spans="1:9" ht="25.5" customHeight="1" x14ac:dyDescent="0.25">
      <c r="A43" s="6" t="str">
        <f>IF('Matriz Requerimientos'!A43="","",'Matriz Requerimientos'!A43)</f>
        <v/>
      </c>
      <c r="B43" s="7" t="str">
        <f>IF('Matriz Requerimientos'!A43="","",'Matriz Requerimientos'!B43)</f>
        <v/>
      </c>
      <c r="C43" s="7" t="str">
        <f>IF('Matriz Requerimientos'!A43="","",'Matriz Requerimientos'!H43)</f>
        <v/>
      </c>
      <c r="D43" s="6" t="str">
        <f>IF('Matriz Requerimientos'!A43="","",'Matriz Requerimientos'!I43)</f>
        <v/>
      </c>
      <c r="E43" s="7" t="str">
        <f>IF('Matriz Requerimientos'!A43="","",'Matriz Requerimientos'!K43)</f>
        <v/>
      </c>
      <c r="F43" s="6" t="str">
        <f>IF('Matriz Requerimientos'!A43="","",IF(COUNTIF('Casos de Prueba'!$B$5:$B$40,'Matriz Requerimientos'!A43)=0,"SIN PRUEBA",COUNTIF('Casos de Prueba'!$B$5:$B$40,'Matriz Requerimientos'!A43)&amp;" caso(s)"))</f>
        <v/>
      </c>
      <c r="G43" s="3"/>
      <c r="H43" s="3"/>
      <c r="I43" s="6" t="str">
        <f t="shared" si="1"/>
        <v/>
      </c>
    </row>
    <row r="44" spans="1:9" ht="25.5" customHeight="1" x14ac:dyDescent="0.25">
      <c r="A44" s="6" t="str">
        <f>IF('Matriz Requerimientos'!A44="","",'Matriz Requerimientos'!A44)</f>
        <v/>
      </c>
      <c r="B44" s="7" t="str">
        <f>IF('Matriz Requerimientos'!A44="","",'Matriz Requerimientos'!B44)</f>
        <v/>
      </c>
      <c r="C44" s="7" t="str">
        <f>IF('Matriz Requerimientos'!A44="","",'Matriz Requerimientos'!H44)</f>
        <v/>
      </c>
      <c r="D44" s="6" t="str">
        <f>IF('Matriz Requerimientos'!A44="","",'Matriz Requerimientos'!I44)</f>
        <v/>
      </c>
      <c r="E44" s="7" t="str">
        <f>IF('Matriz Requerimientos'!A44="","",'Matriz Requerimientos'!K44)</f>
        <v/>
      </c>
      <c r="F44" s="6" t="str">
        <f>IF('Matriz Requerimientos'!A44="","",IF(COUNTIF('Casos de Prueba'!$B$5:$B$40,'Matriz Requerimientos'!A44)=0,"SIN PRUEBA",COUNTIF('Casos de Prueba'!$B$5:$B$40,'Matriz Requerimientos'!A44)&amp;" caso(s)"))</f>
        <v/>
      </c>
      <c r="G44" s="3"/>
      <c r="H44" s="3"/>
      <c r="I44" s="6" t="str">
        <f t="shared" si="1"/>
        <v/>
      </c>
    </row>
    <row r="45" spans="1:9" ht="25.5" customHeight="1" x14ac:dyDescent="0.25">
      <c r="A45" s="6" t="str">
        <f>IF('Matriz Requerimientos'!A45="","",'Matriz Requerimientos'!A45)</f>
        <v/>
      </c>
      <c r="B45" s="7" t="str">
        <f>IF('Matriz Requerimientos'!A45="","",'Matriz Requerimientos'!B45)</f>
        <v/>
      </c>
      <c r="C45" s="7" t="str">
        <f>IF('Matriz Requerimientos'!A45="","",'Matriz Requerimientos'!H45)</f>
        <v/>
      </c>
      <c r="D45" s="6" t="str">
        <f>IF('Matriz Requerimientos'!A45="","",'Matriz Requerimientos'!I45)</f>
        <v/>
      </c>
      <c r="E45" s="7" t="str">
        <f>IF('Matriz Requerimientos'!A45="","",'Matriz Requerimientos'!K45)</f>
        <v/>
      </c>
      <c r="F45" s="6" t="str">
        <f>IF('Matriz Requerimientos'!A45="","",IF(COUNTIF('Casos de Prueba'!$B$5:$B$40,'Matriz Requerimientos'!A45)=0,"SIN PRUEBA",COUNTIF('Casos de Prueba'!$B$5:$B$40,'Matriz Requerimientos'!A45)&amp;" caso(s)"))</f>
        <v/>
      </c>
      <c r="G45" s="3"/>
      <c r="H45" s="3"/>
      <c r="I45" s="6" t="str">
        <f t="shared" si="1"/>
        <v/>
      </c>
    </row>
    <row r="46" spans="1:9" ht="25.5" customHeight="1" x14ac:dyDescent="0.25">
      <c r="A46" s="6" t="str">
        <f>IF('Matriz Requerimientos'!A46="","",'Matriz Requerimientos'!A46)</f>
        <v/>
      </c>
      <c r="B46" s="7" t="str">
        <f>IF('Matriz Requerimientos'!A46="","",'Matriz Requerimientos'!B46)</f>
        <v/>
      </c>
      <c r="C46" s="7" t="str">
        <f>IF('Matriz Requerimientos'!A46="","",'Matriz Requerimientos'!H46)</f>
        <v/>
      </c>
      <c r="D46" s="6" t="str">
        <f>IF('Matriz Requerimientos'!A46="","",'Matriz Requerimientos'!I46)</f>
        <v/>
      </c>
      <c r="E46" s="7" t="str">
        <f>IF('Matriz Requerimientos'!A46="","",'Matriz Requerimientos'!K46)</f>
        <v/>
      </c>
      <c r="F46" s="6" t="str">
        <f>IF('Matriz Requerimientos'!A46="","",IF(COUNTIF('Casos de Prueba'!$B$5:$B$40,'Matriz Requerimientos'!A46)=0,"SIN PRUEBA",COUNTIF('Casos de Prueba'!$B$5:$B$40,'Matriz Requerimientos'!A46)&amp;" caso(s)"))</f>
        <v/>
      </c>
      <c r="G46" s="3"/>
      <c r="H46" s="3"/>
      <c r="I46" s="6" t="str">
        <f t="shared" si="1"/>
        <v/>
      </c>
    </row>
    <row r="47" spans="1:9" ht="25.5" customHeight="1" x14ac:dyDescent="0.25">
      <c r="A47" s="6" t="str">
        <f>IF('Matriz Requerimientos'!A47="","",'Matriz Requerimientos'!A47)</f>
        <v/>
      </c>
      <c r="B47" s="7" t="str">
        <f>IF('Matriz Requerimientos'!A47="","",'Matriz Requerimientos'!B47)</f>
        <v/>
      </c>
      <c r="C47" s="7" t="str">
        <f>IF('Matriz Requerimientos'!A47="","",'Matriz Requerimientos'!H47)</f>
        <v/>
      </c>
      <c r="D47" s="6" t="str">
        <f>IF('Matriz Requerimientos'!A47="","",'Matriz Requerimientos'!I47)</f>
        <v/>
      </c>
      <c r="E47" s="7" t="str">
        <f>IF('Matriz Requerimientos'!A47="","",'Matriz Requerimientos'!K47)</f>
        <v/>
      </c>
      <c r="F47" s="6" t="str">
        <f>IF('Matriz Requerimientos'!A47="","",IF(COUNTIF('Casos de Prueba'!$B$5:$B$40,'Matriz Requerimientos'!A47)=0,"SIN PRUEBA",COUNTIF('Casos de Prueba'!$B$5:$B$40,'Matriz Requerimientos'!A47)&amp;" caso(s)"))</f>
        <v/>
      </c>
      <c r="G47" s="3"/>
      <c r="H47" s="3"/>
      <c r="I47" s="6" t="str">
        <f t="shared" si="1"/>
        <v/>
      </c>
    </row>
    <row r="48" spans="1:9" ht="25.5" customHeight="1" x14ac:dyDescent="0.25">
      <c r="A48" s="6" t="str">
        <f>IF('Matriz Requerimientos'!A48="","",'Matriz Requerimientos'!A48)</f>
        <v/>
      </c>
      <c r="B48" s="7" t="str">
        <f>IF('Matriz Requerimientos'!A48="","",'Matriz Requerimientos'!B48)</f>
        <v/>
      </c>
      <c r="C48" s="7" t="str">
        <f>IF('Matriz Requerimientos'!A48="","",'Matriz Requerimientos'!H48)</f>
        <v/>
      </c>
      <c r="D48" s="6" t="str">
        <f>IF('Matriz Requerimientos'!A48="","",'Matriz Requerimientos'!I48)</f>
        <v/>
      </c>
      <c r="E48" s="7" t="str">
        <f>IF('Matriz Requerimientos'!A48="","",'Matriz Requerimientos'!K48)</f>
        <v/>
      </c>
      <c r="F48" s="6" t="str">
        <f>IF('Matriz Requerimientos'!A48="","",IF(COUNTIF('Casos de Prueba'!$B$5:$B$40,'Matriz Requerimientos'!A48)=0,"SIN PRUEBA",COUNTIF('Casos de Prueba'!$B$5:$B$40,'Matriz Requerimientos'!A48)&amp;" caso(s)"))</f>
        <v/>
      </c>
      <c r="G48" s="3"/>
      <c r="H48" s="3"/>
      <c r="I48" s="6" t="str">
        <f t="shared" si="1"/>
        <v/>
      </c>
    </row>
    <row r="49" spans="1:9" ht="25.5" customHeight="1" x14ac:dyDescent="0.25">
      <c r="A49" s="6" t="str">
        <f>IF('Matriz Requerimientos'!A49="","",'Matriz Requerimientos'!A49)</f>
        <v/>
      </c>
      <c r="B49" s="7" t="str">
        <f>IF('Matriz Requerimientos'!A49="","",'Matriz Requerimientos'!B49)</f>
        <v/>
      </c>
      <c r="C49" s="7" t="str">
        <f>IF('Matriz Requerimientos'!A49="","",'Matriz Requerimientos'!H49)</f>
        <v/>
      </c>
      <c r="D49" s="6" t="str">
        <f>IF('Matriz Requerimientos'!A49="","",'Matriz Requerimientos'!I49)</f>
        <v/>
      </c>
      <c r="E49" s="7" t="str">
        <f>IF('Matriz Requerimientos'!A49="","",'Matriz Requerimientos'!K49)</f>
        <v/>
      </c>
      <c r="F49" s="6" t="str">
        <f>IF('Matriz Requerimientos'!A49="","",IF(COUNTIF('Casos de Prueba'!$B$5:$B$40,'Matriz Requerimientos'!A49)=0,"SIN PRUEBA",COUNTIF('Casos de Prueba'!$B$5:$B$40,'Matriz Requerimientos'!A49)&amp;" caso(s)"))</f>
        <v/>
      </c>
      <c r="G49" s="3"/>
      <c r="H49" s="3"/>
      <c r="I49" s="6" t="str">
        <f t="shared" si="1"/>
        <v/>
      </c>
    </row>
    <row r="50" spans="1:9" ht="25.5" customHeight="1" x14ac:dyDescent="0.25">
      <c r="A50" s="6" t="str">
        <f>IF('Matriz Requerimientos'!A50="","",'Matriz Requerimientos'!A50)</f>
        <v/>
      </c>
      <c r="B50" s="7" t="str">
        <f>IF('Matriz Requerimientos'!A50="","",'Matriz Requerimientos'!B50)</f>
        <v/>
      </c>
      <c r="C50" s="7" t="str">
        <f>IF('Matriz Requerimientos'!A50="","",'Matriz Requerimientos'!H50)</f>
        <v/>
      </c>
      <c r="D50" s="6" t="str">
        <f>IF('Matriz Requerimientos'!A50="","",'Matriz Requerimientos'!I50)</f>
        <v/>
      </c>
      <c r="E50" s="7" t="str">
        <f>IF('Matriz Requerimientos'!A50="","",'Matriz Requerimientos'!K50)</f>
        <v/>
      </c>
      <c r="F50" s="6" t="str">
        <f>IF('Matriz Requerimientos'!A50="","",IF(COUNTIF('Casos de Prueba'!$B$5:$B$40,'Matriz Requerimientos'!A50)=0,"SIN PRUEBA",COUNTIF('Casos de Prueba'!$B$5:$B$40,'Matriz Requerimientos'!A50)&amp;" caso(s)"))</f>
        <v/>
      </c>
      <c r="G50" s="3"/>
      <c r="H50" s="3"/>
      <c r="I50" s="6" t="str">
        <f t="shared" si="1"/>
        <v/>
      </c>
    </row>
    <row r="51" spans="1:9" ht="25.5" customHeight="1" x14ac:dyDescent="0.25">
      <c r="A51" s="6" t="str">
        <f>IF('Matriz Requerimientos'!A51="","",'Matriz Requerimientos'!A51)</f>
        <v/>
      </c>
      <c r="B51" s="7" t="str">
        <f>IF('Matriz Requerimientos'!A51="","",'Matriz Requerimientos'!B51)</f>
        <v/>
      </c>
      <c r="C51" s="7" t="str">
        <f>IF('Matriz Requerimientos'!A51="","",'Matriz Requerimientos'!H51)</f>
        <v/>
      </c>
      <c r="D51" s="6" t="str">
        <f>IF('Matriz Requerimientos'!A51="","",'Matriz Requerimientos'!I51)</f>
        <v/>
      </c>
      <c r="E51" s="7" t="str">
        <f>IF('Matriz Requerimientos'!A51="","",'Matriz Requerimientos'!K51)</f>
        <v/>
      </c>
      <c r="F51" s="6" t="str">
        <f>IF('Matriz Requerimientos'!A51="","",IF(COUNTIF('Casos de Prueba'!$B$5:$B$40,'Matriz Requerimientos'!A51)=0,"SIN PRUEBA",COUNTIF('Casos de Prueba'!$B$5:$B$40,'Matriz Requerimientos'!A51)&amp;" caso(s)"))</f>
        <v/>
      </c>
      <c r="G51" s="3"/>
      <c r="H51" s="3"/>
      <c r="I51" s="6" t="str">
        <f t="shared" si="1"/>
        <v/>
      </c>
    </row>
    <row r="52" spans="1:9" ht="25.5" customHeight="1" x14ac:dyDescent="0.25">
      <c r="A52" s="6" t="str">
        <f>IF('Matriz Requerimientos'!A52="","",'Matriz Requerimientos'!A52)</f>
        <v/>
      </c>
      <c r="B52" s="7" t="str">
        <f>IF('Matriz Requerimientos'!A52="","",'Matriz Requerimientos'!B52)</f>
        <v/>
      </c>
      <c r="C52" s="7" t="str">
        <f>IF('Matriz Requerimientos'!A52="","",'Matriz Requerimientos'!H52)</f>
        <v/>
      </c>
      <c r="D52" s="6" t="str">
        <f>IF('Matriz Requerimientos'!A52="","",'Matriz Requerimientos'!I52)</f>
        <v/>
      </c>
      <c r="E52" s="7" t="str">
        <f>IF('Matriz Requerimientos'!A52="","",'Matriz Requerimientos'!K52)</f>
        <v/>
      </c>
      <c r="F52" s="6" t="str">
        <f>IF('Matriz Requerimientos'!A52="","",IF(COUNTIF('Casos de Prueba'!$B$5:$B$40,'Matriz Requerimientos'!A52)=0,"SIN PRUEBA",COUNTIF('Casos de Prueba'!$B$5:$B$40,'Matriz Requerimientos'!A52)&amp;" caso(s)"))</f>
        <v/>
      </c>
      <c r="G52" s="3"/>
      <c r="H52" s="3"/>
      <c r="I52" s="6" t="str">
        <f t="shared" si="1"/>
        <v/>
      </c>
    </row>
    <row r="53" spans="1:9" ht="25.5" customHeight="1" x14ac:dyDescent="0.25">
      <c r="A53" s="6" t="str">
        <f>IF('Matriz Requerimientos'!A53="","",'Matriz Requerimientos'!A53)</f>
        <v/>
      </c>
      <c r="B53" s="7" t="str">
        <f>IF('Matriz Requerimientos'!A53="","",'Matriz Requerimientos'!B53)</f>
        <v/>
      </c>
      <c r="C53" s="7" t="str">
        <f>IF('Matriz Requerimientos'!A53="","",'Matriz Requerimientos'!H53)</f>
        <v/>
      </c>
      <c r="D53" s="6" t="str">
        <f>IF('Matriz Requerimientos'!A53="","",'Matriz Requerimientos'!I53)</f>
        <v/>
      </c>
      <c r="E53" s="7" t="str">
        <f>IF('Matriz Requerimientos'!A53="","",'Matriz Requerimientos'!K53)</f>
        <v/>
      </c>
      <c r="F53" s="6" t="str">
        <f>IF('Matriz Requerimientos'!A53="","",IF(COUNTIF('Casos de Prueba'!$B$5:$B$40,'Matriz Requerimientos'!A53)=0,"SIN PRUEBA",COUNTIF('Casos de Prueba'!$B$5:$B$40,'Matriz Requerimientos'!A53)&amp;" caso(s)"))</f>
        <v/>
      </c>
      <c r="G53" s="3"/>
      <c r="H53" s="3"/>
      <c r="I53" s="6" t="str">
        <f t="shared" si="1"/>
        <v/>
      </c>
    </row>
    <row r="54" spans="1:9" ht="25.5" customHeight="1" x14ac:dyDescent="0.25">
      <c r="A54" s="6" t="str">
        <f>IF('Matriz Requerimientos'!A54="","",'Matriz Requerimientos'!A54)</f>
        <v/>
      </c>
      <c r="B54" s="7" t="str">
        <f>IF('Matriz Requerimientos'!A54="","",'Matriz Requerimientos'!B54)</f>
        <v/>
      </c>
      <c r="C54" s="7" t="str">
        <f>IF('Matriz Requerimientos'!A54="","",'Matriz Requerimientos'!H54)</f>
        <v/>
      </c>
      <c r="D54" s="6" t="str">
        <f>IF('Matriz Requerimientos'!A54="","",'Matriz Requerimientos'!I54)</f>
        <v/>
      </c>
      <c r="E54" s="7" t="str">
        <f>IF('Matriz Requerimientos'!A54="","",'Matriz Requerimientos'!K54)</f>
        <v/>
      </c>
      <c r="F54" s="6" t="str">
        <f>IF('Matriz Requerimientos'!A54="","",IF(COUNTIF('Casos de Prueba'!$B$5:$B$40,'Matriz Requerimientos'!A54)=0,"SIN PRUEBA",COUNTIF('Casos de Prueba'!$B$5:$B$40,'Matriz Requerimientos'!A54)&amp;" caso(s)"))</f>
        <v/>
      </c>
      <c r="G54" s="3"/>
      <c r="H54" s="3"/>
      <c r="I54" s="6" t="str">
        <f t="shared" si="1"/>
        <v/>
      </c>
    </row>
    <row r="55" spans="1:9" ht="25.5" customHeight="1" x14ac:dyDescent="0.25">
      <c r="A55" s="6" t="str">
        <f>IF('Matriz Requerimientos'!A55="","",'Matriz Requerimientos'!A55)</f>
        <v/>
      </c>
      <c r="B55" s="7" t="str">
        <f>IF('Matriz Requerimientos'!A55="","",'Matriz Requerimientos'!B55)</f>
        <v/>
      </c>
      <c r="C55" s="7" t="str">
        <f>IF('Matriz Requerimientos'!A55="","",'Matriz Requerimientos'!H55)</f>
        <v/>
      </c>
      <c r="D55" s="6" t="str">
        <f>IF('Matriz Requerimientos'!A55="","",'Matriz Requerimientos'!I55)</f>
        <v/>
      </c>
      <c r="E55" s="7" t="str">
        <f>IF('Matriz Requerimientos'!A55="","",'Matriz Requerimientos'!K55)</f>
        <v/>
      </c>
      <c r="F55" s="6" t="str">
        <f>IF('Matriz Requerimientos'!A55="","",IF(COUNTIF('Casos de Prueba'!$B$5:$B$40,'Matriz Requerimientos'!A55)=0,"SIN PRUEBA",COUNTIF('Casos de Prueba'!$B$5:$B$40,'Matriz Requerimientos'!A55)&amp;" caso(s)"))</f>
        <v/>
      </c>
      <c r="G55" s="3"/>
      <c r="H55" s="3"/>
      <c r="I55" s="6" t="str">
        <f t="shared" si="1"/>
        <v/>
      </c>
    </row>
    <row r="56" spans="1:9" ht="25.5" customHeight="1" x14ac:dyDescent="0.25">
      <c r="A56" s="6" t="str">
        <f>IF('Matriz Requerimientos'!A56="","",'Matriz Requerimientos'!A56)</f>
        <v/>
      </c>
      <c r="B56" s="7" t="str">
        <f>IF('Matriz Requerimientos'!A56="","",'Matriz Requerimientos'!B56)</f>
        <v/>
      </c>
      <c r="C56" s="7" t="str">
        <f>IF('Matriz Requerimientos'!A56="","",'Matriz Requerimientos'!H56)</f>
        <v/>
      </c>
      <c r="D56" s="6" t="str">
        <f>IF('Matriz Requerimientos'!A56="","",'Matriz Requerimientos'!I56)</f>
        <v/>
      </c>
      <c r="E56" s="7" t="str">
        <f>IF('Matriz Requerimientos'!A56="","",'Matriz Requerimientos'!K56)</f>
        <v/>
      </c>
      <c r="F56" s="6" t="str">
        <f>IF('Matriz Requerimientos'!A56="","",IF(COUNTIF('Casos de Prueba'!$B$5:$B$40,'Matriz Requerimientos'!A56)=0,"SIN PRUEBA",COUNTIF('Casos de Prueba'!$B$5:$B$40,'Matriz Requerimientos'!A56)&amp;" caso(s)"))</f>
        <v/>
      </c>
      <c r="G56" s="3"/>
      <c r="H56" s="3"/>
      <c r="I56" s="6" t="str">
        <f t="shared" si="1"/>
        <v/>
      </c>
    </row>
    <row r="57" spans="1:9" ht="25.5" customHeight="1" x14ac:dyDescent="0.25">
      <c r="A57" s="6" t="str">
        <f>IF('Matriz Requerimientos'!A57="","",'Matriz Requerimientos'!A57)</f>
        <v/>
      </c>
      <c r="B57" s="7" t="str">
        <f>IF('Matriz Requerimientos'!A57="","",'Matriz Requerimientos'!B57)</f>
        <v/>
      </c>
      <c r="C57" s="7" t="str">
        <f>IF('Matriz Requerimientos'!A57="","",'Matriz Requerimientos'!H57)</f>
        <v/>
      </c>
      <c r="D57" s="6" t="str">
        <f>IF('Matriz Requerimientos'!A57="","",'Matriz Requerimientos'!I57)</f>
        <v/>
      </c>
      <c r="E57" s="7" t="str">
        <f>IF('Matriz Requerimientos'!A57="","",'Matriz Requerimientos'!K57)</f>
        <v/>
      </c>
      <c r="F57" s="6" t="str">
        <f>IF('Matriz Requerimientos'!A57="","",IF(COUNTIF('Casos de Prueba'!$B$5:$B$40,'Matriz Requerimientos'!A57)=0,"SIN PRUEBA",COUNTIF('Casos de Prueba'!$B$5:$B$40,'Matriz Requerimientos'!A57)&amp;" caso(s)"))</f>
        <v/>
      </c>
      <c r="G57" s="3"/>
      <c r="H57" s="3"/>
      <c r="I57" s="6" t="str">
        <f t="shared" si="1"/>
        <v/>
      </c>
    </row>
    <row r="58" spans="1:9" ht="25.5" customHeight="1" x14ac:dyDescent="0.25">
      <c r="A58" s="6" t="str">
        <f>IF('Matriz Requerimientos'!A58="","",'Matriz Requerimientos'!A58)</f>
        <v/>
      </c>
      <c r="B58" s="7" t="str">
        <f>IF('Matriz Requerimientos'!A58="","",'Matriz Requerimientos'!B58)</f>
        <v/>
      </c>
      <c r="C58" s="7" t="str">
        <f>IF('Matriz Requerimientos'!A58="","",'Matriz Requerimientos'!H58)</f>
        <v/>
      </c>
      <c r="D58" s="6" t="str">
        <f>IF('Matriz Requerimientos'!A58="","",'Matriz Requerimientos'!I58)</f>
        <v/>
      </c>
      <c r="E58" s="7" t="str">
        <f>IF('Matriz Requerimientos'!A58="","",'Matriz Requerimientos'!K58)</f>
        <v/>
      </c>
      <c r="F58" s="6" t="str">
        <f>IF('Matriz Requerimientos'!A58="","",IF(COUNTIF('Casos de Prueba'!$B$5:$B$40,'Matriz Requerimientos'!A58)=0,"SIN PRUEBA",COUNTIF('Casos de Prueba'!$B$5:$B$40,'Matriz Requerimientos'!A58)&amp;" caso(s)"))</f>
        <v/>
      </c>
      <c r="G58" s="3"/>
      <c r="H58" s="3"/>
      <c r="I58" s="6" t="str">
        <f t="shared" si="1"/>
        <v/>
      </c>
    </row>
    <row r="59" spans="1:9" ht="25.5" customHeight="1" x14ac:dyDescent="0.25">
      <c r="A59" s="6" t="str">
        <f>IF('Matriz Requerimientos'!A59="","",'Matriz Requerimientos'!A59)</f>
        <v/>
      </c>
      <c r="B59" s="7" t="str">
        <f>IF('Matriz Requerimientos'!A59="","",'Matriz Requerimientos'!B59)</f>
        <v/>
      </c>
      <c r="C59" s="7" t="str">
        <f>IF('Matriz Requerimientos'!A59="","",'Matriz Requerimientos'!H59)</f>
        <v/>
      </c>
      <c r="D59" s="6" t="str">
        <f>IF('Matriz Requerimientos'!A59="","",'Matriz Requerimientos'!I59)</f>
        <v/>
      </c>
      <c r="E59" s="7" t="str">
        <f>IF('Matriz Requerimientos'!A59="","",'Matriz Requerimientos'!K59)</f>
        <v/>
      </c>
      <c r="F59" s="6" t="str">
        <f>IF('Matriz Requerimientos'!A59="","",IF(COUNTIF('Casos de Prueba'!$B$5:$B$40,'Matriz Requerimientos'!A59)=0,"SIN PRUEBA",COUNTIF('Casos de Prueba'!$B$5:$B$40,'Matriz Requerimientos'!A59)&amp;" caso(s)"))</f>
        <v/>
      </c>
      <c r="G59" s="3"/>
      <c r="H59" s="3"/>
      <c r="I59" s="6" t="str">
        <f t="shared" si="1"/>
        <v/>
      </c>
    </row>
    <row r="60" spans="1:9" ht="25.5" customHeight="1" x14ac:dyDescent="0.25">
      <c r="A60" s="6" t="str">
        <f>IF('Matriz Requerimientos'!A60="","",'Matriz Requerimientos'!A60)</f>
        <v/>
      </c>
      <c r="B60" s="7" t="str">
        <f>IF('Matriz Requerimientos'!A60="","",'Matriz Requerimientos'!B60)</f>
        <v/>
      </c>
      <c r="C60" s="7" t="str">
        <f>IF('Matriz Requerimientos'!A60="","",'Matriz Requerimientos'!H60)</f>
        <v/>
      </c>
      <c r="D60" s="6" t="str">
        <f>IF('Matriz Requerimientos'!A60="","",'Matriz Requerimientos'!I60)</f>
        <v/>
      </c>
      <c r="E60" s="7" t="str">
        <f>IF('Matriz Requerimientos'!A60="","",'Matriz Requerimientos'!K60)</f>
        <v/>
      </c>
      <c r="F60" s="6" t="str">
        <f>IF('Matriz Requerimientos'!A60="","",IF(COUNTIF('Casos de Prueba'!$B$5:$B$40,'Matriz Requerimientos'!A60)=0,"SIN PRUEBA",COUNTIF('Casos de Prueba'!$B$5:$B$40,'Matriz Requerimientos'!A60)&amp;" caso(s)"))</f>
        <v/>
      </c>
      <c r="G60" s="3"/>
      <c r="H60" s="3"/>
      <c r="I60" s="6" t="str">
        <f t="shared" si="1"/>
        <v/>
      </c>
    </row>
  </sheetData>
  <mergeCells count="2">
    <mergeCell ref="A1:I1"/>
    <mergeCell ref="A2:I2"/>
  </mergeCells>
  <conditionalFormatting sqref="F5:F60">
    <cfRule type="cellIs" dxfId="2" priority="2" operator="equal">
      <formula>"SIN PRUEBA"</formula>
    </cfRule>
  </conditionalFormatting>
  <conditionalFormatting sqref="I5:I60">
    <cfRule type="cellIs" dxfId="1" priority="3" operator="equal">
      <formula>"Completa"</formula>
    </cfRule>
    <cfRule type="cellIs" dxfId="0" priority="4" operator="equal">
      <formula>"Incompleta"</formula>
    </cfRule>
  </conditionalFormatting>
  <pageMargins left="0.3" right="0.3" top="0.4" bottom="0.4" header="0.511811023622047" footer="0.511811023622047"/>
  <pageSetup paperSize="9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Interesados</vt:lpstr>
      <vt:lpstr>Reglas de Negocio</vt:lpstr>
      <vt:lpstr>Matriz Requerimientos</vt:lpstr>
      <vt:lpstr>Casos de Prueba</vt:lpstr>
      <vt:lpstr>Matriz Trazabilidad</vt:lpstr>
      <vt:lpstr>'Casos de Prueba'!Títulos_a_imprimir</vt:lpstr>
      <vt:lpstr>Interesados!Títulos_a_imprimir</vt:lpstr>
      <vt:lpstr>'Matriz Requerimientos'!Títulos_a_imprimir</vt:lpstr>
      <vt:lpstr>'Matriz Trazabilidad'!Títulos_a_imprimir</vt:lpstr>
      <vt:lpstr>'Reglas de Negocio'!Títulos_a_imprimir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Alexander Huahuaccapa Ccama</cp:lastModifiedBy>
  <cp:revision>0</cp:revision>
  <dcterms:created xsi:type="dcterms:W3CDTF">2026-08-16T23:42:48Z</dcterms:created>
  <dcterms:modified xsi:type="dcterms:W3CDTF">2026-08-20T20:09:30Z</dcterms:modified>
  <dc:language>en-US</dc:language>
</cp:coreProperties>
</file>