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9b2941de4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73f8443a7ea4442"/>
    <x:sheet xmlns:r="http://schemas.openxmlformats.org/officeDocument/2006/relationships" name="Interesados" sheetId="2" r:id="Ra3a94803f42a4efe"/>
    <x:sheet xmlns:r="http://schemas.openxmlformats.org/officeDocument/2006/relationships" name="Reglas de Negocio" sheetId="3" r:id="Ra6d41f3e5eef4f6d"/>
    <x:sheet xmlns:r="http://schemas.openxmlformats.org/officeDocument/2006/relationships" name="Requerimientos" sheetId="4" r:id="R027515993f6d4425"/>
    <x:sheet xmlns:r="http://schemas.openxmlformats.org/officeDocument/2006/relationships" name="Casos de Prueba" sheetId="5" r:id="Rff1bd87e69914519"/>
    <x:sheet xmlns:r="http://schemas.openxmlformats.org/officeDocument/2006/relationships" name="Trazabilidad" sheetId="6" r:id="Rf36276f7cd7e4a1c"/>
    <x:sheet xmlns:r="http://schemas.openxmlformats.org/officeDocument/2006/relationships" name="Cronograma" sheetId="7" r:id="R5eed292cd7ba4b93"/>
    <x:sheet xmlns:r="http://schemas.openxmlformats.org/officeDocument/2006/relationships" name="Cambios" sheetId="8" r:id="R547366fb09fd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1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17365D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  <x:font>
      <x:b/>
      <x:sz val="9"/>
      <x:color rgb="FF1F2937"/>
      <x:name val="Carlito"/>
    </x:font>
    <x:font>
      <x:b/>
      <x:sz val="15"/>
      <x:color rgb="FFFFFFFF"/>
      <x:name val="Carlito"/>
    </x:font>
    <x:font>
      <x:i/>
      <x:sz val="10"/>
      <x:color rgb="FF5C4300"/>
      <x:name val="Carlito"/>
    </x:font>
    <x:font>
      <x:b/>
      <x:sz val="10"/>
      <x:color rgb="FF3A2A00"/>
      <x:name val="Carlito"/>
    </x:font>
    <x:font>
      <x:b/>
      <x:sz val="11"/>
      <x:color rgb="FF3A2A00"/>
      <x:name val="Carlito"/>
    </x:font>
    <x:font>
      <x:sz val="9"/>
      <x:color rgb="FF2F2A1F"/>
      <x:name val="Carlito"/>
    </x:font>
    <x:font>
      <x:b/>
      <x:sz val="9"/>
      <x:color rgb="FF6B4F00"/>
      <x:name val="Carlito"/>
    </x:font>
    <x:font>
      <x:b/>
      <x:sz val="9"/>
      <x:color rgb="FF5C4300"/>
      <x:name val="Carlito"/>
    </x:font>
    <x:font>
      <x:b/>
      <x:sz val="9"/>
      <x:color rgb="FF6B520C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D6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8A6508"/>
      </x:patternFill>
    </x:fill>
    <x:fill>
      <x:patternFill patternType="solid">
        <x:fgColor rgb="FFFFF0B3"/>
      </x:patternFill>
    </x:fill>
    <x:fill>
      <x:patternFill patternType="solid">
        <x:fgColor rgb="FFE8B84A"/>
      </x:patternFill>
    </x:fill>
    <x:fill>
      <x:patternFill patternType="solid">
        <x:fgColor rgb="FFFFF9E6"/>
      </x:patternFill>
    </x:fill>
    <x:fill>
      <x:patternFill patternType="solid">
        <x:fgColor rgb="FFFFF2C7"/>
      </x:patternFill>
    </x:fill>
    <x:fill>
      <x:patternFill patternType="solid">
        <x:fgColor rgb="FFFFFDF4"/>
      </x:patternFill>
    </x:fill>
    <x:fill>
      <x:patternFill patternType="solid">
        <x:fgColor rgb="FFC69214"/>
      </x:patternFill>
    </x:fill>
    <x:fill>
      <x:patternFill patternType="solid">
        <x:fgColor rgb="FFF6E3A1"/>
      </x:patternFill>
    </x:fill>
    <x:fill>
      <x:patternFill patternType="solid">
        <x:fgColor rgb="FFFFF1BF"/>
      </x:patternFill>
    </x:fill>
  </x:fills>
  <x:borders count="49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C79A2E"/>
      </x:left>
      <x:top style="thin">
        <x:color rgb="FF8A6508"/>
      </x:top>
      <x:bottom style="thin">
        <x:color rgb="FF8A6508"/>
      </x:bottom>
    </x:border>
    <x:border>
      <x:top style="thin">
        <x:color rgb="FF8A6508"/>
      </x:top>
      <x:bottom style="thin">
        <x:color rgb="FF8A6508"/>
      </x:bottom>
    </x:border>
    <x:border>
      <x:top style="thin">
        <x:color rgb="FF8A6508"/>
      </x:top>
      <x:bottom style="thin">
        <x:color rgb="FF8A6508"/>
      </x:bottom>
    </x:border>
    <x:border>
      <x:right style="thin">
        <x:color rgb="FFC79A2E"/>
      </x:right>
      <x:top style="thin">
        <x:color rgb="FF8A6508"/>
      </x:top>
      <x:bottom style="thin">
        <x:color rgb="FF8A6508"/>
      </x:bottom>
    </x:border>
    <x:border>
      <x:left style="hair">
        <x:color rgb="FFEFE2B8"/>
      </x:left>
    </x:border>
    <x:border>
      <x:right style="hair">
        <x:color rgb="FFEFE2B8"/>
      </x:right>
    </x:border>
    <x:border>
      <x:left style="hair">
        <x:color rgb="FFEFE2B8"/>
      </x:left>
    </x:border>
    <x:border>
      <x:right style="hair">
        <x:color rgb="FFEFE2B8"/>
      </x:right>
    </x:border>
    <x:border>
      <x:left style="hair">
        <x:color rgb="FFEFE2B8"/>
      </x:left>
      <x:bottom style="hair">
        <x:color rgb="FFE6D7A8"/>
      </x:bottom>
    </x:border>
    <x:border>
      <x:bottom style="hair">
        <x:color rgb="FFE6D7A8"/>
      </x:bottom>
    </x:border>
    <x:border>
      <x:bottom style="hair">
        <x:color rgb="FFE6D7A8"/>
      </x:bottom>
    </x:border>
    <x:border>
      <x:right style="hair">
        <x:color rgb="FFEFE2B8"/>
      </x:right>
      <x:bottom style="hair">
        <x:color rgb="FFE6D7A8"/>
      </x:bottom>
    </x:border>
    <x:border>
      <x:left style="hair">
        <x:color rgb="FFF0E7CA"/>
      </x:left>
    </x:border>
    <x:border>
      <x:right style="hair">
        <x:color rgb="FFF0E7CA"/>
      </x:right>
    </x:border>
    <x:border>
      <x:left style="hair">
        <x:color rgb="FFF0E7CA"/>
      </x:left>
      <x:bottom style="hair">
        <x:color rgb="FFE8DDBB"/>
      </x:bottom>
    </x:border>
    <x:border>
      <x:bottom style="hair">
        <x:color rgb="FFE8DDBB"/>
      </x:bottom>
    </x:border>
    <x:border>
      <x:right style="hair">
        <x:color rgb="FFF0E7CA"/>
      </x:right>
      <x:bottom style="hair">
        <x:color rgb="FFE8DDBB"/>
      </x:bottom>
    </x:border>
    <x:border>
      <x:left style="hair">
        <x:color rgb="FFF0E7CA"/>
      </x:left>
      <x:top style="thin">
        <x:color rgb="FF8A6508"/>
      </x:top>
      <x:bottom style="thin">
        <x:color rgb="FF8A6508"/>
      </x:bottom>
    </x:border>
    <x:border>
      <x:right style="hair">
        <x:color rgb="FFF0E7CA"/>
      </x:right>
      <x:top style="thin">
        <x:color rgb="FF8A6508"/>
      </x:top>
      <x:bottom style="thin">
        <x:color rgb="FF8A6508"/>
      </x:bottom>
    </x:border>
  </x:borders>
  <x:cellStyleXfs count="1">
    <x:xf numFmtId="0" fontId="0" fillId="0" borderId="0"/>
  </x:cellStyleXfs>
  <x:cellXfs count="4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4" fillId="3" borderId="1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4" fillId="3" borderId="16" xfId="0" applyNumberFormat="1" applyFont="1" applyFill="1" applyBorder="1"/>
    <x:xf numFmtId="0" fontId="4" fillId="3" borderId="17" xfId="0" applyNumberFormat="1" applyFont="1" applyFill="1" applyBorder="1"/>
    <x:xf numFmtId="0" fontId="4" fillId="3" borderId="12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4" fillId="3" borderId="15" xfId="0" applyNumberFormat="1" applyFont="1" applyFill="1" applyBorder="1" applyAlignment="1">
      <x:alignment wrapText="1"/>
    </x:xf>
    <x:xf numFmtId="0" fontId="4" fillId="3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vertical="top" wrapText="1"/>
    </x:xf>
    <x:xf numFmtId="0" fontId="4" fillId="3" borderId="13" xfId="0" applyNumberFormat="1" applyFont="1" applyFill="1" applyBorder="1" applyAlignment="1">
      <x:alignment vertical="top" wrapText="1"/>
    </x:xf>
    <x:xf numFmtId="0" fontId="4" fillId="3" borderId="14" xfId="0" applyNumberFormat="1" applyFont="1" applyFill="1" applyBorder="1" applyAlignment="1">
      <x:alignment vertical="top" wrapText="1"/>
    </x:xf>
    <x:xf numFmtId="0" fontId="4" fillId="3" borderId="15" xfId="0" applyNumberFormat="1" applyFont="1" applyFill="1" applyBorder="1" applyAlignment="1">
      <x:alignment vertical="top" wrapText="1"/>
    </x:xf>
    <x:xf numFmtId="0" fontId="4" fillId="3" borderId="16" xfId="0" applyNumberFormat="1" applyFont="1" applyFill="1" applyBorder="1" applyAlignment="1">
      <x:alignment vertical="top" wrapText="1"/>
    </x:xf>
    <x:xf numFmtId="0" fontId="4" fillId="3" borderId="17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5" fillId="3" borderId="14" xfId="0" applyNumberFormat="1" applyFont="1" applyFill="1" applyBorder="1" applyAlignment="1">
      <x:alignment vertical="top" wrapText="1"/>
    </x:xf>
    <x:xf numFmtId="0" fontId="5" fillId="3" borderId="16" xfId="0" applyNumberFormat="1" applyFont="1" applyFill="1" applyBorder="1" applyAlignment="1">
      <x:alignment vertical="top" wrapText="1"/>
    </x:xf>
    <x:xf numFmtId="0" fontId="3" fillId="2" borderId="18" xfId="0" applyNumberFormat="1" applyFont="1" applyFill="1" applyBorder="1"/>
    <x:xf numFmtId="0" fontId="3" fillId="2" borderId="18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horizont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/>
    <x:xf numFmtId="0" fontId="3" fillId="2" borderId="19" xfId="0" applyNumberFormat="1" applyFont="1" applyFill="1" applyBorder="1" applyAlignment="1">
      <x:alignment wrapText="1"/>
    </x:xf>
    <x:xf numFmtId="0" fontId="3" fillId="2" borderId="19" xfId="0" applyNumberFormat="1" applyFont="1" applyFill="1" applyBorder="1" applyAlignment="1">
      <x:alignment horizont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4" fillId="3" borderId="20" xfId="0" applyNumberFormat="1" applyFont="1" applyFill="1" applyBorder="1"/>
    <x:xf numFmtId="0" fontId="4" fillId="3" borderId="21" xfId="0" applyNumberFormat="1" applyFont="1" applyFill="1" applyBorder="1"/>
    <x:xf numFmtId="0" fontId="4" fillId="3" borderId="2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21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21" xfId="0" applyNumberFormat="1" applyFont="1" applyFill="1" applyBorder="1" applyAlignment="1">
      <x:alignment vertical="top" wrapText="1"/>
    </x:xf>
    <x:xf numFmtId="0" fontId="4" fillId="3" borderId="22" xfId="0" applyNumberFormat="1" applyFont="1" applyFill="1" applyBorder="1"/>
    <x:xf numFmtId="0" fontId="4" fillId="3" borderId="23" xfId="0" applyNumberFormat="1" applyFont="1" applyFill="1" applyBorder="1"/>
    <x:xf numFmtId="0" fontId="4" fillId="3" borderId="22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3" xfId="0" applyNumberFormat="1" applyFont="1" applyFill="1" applyBorder="1" applyAlignment="1">
      <x:alignment wrapText="1"/>
    </x:xf>
    <x:xf numFmtId="0" fontId="4" fillId="3" borderId="22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23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20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24" xfId="0" applyNumberFormat="1" applyFont="1" applyFill="1" applyBorder="1" applyAlignment="1">
      <x:alignment vertical="top" wrapText="1"/>
    </x:xf>
    <x:xf numFmtId="0" fontId="5" fillId="4" borderId="25" xfId="0" applyNumberFormat="1" applyFont="1" applyFill="1" applyBorder="1" applyAlignment="1">
      <x:alignment vertical="top" wrapText="1"/>
    </x:xf>
    <x:xf numFmtId="0" fontId="5" fillId="4" borderId="26" xfId="0" applyNumberFormat="1" applyFont="1" applyFill="1" applyBorder="1" applyAlignment="1">
      <x:alignment vertical="top" wrapText="1"/>
    </x:xf>
    <x:xf numFmtId="0" fontId="5" fillId="4" borderId="24" xfId="0" applyNumberFormat="1" applyFont="1" applyFill="1" applyBorder="1" applyAlignment="1">
      <x:alignment horizontal="center" vertical="top" wrapText="1"/>
    </x:xf>
    <x:xf numFmtId="0" fontId="5" fillId="4" borderId="25" xfId="0" applyNumberFormat="1" applyFont="1" applyFill="1" applyBorder="1" applyAlignment="1">
      <x:alignment horizontal="center" vertical="top" wrapText="1"/>
    </x:xf>
    <x:xf numFmtId="0" fontId="5" fillId="4" borderId="26" xfId="0" applyNumberFormat="1" applyFont="1" applyFill="1" applyBorder="1" applyAlignment="1">
      <x:alignment horizontal="center"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22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2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4" borderId="27" xfId="0" applyNumberFormat="1" applyFont="1" applyFill="1" applyBorder="1" applyAlignment="1">
      <x:alignment vertical="top" wrapText="1"/>
    </x:xf>
    <x:xf numFmtId="0" fontId="5" fillId="4" borderId="28" xfId="0" applyNumberFormat="1" applyFont="1" applyFill="1" applyBorder="1" applyAlignment="1">
      <x:alignment vertical="top" wrapText="1"/>
    </x:xf>
    <x:xf numFmtId="0" fontId="5" fillId="4" borderId="29" xfId="0" applyNumberFormat="1" applyFont="1" applyFill="1" applyBorder="1" applyAlignment="1">
      <x:alignment vertical="top" wrapText="1"/>
    </x:xf>
    <x:xf numFmtId="0" fontId="5" fillId="4" borderId="27" xfId="0" applyNumberFormat="1" applyFont="1" applyFill="1" applyBorder="1" applyAlignment="1">
      <x:alignment horizontal="center" vertical="top" wrapText="1"/>
    </x:xf>
    <x:xf numFmtId="0" fontId="5" fillId="4" borderId="28" xfId="0" applyNumberFormat="1" applyFont="1" applyFill="1" applyBorder="1" applyAlignment="1">
      <x:alignment horizontal="center" vertical="top" wrapText="1"/>
    </x:xf>
    <x:xf numFmtId="0" fontId="5" fillId="4" borderId="29" xfId="0" applyNumberFormat="1" applyFont="1" applyFill="1" applyBorder="1" applyAlignment="1">
      <x:alignment horizontal="center"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 applyAlignment="1">
      <x:alignment vertical="top" wrapText="1"/>
    </x:xf>
    <x:xf numFmtId="0" fontId="6" fillId="3" borderId="8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6" fillId="3" borderId="14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3" borderId="15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3" borderId="21" xfId="0" applyNumberFormat="1" applyFont="1" applyFill="1" applyBorder="1" applyAlignment="1">
      <x:alignment vertical="top" wrapText="1"/>
    </x:xf>
    <x:xf numFmtId="0" fontId="6" fillId="3" borderId="11" xfId="0" applyNumberFormat="1" applyFont="1" applyFill="1" applyBorder="1" applyAlignment="1">
      <x:alignment vertical="top" wrapText="1"/>
    </x:xf>
    <x:xf numFmtId="0" fontId="6" fillId="3" borderId="16" xfId="0" applyNumberFormat="1" applyFont="1" applyFill="1" applyBorder="1" applyAlignment="1">
      <x:alignment vertical="top" wrapText="1"/>
    </x:xf>
    <x:xf numFmtId="0" fontId="6" fillId="3" borderId="23" xfId="0" applyNumberFormat="1" applyFont="1" applyFill="1" applyBorder="1" applyAlignment="1">
      <x:alignment vertical="top" wrapText="1"/>
    </x:xf>
    <x:xf numFmtId="0" fontId="6" fillId="3" borderId="17" xfId="0" applyNumberFormat="1" applyFont="1" applyFill="1" applyBorder="1" applyAlignment="1">
      <x:alignment vertical="top" wrapText="1"/>
    </x:xf>
    <x:xf numFmtId="0" fontId="6" fillId="3" borderId="8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6" fillId="3" borderId="9" xfId="0" applyNumberFormat="1" applyFont="1" applyFill="1" applyBorder="1" applyAlignment="1">
      <x:alignment horizontal="center" vertical="top" wrapText="1"/>
    </x:xf>
    <x:xf numFmtId="0" fontId="6" fillId="3" borderId="10" xfId="0" applyNumberFormat="1" applyFont="1" applyFill="1" applyBorder="1" applyAlignment="1">
      <x:alignment horizontal="center" vertical="top" wrapText="1"/>
    </x:xf>
    <x:xf numFmtId="0" fontId="6" fillId="3" borderId="21" xfId="0" applyNumberFormat="1" applyFont="1" applyFill="1" applyBorder="1" applyAlignment="1">
      <x:alignment horizontal="center" vertical="top" wrapText="1"/>
    </x:xf>
    <x:xf numFmtId="0" fontId="6" fillId="3" borderId="11" xfId="0" applyNumberFormat="1" applyFont="1" applyFill="1" applyBorder="1" applyAlignment="1">
      <x:alignment horizontal="center" vertical="top" wrapText="1"/>
    </x:xf>
    <x:xf numFmtId="0" fontId="6" fillId="3" borderId="14" xfId="0" applyNumberFormat="1" applyFont="1" applyFill="1" applyBorder="1" applyAlignment="1">
      <x:alignment horizontal="center" vertical="top"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0" fontId="6" fillId="3" borderId="15" xfId="0" applyNumberFormat="1" applyFont="1" applyFill="1" applyBorder="1" applyAlignment="1">
      <x:alignment horizontal="center" vertical="top" wrapText="1"/>
    </x:xf>
    <x:xf numFmtId="0" fontId="6" fillId="3" borderId="16" xfId="0" applyNumberFormat="1" applyFont="1" applyFill="1" applyBorder="1" applyAlignment="1">
      <x:alignment horizontal="center" vertical="top" wrapText="1"/>
    </x:xf>
    <x:xf numFmtId="0" fontId="6" fillId="3" borderId="23" xfId="0" applyNumberFormat="1" applyFont="1" applyFill="1" applyBorder="1" applyAlignment="1">
      <x:alignment horizontal="center" vertical="top" wrapText="1"/>
    </x:xf>
    <x:xf numFmtId="0" fontId="6" fillId="3" borderId="17" xfId="0" applyNumberFormat="1" applyFont="1" applyFill="1" applyBorder="1" applyAlignment="1">
      <x:alignment horizontal="center" vertical="top" wrapText="1"/>
    </x:xf>
    <x:xf numFmtId="0" fontId="4" fillId="3" borderId="6" xfId="0" applyNumberFormat="1" applyFont="1" applyFill="1" applyBorder="1" applyAlignment="1">
      <x:alignment horizontal="center" vertical="top" wrapText="1"/>
    </x:xf>
    <x:xf numFmtId="0" fontId="4" fillId="3" borderId="8" xfId="0" applyNumberFormat="1" applyFont="1" applyFill="1" applyBorder="1" applyAlignment="1">
      <x:alignment horizontal="center" vertical="top" wrapText="1"/>
    </x:xf>
    <x:xf numFmtId="0" fontId="4" fillId="3" borderId="10" xfId="0" applyNumberFormat="1" applyFont="1" applyFill="1" applyBorder="1" applyAlignment="1">
      <x:alignment horizontal="center" vertical="top" wrapText="1"/>
    </x:xf>
    <x:xf numFmtId="0" fontId="4" fillId="3" borderId="12" xfId="0" applyNumberFormat="1" applyFont="1" applyFill="1" applyBorder="1" applyAlignment="1">
      <x:alignment horizontal="center" vertical="top" wrapText="1"/>
    </x:xf>
    <x:xf numFmtId="0" fontId="4" fillId="3" borderId="14" xfId="0" applyNumberFormat="1" applyFont="1" applyFill="1" applyBorder="1" applyAlignment="1">
      <x:alignment horizontal="center" vertical="top" wrapText="1"/>
    </x:xf>
    <x:xf numFmtId="0" fontId="4" fillId="3" borderId="16" xfId="0" applyNumberFormat="1" applyFont="1" applyFill="1" applyBorder="1" applyAlignment="1">
      <x:alignment horizontal="center" vertical="top" wrapText="1"/>
    </x:xf>
    <x:xf numFmtId="0" fontId="5" fillId="3" borderId="6" xfId="0" applyNumberFormat="1" applyFont="1" applyFill="1" applyBorder="1" applyAlignment="1">
      <x:alignment horizontal="center" vertical="top" wrapText="1"/>
    </x:xf>
    <x:xf numFmtId="0" fontId="5" fillId="3" borderId="20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horizontal="center" vertical="top" wrapText="1"/>
    </x:xf>
    <x:xf numFmtId="0" fontId="5" fillId="3" borderId="21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horizontal="center" vertical="top" wrapText="1"/>
    </x:xf>
    <x:xf numFmtId="0" fontId="5" fillId="3" borderId="22" xfId="0" applyNumberFormat="1" applyFont="1" applyFill="1" applyBorder="1" applyAlignment="1">
      <x:alignment vertical="top" wrapText="1"/>
    </x:xf>
    <x:xf numFmtId="0" fontId="5" fillId="3" borderId="14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6" xfId="0" applyNumberFormat="1" applyFont="1" applyFill="1" applyBorder="1" applyAlignment="1">
      <x:alignment horizontal="center" vertical="top" wrapText="1"/>
    </x:xf>
    <x:xf numFmtId="0" fontId="5" fillId="3" borderId="2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6" xfId="0" applyNumberFormat="1" applyFont="1" applyFill="1" applyBorder="1"/>
    <x:xf numFmtId="0" fontId="4" fillId="6" borderId="20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21" xfId="0" applyNumberFormat="1" applyFont="1" applyFill="1" applyBorder="1"/>
    <x:xf numFmtId="0" fontId="4" fillId="6" borderId="11" xfId="0" applyNumberFormat="1" applyFont="1" applyFill="1" applyBorder="1"/>
    <x:xf numFmtId="0" fontId="4" fillId="6" borderId="6" xfId="0" applyNumberFormat="1" applyFont="1" applyFill="1" applyBorder="1" applyAlignment="1">
      <x:alignment wrapText="1"/>
    </x:xf>
    <x:xf numFmtId="0" fontId="4" fillId="6" borderId="20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21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20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2" xfId="0" applyNumberFormat="1" applyFont="1" applyFill="1" applyBorder="1"/>
    <x:xf numFmtId="0" fontId="4" fillId="6" borderId="2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23" xfId="0" applyNumberFormat="1" applyFont="1" applyFill="1" applyBorder="1"/>
    <x:xf numFmtId="0" fontId="4" fillId="6" borderId="17" xfId="0" applyNumberFormat="1" applyFont="1" applyFill="1" applyBorder="1"/>
    <x:xf numFmtId="0" fontId="4" fillId="6" borderId="12" xfId="0" applyNumberFormat="1" applyFont="1" applyFill="1" applyBorder="1" applyAlignment="1">
      <x:alignment wrapText="1"/>
    </x:xf>
    <x:xf numFmtId="0" fontId="4" fillId="6" borderId="2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23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23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200" fontId="4" fillId="3" borderId="2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200" fontId="4" fillId="3" borderId="21" xfId="0" applyNumberFormat="1" applyFont="1" applyFill="1" applyBorder="1" applyAlignment="1">
      <x:alignment vertical="top" wrapText="1"/>
    </x:xf>
    <x:xf numFmtId="200" fontId="4" fillId="3" borderId="22" xfId="0" applyNumberFormat="1" applyFont="1" applyFill="1" applyBorder="1" applyAlignment="1">
      <x:alignment vertical="top" wrapText="1"/>
    </x:xf>
    <x:xf numFmtId="200" fontId="4" fillId="3" borderId="1" xfId="0" applyNumberFormat="1" applyFont="1" applyFill="1" applyBorder="1" applyAlignment="1">
      <x:alignment vertical="top" wrapText="1"/>
    </x:xf>
    <x:xf numFmtId="200" fontId="4" fillId="3" borderId="23" xfId="0" applyNumberFormat="1" applyFont="1" applyFill="1" applyBorder="1" applyAlignment="1">
      <x:alignment vertical="top" wrapText="1"/>
    </x:xf>
    <x:xf numFmtId="201" fontId="4" fillId="3" borderId="20" xfId="0" applyNumberFormat="1" applyFont="1" applyFill="1" applyBorder="1" applyAlignment="1">
      <x:alignment vertical="top" wrapText="1"/>
    </x:xf>
    <x:xf numFmtId="201" fontId="4" fillId="3" borderId="0" xfId="0" applyNumberFormat="1" applyFont="1" applyFill="1" applyBorder="1" applyAlignment="1">
      <x:alignment vertical="top" wrapText="1"/>
    </x:xf>
    <x:xf numFmtId="201" fontId="4" fillId="3" borderId="21" xfId="0" applyNumberFormat="1" applyFont="1" applyFill="1" applyBorder="1" applyAlignment="1">
      <x:alignment vertical="top" wrapText="1"/>
    </x:xf>
    <x:xf numFmtId="201" fontId="4" fillId="3" borderId="22" xfId="0" applyNumberFormat="1" applyFont="1" applyFill="1" applyBorder="1" applyAlignment="1">
      <x:alignment vertical="top" wrapText="1"/>
    </x:xf>
    <x:xf numFmtId="201" fontId="4" fillId="3" borderId="1" xfId="0" applyNumberFormat="1" applyFont="1" applyFill="1" applyBorder="1" applyAlignment="1">
      <x:alignment vertical="top" wrapText="1"/>
    </x:xf>
    <x:xf numFmtId="201" fontId="4" fillId="3" borderId="23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horizontal="center" vertical="top" wrapText="1"/>
    </x:xf>
    <x:xf numFmtId="0" fontId="4" fillId="3" borderId="20" xfId="0" applyNumberFormat="1" applyFont="1" applyFill="1" applyBorder="1" applyAlignment="1">
      <x:alignment horizontal="center" vertical="top" wrapText="1"/>
    </x:xf>
    <x:xf numFmtId="0" fontId="4" fillId="3" borderId="7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9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3" borderId="21" xfId="0" applyNumberFormat="1" applyFont="1" applyFill="1" applyBorder="1" applyAlignment="1">
      <x:alignment horizontal="center" vertical="top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4" fillId="4" borderId="22" xfId="0" applyNumberFormat="1" applyFont="1" applyFill="1" applyBorder="1" applyAlignment="1">
      <x:alignment horizontal="center" vertical="top" wrapText="1"/>
    </x:xf>
    <x:xf numFmtId="0" fontId="4" fillId="3" borderId="22" xfId="0" applyNumberFormat="1" applyFont="1" applyFill="1" applyBorder="1" applyAlignment="1">
      <x:alignment horizontal="center" vertical="top" wrapText="1"/>
    </x:xf>
    <x:xf numFmtId="0" fontId="4" fillId="3" borderId="13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4" fillId="3" borderId="15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3" borderId="23" xfId="0" applyNumberFormat="1" applyFont="1" applyFill="1" applyBorder="1" applyAlignment="1">
      <x:alignment horizontal="center" vertical="top" wrapText="1"/>
    </x:xf>
    <x:xf numFmtId="0" fontId="4" fillId="6" borderId="17" xfId="0" applyNumberFormat="1" applyFont="1" applyFill="1" applyBorder="1" applyAlignment="1">
      <x:alignment horizontal="center" vertical="top" wrapText="1"/>
    </x:xf>
    <x:xf numFmtId="0" fontId="5" fillId="4" borderId="20" xfId="0" applyNumberFormat="1" applyFont="1" applyFill="1" applyBorder="1" applyAlignment="1">
      <x:alignment horizontal="center" vertical="top" wrapText="1"/>
    </x:xf>
    <x:xf numFmtId="0" fontId="5" fillId="3" borderId="20" xfId="0" applyNumberFormat="1" applyFont="1" applyFill="1" applyBorder="1" applyAlignment="1">
      <x:alignment horizontal="center" vertical="top" wrapText="1"/>
    </x:xf>
    <x:xf numFmtId="0" fontId="5" fillId="3" borderId="7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9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3" borderId="21" xfId="0" applyNumberFormat="1" applyFont="1" applyFill="1" applyBorder="1" applyAlignment="1">
      <x:alignment horizontal="center" vertical="top" wrapText="1"/>
    </x:xf>
    <x:xf numFmtId="0" fontId="5" fillId="6" borderId="11" xfId="0" applyNumberFormat="1" applyFont="1" applyFill="1" applyBorder="1" applyAlignment="1">
      <x:alignment horizontal="center" vertical="top" wrapText="1"/>
    </x:xf>
    <x:xf numFmtId="0" fontId="5" fillId="4" borderId="22" xfId="0" applyNumberFormat="1" applyFont="1" applyFill="1" applyBorder="1" applyAlignment="1">
      <x:alignment horizontal="center" vertical="top" wrapText="1"/>
    </x:xf>
    <x:xf numFmtId="0" fontId="5" fillId="3" borderId="22" xfId="0" applyNumberFormat="1" applyFont="1" applyFill="1" applyBorder="1" applyAlignment="1">
      <x:alignment horizontal="center" vertical="top" wrapText="1"/>
    </x:xf>
    <x:xf numFmtId="0" fontId="5" fillId="3" borderId="13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5" fillId="3" borderId="15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5" fillId="3" borderId="23" xfId="0" applyNumberFormat="1" applyFont="1" applyFill="1" applyBorder="1" applyAlignment="1">
      <x:alignment horizontal="center" vertical="top" wrapText="1"/>
    </x:xf>
    <x:xf numFmtId="0" fontId="5" fillId="6" borderId="17" xfId="0" applyNumberFormat="1" applyFont="1" applyFill="1" applyBorder="1" applyAlignment="1">
      <x:alignment horizontal="center" vertical="top" wrapText="1"/>
    </x:xf>
    <x:xf numFmtId="0" fontId="8" fillId="3" borderId="6" xfId="0" applyNumberFormat="1" applyFont="1" applyFill="1" applyBorder="1" applyAlignment="1">
      <x:alignment horizontal="center" vertical="top" wrapText="1"/>
    </x:xf>
    <x:xf numFmtId="0" fontId="8" fillId="3" borderId="20" xfId="0" applyNumberFormat="1" applyFont="1" applyFill="1" applyBorder="1" applyAlignment="1">
      <x:alignment vertical="top" wrapText="1"/>
    </x:xf>
    <x:xf numFmtId="0" fontId="8" fillId="3" borderId="24" xfId="0" applyNumberFormat="1" applyFont="1" applyFill="1" applyBorder="1" applyAlignment="1">
      <x:alignment horizontal="center" vertical="top" wrapText="1"/>
    </x:xf>
    <x:xf numFmtId="0" fontId="8" fillId="3" borderId="25" xfId="0" applyNumberFormat="1" applyFont="1" applyFill="1" applyBorder="1" applyAlignment="1">
      <x:alignment vertical="top" wrapText="1"/>
    </x:xf>
    <x:xf numFmtId="0" fontId="4" fillId="3" borderId="25" xfId="0" applyNumberFormat="1" applyFont="1" applyFill="1" applyBorder="1" applyAlignment="1">
      <x:alignment vertical="top" wrapText="1"/>
    </x:xf>
    <x:xf numFmtId="0" fontId="4" fillId="3" borderId="26" xfId="0" applyNumberFormat="1" applyFont="1" applyFill="1" applyBorder="1" applyAlignment="1">
      <x:alignment vertical="top" wrapText="1"/>
    </x:xf>
    <x:xf numFmtId="0" fontId="8" fillId="3" borderId="12" xfId="0" applyNumberFormat="1" applyFont="1" applyFill="1" applyBorder="1" applyAlignment="1">
      <x:alignment horizontal="center" vertical="top" wrapText="1"/>
    </x:xf>
    <x:xf numFmtId="0" fontId="8" fillId="3" borderId="22" xfId="0" applyNumberFormat="1" applyFont="1" applyFill="1" applyBorder="1" applyAlignment="1">
      <x:alignment vertical="top" wrapText="1"/>
    </x:xf>
    <x:xf numFmtId="0" fontId="8" fillId="3" borderId="27" xfId="0" applyNumberFormat="1" applyFont="1" applyFill="1" applyBorder="1" applyAlignment="1">
      <x:alignment horizontal="center" vertical="top" wrapText="1"/>
    </x:xf>
    <x:xf numFmtId="0" fontId="8" fillId="3" borderId="28" xfId="0" applyNumberFormat="1" applyFont="1" applyFill="1" applyBorder="1" applyAlignment="1">
      <x:alignment vertical="top" wrapText="1"/>
    </x:xf>
    <x:xf numFmtId="0" fontId="4" fillId="3" borderId="28" xfId="0" applyNumberFormat="1" applyFont="1" applyFill="1" applyBorder="1" applyAlignment="1">
      <x:alignment vertical="top" wrapText="1"/>
    </x:xf>
    <x:xf numFmtId="0" fontId="4" fillId="3" borderId="29" xfId="0" applyNumberFormat="1" applyFont="1" applyFill="1" applyBorder="1" applyAlignment="1">
      <x:alignment vertical="top" wrapText="1"/>
    </x:xf>
    <x:xf numFmtId="0" fontId="5" fillId="3" borderId="24" xfId="0" applyNumberFormat="1" applyFont="1" applyFill="1" applyBorder="1" applyAlignment="1">
      <x:alignment horizontal="center" vertical="top" wrapText="1"/>
    </x:xf>
    <x:xf numFmtId="0" fontId="5" fillId="3" borderId="25" xfId="0" applyNumberFormat="1" applyFont="1" applyFill="1" applyBorder="1" applyAlignment="1">
      <x:alignment vertical="top" wrapText="1"/>
    </x:xf>
    <x:xf numFmtId="0" fontId="5" fillId="3" borderId="27" xfId="0" applyNumberFormat="1" applyFont="1" applyFill="1" applyBorder="1" applyAlignment="1">
      <x:alignment horizontal="center" vertical="top" wrapText="1"/>
    </x:xf>
    <x:xf numFmtId="0" fontId="5" fillId="3" borderId="28" xfId="0" applyNumberFormat="1" applyFont="1" applyFill="1" applyBorder="1" applyAlignment="1">
      <x:alignment vertical="top" wrapText="1"/>
    </x:xf>
    <x:xf numFmtId="0" fontId="8" fillId="3" borderId="8" xfId="0" applyNumberFormat="1" applyFont="1" applyFill="1" applyBorder="1" applyAlignment="1">
      <x:alignment horizontal="center"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3" borderId="14" xfId="0" applyNumberFormat="1" applyFont="1" applyFill="1" applyBorder="1" applyAlignment="1">
      <x:alignment horizontal="center"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8" fillId="3" borderId="10" xfId="0" applyNumberFormat="1" applyFont="1" applyFill="1" applyBorder="1" applyAlignment="1">
      <x:alignment horizontal="center" vertical="top" wrapText="1"/>
    </x:xf>
    <x:xf numFmtId="0" fontId="8" fillId="3" borderId="21" xfId="0" applyNumberFormat="1" applyFont="1" applyFill="1" applyBorder="1" applyAlignment="1">
      <x:alignment vertical="top" wrapText="1"/>
    </x:xf>
    <x:xf numFmtId="0" fontId="8" fillId="3" borderId="16" xfId="0" applyNumberFormat="1" applyFont="1" applyFill="1" applyBorder="1" applyAlignment="1">
      <x:alignment horizontal="center" vertical="top" wrapText="1"/>
    </x:xf>
    <x:xf numFmtId="0" fontId="8" fillId="3" borderId="2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8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left"/>
    </x:xf>
    <x:xf numFmtId="0" fontId="2" fillId="9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/>
    <x:xf numFmtId="0" fontId="3" fillId="10" borderId="2" xfId="0" applyNumberFormat="1" applyFont="1" applyFill="1" applyBorder="1" applyAlignment="1">
      <x:alignment horizontal="center" vertical="center" wrapText="1"/>
    </x:xf>
    <x:xf numFmtId="0" fontId="3" fillId="10" borderId="18" xfId="0" applyNumberFormat="1" applyFont="1" applyFill="1" applyBorder="1" applyAlignment="1">
      <x:alignment horizontal="center" vertical="center" wrapText="1"/>
    </x:xf>
    <x:xf numFmtId="0" fontId="3" fillId="10" borderId="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1" fillId="10" borderId="2" xfId="0" applyNumberFormat="1" applyFont="1" applyFill="1" applyBorder="1" applyAlignment="1">
      <x:alignment horizontal="center" vertical="center" wrapText="1"/>
    </x:xf>
    <x:xf numFmtId="0" fontId="11" fillId="10" borderId="18" xfId="0" applyNumberFormat="1" applyFont="1" applyFill="1" applyBorder="1" applyAlignment="1">
      <x:alignment horizontal="center" vertical="center" wrapText="1"/>
    </x:xf>
    <x:xf numFmtId="0" fontId="11" fillId="10" borderId="3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/>
    <x:xf numFmtId="0" fontId="11" fillId="10" borderId="30" xfId="0" applyNumberFormat="1" applyFont="1" applyFill="1" applyBorder="1" applyAlignment="1">
      <x:alignment horizontal="center" vertical="center" wrapText="1"/>
    </x:xf>
    <x:xf numFmtId="0" fontId="11" fillId="10" borderId="31" xfId="0" applyNumberFormat="1" applyFont="1" applyFill="1" applyBorder="1" applyAlignment="1">
      <x:alignment horizontal="center" vertical="center" wrapText="1"/>
    </x:xf>
    <x:xf numFmtId="0" fontId="11" fillId="10" borderId="32" xfId="0" applyNumberFormat="1" applyFont="1" applyFill="1" applyBorder="1" applyAlignment="1">
      <x:alignment horizontal="center" vertical="center" wrapText="1"/>
    </x:xf>
    <x:xf numFmtId="0" fontId="12" fillId="10" borderId="31" xfId="0" applyNumberFormat="1" applyFont="1" applyFill="1" applyBorder="1"/>
    <x:xf numFmtId="0" fontId="12" fillId="10" borderId="33" xfId="0" applyNumberFormat="1" applyFont="1" applyFill="1" applyBorder="1"/>
    <x:xf numFmtId="0" fontId="12" fillId="10" borderId="31" xfId="0" applyNumberFormat="1" applyFont="1" applyFill="1" applyBorder="1" applyAlignment="1">
      <x:alignment wrapText="1"/>
    </x:xf>
    <x:xf numFmtId="0" fontId="12" fillId="10" borderId="33" xfId="0" applyNumberFormat="1" applyFont="1" applyFill="1" applyBorder="1" applyAlignment="1">
      <x:alignment wrapText="1"/>
    </x:xf>
    <x:xf numFmtId="0" fontId="12" fillId="10" borderId="31" xfId="0" applyNumberFormat="1" applyFont="1" applyFill="1" applyBorder="1" applyAlignment="1">
      <x:alignment horizontal="center" wrapText="1"/>
    </x:xf>
    <x:xf numFmtId="0" fontId="12" fillId="10" borderId="33" xfId="0" applyNumberFormat="1" applyFont="1" applyFill="1" applyBorder="1" applyAlignment="1">
      <x:alignment horizontal="center" wrapText="1"/>
    </x:xf>
    <x:xf numFmtId="0" fontId="12" fillId="10" borderId="31" xfId="0" applyNumberFormat="1" applyFont="1" applyFill="1" applyBorder="1" applyAlignment="1">
      <x:alignment horizontal="center" vertical="center" wrapText="1"/>
    </x:xf>
    <x:xf numFmtId="0" fontId="12" fillId="10" borderId="33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4" fillId="11" borderId="6" xfId="0" applyNumberFormat="1" applyFont="1" applyFill="1" applyBorder="1" applyAlignment="1">
      <x:alignment vertical="top" wrapText="1"/>
    </x:xf>
    <x:xf numFmtId="0" fontId="4" fillId="11" borderId="20" xfId="0" applyNumberFormat="1" applyFont="1" applyFill="1" applyBorder="1" applyAlignment="1">
      <x:alignment vertical="top" wrapText="1"/>
    </x:xf>
    <x:xf numFmtId="0" fontId="4" fillId="11" borderId="7" xfId="0" applyNumberFormat="1" applyFont="1" applyFill="1" applyBorder="1" applyAlignment="1">
      <x:alignment vertical="top" wrapText="1"/>
    </x:xf>
    <x:xf numFmtId="200" fontId="0" fillId="11" borderId="0" xfId="0" applyNumberFormat="1" applyFont="1" applyFill="1" applyBorder="1"/>
    <x:xf numFmtId="0" fontId="0" fillId="11" borderId="0" xfId="0" applyNumberFormat="1" applyFont="1" applyFill="1" applyBorder="1"/>
    <x:xf numFmtId="0" fontId="4" fillId="11" borderId="8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9" xfId="0" applyNumberFormat="1" applyFont="1" applyFill="1" applyBorder="1" applyAlignment="1">
      <x:alignment vertical="top" wrapText="1"/>
    </x:xf>
    <x:xf numFmtId="0" fontId="4" fillId="11" borderId="10" xfId="0" applyNumberFormat="1" applyFont="1" applyFill="1" applyBorder="1" applyAlignment="1">
      <x:alignment vertical="top" wrapText="1"/>
    </x:xf>
    <x:xf numFmtId="0" fontId="4" fillId="11" borderId="21" xfId="0" applyNumberFormat="1" applyFont="1" applyFill="1" applyBorder="1" applyAlignment="1">
      <x:alignment vertical="top" wrapText="1"/>
    </x:xf>
    <x:xf numFmtId="0" fontId="4" fillId="11" borderId="11" xfId="0" applyNumberFormat="1" applyFont="1" applyFill="1" applyBorder="1" applyAlignment="1">
      <x:alignment vertical="top" wrapText="1"/>
    </x:xf>
    <x:xf numFmtId="0" fontId="13" fillId="11" borderId="6" xfId="0" applyNumberFormat="1" applyFont="1" applyFill="1" applyBorder="1" applyAlignment="1">
      <x:alignment vertical="top" wrapText="1"/>
    </x:xf>
    <x:xf numFmtId="0" fontId="13" fillId="11" borderId="20" xfId="0" applyNumberFormat="1" applyFont="1" applyFill="1" applyBorder="1" applyAlignment="1">
      <x:alignment vertical="top" wrapText="1"/>
    </x:xf>
    <x:xf numFmtId="0" fontId="13" fillId="11" borderId="7" xfId="0" applyNumberFormat="1" applyFont="1" applyFill="1" applyBorder="1" applyAlignment="1">
      <x:alignment vertical="top" wrapText="1"/>
    </x:xf>
    <x:xf numFmtId="200" fontId="13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8" xfId="0" applyNumberFormat="1" applyFont="1" applyFill="1" applyBorder="1" applyAlignment="1">
      <x:alignment vertical="top" wrapText="1"/>
    </x:xf>
    <x:xf numFmtId="0" fontId="13" fillId="11" borderId="0" xfId="0" applyNumberFormat="1" applyFont="1" applyFill="1" applyBorder="1" applyAlignment="1">
      <x:alignment vertical="top" wrapText="1"/>
    </x:xf>
    <x:xf numFmtId="0" fontId="13" fillId="11" borderId="9" xfId="0" applyNumberFormat="1" applyFont="1" applyFill="1" applyBorder="1" applyAlignment="1">
      <x:alignment vertical="top" wrapText="1"/>
    </x:xf>
    <x:xf numFmtId="0" fontId="13" fillId="11" borderId="10" xfId="0" applyNumberFormat="1" applyFont="1" applyFill="1" applyBorder="1" applyAlignment="1">
      <x:alignment vertical="top" wrapText="1"/>
    </x:xf>
    <x:xf numFmtId="0" fontId="13" fillId="11" borderId="21" xfId="0" applyNumberFormat="1" applyFont="1" applyFill="1" applyBorder="1" applyAlignment="1">
      <x:alignment vertical="top" wrapText="1"/>
    </x:xf>
    <x:xf numFmtId="0" fontId="13" fillId="11" borderId="11" xfId="0" applyNumberFormat="1" applyFont="1" applyFill="1" applyBorder="1" applyAlignment="1">
      <x:alignment vertical="top" wrapText="1"/>
    </x:xf>
    <x:xf numFmtId="0" fontId="13" fillId="11" borderId="34" xfId="0" applyNumberFormat="1" applyFont="1" applyFill="1" applyBorder="1" applyAlignment="1">
      <x:alignment vertical="top" wrapText="1"/>
    </x:xf>
    <x:xf numFmtId="200" fontId="13" fillId="11" borderId="20" xfId="0" applyNumberFormat="1" applyFont="1" applyFill="1" applyBorder="1"/>
    <x:xf numFmtId="0" fontId="13" fillId="11" borderId="35" xfId="0" applyNumberFormat="1" applyFont="1" applyFill="1" applyBorder="1"/>
    <x:xf numFmtId="0" fontId="13" fillId="11" borderId="36" xfId="0" applyNumberFormat="1" applyFont="1" applyFill="1" applyBorder="1" applyAlignment="1">
      <x:alignment vertical="top" wrapText="1"/>
    </x:xf>
    <x:xf numFmtId="0" fontId="13" fillId="11" xfId="0" applyNumberFormat="1" applyFont="1" applyFill="1" applyBorder="0" applyAlignment="1">
      <x:alignment vertical="top" wrapText="1"/>
    </x:xf>
    <x:xf numFmtId="200" fontId="13" fillId="11" xfId="0" applyNumberFormat="1" applyFont="1" applyFill="1" applyBorder="0"/>
    <x:xf numFmtId="0" fontId="13" fillId="11" borderId="37" xfId="0" applyNumberFormat="1" applyFont="1" applyFill="1" applyBorder="1"/>
    <x:xf numFmtId="0" fontId="13" fillId="11" borderId="38" xfId="0" applyNumberFormat="1" applyFont="1" applyFill="1" applyBorder="1" applyAlignment="1">
      <x:alignment vertical="top" wrapText="1"/>
    </x:xf>
    <x:xf numFmtId="0" fontId="13" fillId="11" borderId="39" xfId="0" applyNumberFormat="1" applyFont="1" applyFill="1" applyBorder="1" applyAlignment="1">
      <x:alignment vertical="top" wrapText="1"/>
    </x:xf>
    <x:xf numFmtId="0" fontId="13" fillId="11" borderId="40" xfId="0" applyNumberFormat="1" applyFont="1" applyFill="1" applyBorder="1" applyAlignment="1">
      <x:alignment vertical="top" wrapText="1"/>
    </x:xf>
    <x:xf numFmtId="200" fontId="13" fillId="11" borderId="39" xfId="0" applyNumberFormat="1" applyFont="1" applyFill="1" applyBorder="1"/>
    <x:xf numFmtId="0" fontId="13" fillId="11" borderId="41" xfId="0" applyNumberFormat="1" applyFont="1" applyFill="1" applyBorder="1"/>
    <x:xf numFmtId="200" fontId="13" fillId="11" borderId="20" xfId="0" applyNumberFormat="1" applyFont="1" applyFill="1" applyBorder="1" applyAlignment="1">
      <x:alignment wrapText="1"/>
    </x:xf>
    <x:xf numFmtId="0" fontId="13" fillId="11" borderId="35" xfId="0" applyNumberFormat="1" applyFont="1" applyFill="1" applyBorder="1" applyAlignment="1">
      <x:alignment wrapText="1"/>
    </x:xf>
    <x:xf numFmtId="200" fontId="13" fillId="11" xfId="0" applyNumberFormat="1" applyFont="1" applyFill="1" applyBorder="0" applyAlignment="1">
      <x:alignment wrapText="1"/>
    </x:xf>
    <x:xf numFmtId="0" fontId="13" fillId="11" borderId="37" xfId="0" applyNumberFormat="1" applyFont="1" applyFill="1" applyBorder="1" applyAlignment="1">
      <x:alignment wrapText="1"/>
    </x:xf>
    <x:xf numFmtId="200" fontId="13" fillId="11" borderId="39" xfId="0" applyNumberFormat="1" applyFont="1" applyFill="1" applyBorder="1" applyAlignment="1">
      <x:alignment wrapText="1"/>
    </x:xf>
    <x:xf numFmtId="0" fontId="13" fillId="11" borderId="41" xfId="0" applyNumberFormat="1" applyFont="1" applyFill="1" applyBorder="1" applyAlignment="1">
      <x:alignment wrapText="1"/>
    </x:xf>
    <x:xf numFmtId="200" fontId="13" fillId="11" borderId="20" xfId="0" applyNumberFormat="1" applyFont="1" applyFill="1" applyBorder="1" applyAlignment="1">
      <x:alignment vertical="top" wrapText="1"/>
    </x:xf>
    <x:xf numFmtId="0" fontId="13" fillId="11" borderId="35" xfId="0" applyNumberFormat="1" applyFont="1" applyFill="1" applyBorder="1" applyAlignment="1">
      <x:alignment vertical="top" wrapText="1"/>
    </x:xf>
    <x:xf numFmtId="200" fontId="13" fillId="11" xfId="0" applyNumberFormat="1" applyFont="1" applyFill="1" applyBorder="0" applyAlignment="1">
      <x:alignment vertical="top" wrapText="1"/>
    </x:xf>
    <x:xf numFmtId="0" fontId="13" fillId="11" borderId="37" xfId="0" applyNumberFormat="1" applyFont="1" applyFill="1" applyBorder="1" applyAlignment="1">
      <x:alignment vertical="top" wrapText="1"/>
    </x:xf>
    <x:xf numFmtId="200" fontId="13" fillId="11" borderId="39" xfId="0" applyNumberFormat="1" applyFont="1" applyFill="1" applyBorder="1" applyAlignment="1">
      <x:alignment vertical="top" wrapText="1"/>
    </x:xf>
    <x:xf numFmtId="0" fontId="13" fillId="11" borderId="41" xfId="0" applyNumberFormat="1" applyFont="1" applyFill="1" applyBorder="1" applyAlignment="1">
      <x:alignment vertical="top" wrapText="1"/>
    </x:xf>
    <x:xf numFmtId="200" fontId="13" fillId="11" borderId="0" xfId="0" applyNumberFormat="1" applyFont="1" applyFill="1" applyBorder="1" applyAlignment="1">
      <x:alignment wrapText="1"/>
    </x:xf>
    <x:xf numFmtId="200" fontId="13" fillId="11" borderId="0" xfId="0" applyNumberFormat="1" applyFont="1" applyFill="1" applyBorder="1" applyAlignment="1">
      <x:alignment vertical="top" wrapText="1"/>
    </x:xf>
    <x:xf numFmtId="0" fontId="13" fillId="12" borderId="36" xfId="0" applyNumberFormat="1" applyFont="1" applyFill="1" applyBorder="1" applyAlignment="1">
      <x:alignment vertical="top" wrapText="1"/>
    </x:xf>
    <x:xf numFmtId="0" fontId="13" fillId="12" xfId="0" applyNumberFormat="1" applyFont="1" applyFill="1" applyBorder="0" applyAlignment="1">
      <x:alignment vertical="top" wrapText="1"/>
    </x:xf>
    <x:xf numFmtId="0" fontId="13" fillId="12" borderId="9" xfId="0" applyNumberFormat="1" applyFont="1" applyFill="1" applyBorder="1" applyAlignment="1">
      <x:alignment vertical="top" wrapText="1"/>
    </x:xf>
    <x:xf numFmtId="200" fontId="13" fillId="12" xfId="0" applyNumberFormat="1" applyFont="1" applyFill="1" applyBorder="0" applyAlignment="1">
      <x:alignment vertical="top" wrapText="1"/>
    </x:xf>
    <x:xf numFmtId="0" fontId="13" fillId="12" borderId="37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Border="1" applyAlignment="1">
      <x:alignment vertical="top" wrapText="1"/>
    </x:xf>
    <x:xf numFmtId="0" fontId="13" fillId="9" borderId="7" xfId="0" applyNumberFormat="1" applyFont="1" applyFill="1" applyBorder="1" applyAlignment="1">
      <x:alignment vertical="top" wrapText="1"/>
    </x:xf>
    <x:xf numFmtId="200" fontId="13" fillId="9" borderId="20" xfId="0" applyNumberFormat="1" applyFont="1" applyFill="1" applyBorder="1" applyAlignment="1">
      <x:alignment vertical="top" wrapText="1"/>
    </x:xf>
    <x:xf numFmtId="0" fontId="13" fillId="9" borderId="35" xfId="0" applyNumberFormat="1" applyFont="1" applyFill="1" applyBorder="1" applyAlignment="1">
      <x:alignment vertical="top" wrapText="1"/>
    </x:xf>
    <x:xf numFmtId="0" fontId="13" fillId="9" borderId="9" xfId="0" applyNumberFormat="1" applyFont="1" applyFill="1" applyBorder="1" applyAlignment="1">
      <x:alignment vertical="top" wrapText="1"/>
    </x:xf>
    <x:xf numFmtId="200" fontId="13" fillId="9" xfId="0" applyNumberFormat="1" applyFont="1" applyFill="1" applyBorder="0" applyAlignment="1">
      <x:alignment vertical="top" wrapText="1"/>
    </x:xf>
    <x:xf numFmtId="0" fontId="13" fillId="9" borderId="37" xfId="0" applyNumberFormat="1" applyFont="1" applyFill="1" applyBorder="1" applyAlignment="1">
      <x:alignment vertical="top" wrapText="1"/>
    </x:xf>
    <x:xf numFmtId="0" fontId="13" fillId="9" borderId="40" xfId="0" applyNumberFormat="1" applyFont="1" applyFill="1" applyBorder="1" applyAlignment="1">
      <x:alignment vertical="top" wrapText="1"/>
    </x:xf>
    <x:xf numFmtId="200" fontId="13" fillId="9" borderId="39" xfId="0" applyNumberFormat="1" applyFont="1" applyFill="1" applyBorder="1" applyAlignment="1">
      <x:alignment vertical="top" wrapText="1"/>
    </x:xf>
    <x:xf numFmtId="0" fontId="13" fillId="9" borderId="41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 applyAlignment="1">
      <x:alignment vertical="top" wrapText="1"/>
    </x:xf>
    <x:xf numFmtId="200" fontId="13" fillId="9" borderId="0" xfId="0" applyNumberFormat="1" applyFont="1" applyFill="1" applyBorder="1" applyAlignment="1">
      <x:alignment vertical="top" wrapText="1"/>
    </x:xf>
    <x:xf numFmtId="0" fontId="13" fillId="9" borderId="39" xfId="0" applyNumberFormat="1" applyFont="1" applyFill="1" applyBorder="1" applyAlignment="1">
      <x:alignment vertical="top" wrapText="1"/>
    </x:xf>
    <x:xf numFmtId="0" fontId="14" fillId="11" borderId="34" xfId="0" applyNumberFormat="1" applyFont="1" applyFill="1" applyBorder="1" applyAlignment="1">
      <x:alignment vertical="top" wrapText="1"/>
    </x:xf>
    <x:xf numFmtId="0" fontId="14" fillId="12" borderId="36" xfId="0" applyNumberFormat="1" applyFont="1" applyFill="1" applyBorder="1" applyAlignment="1">
      <x:alignment vertical="top" wrapText="1"/>
    </x:xf>
    <x:xf numFmtId="0" fontId="14" fillId="11" borderId="36" xfId="0" applyNumberFormat="1" applyFont="1" applyFill="1" applyBorder="1" applyAlignment="1">
      <x:alignment vertical="top" wrapText="1"/>
    </x:xf>
    <x:xf numFmtId="0" fontId="14" fillId="11" borderId="38" xfId="0" applyNumberFormat="1" applyFont="1" applyFill="1" applyBorder="1" applyAlignment="1">
      <x:alignment vertical="top" wrapText="1"/>
    </x:xf>
    <x:xf numFmtId="0" fontId="12" fillId="10" borderId="30" xfId="0" applyNumberFormat="1" applyFont="1" applyFill="1" applyBorder="1"/>
    <x:xf numFmtId="0" fontId="12" fillId="10" borderId="30" xfId="0" applyNumberFormat="1" applyFont="1" applyFill="1" applyBorder="1" applyAlignment="1">
      <x:alignment wrapText="1"/>
    </x:xf>
    <x:xf numFmtId="0" fontId="12" fillId="10" borderId="30" xfId="0" applyNumberFormat="1" applyFont="1" applyFill="1" applyBorder="1" applyAlignment="1">
      <x:alignment horizontal="center" wrapText="1"/>
    </x:xf>
    <x:xf numFmtId="0" fontId="12" fillId="10" borderId="3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200" fontId="0" fillId="13" borderId="0" xfId="0" applyNumberFormat="1" applyFont="1" applyFill="1" applyBorder="1"/>
    <x:xf numFmtId="0" fontId="13" fillId="13" borderId="0" xfId="0" applyNumberFormat="1" applyFont="1" applyFill="1" applyBorder="1"/>
    <x:xf numFmtId="200" fontId="13" fillId="13" borderId="0" xfId="0" applyNumberFormat="1" applyFont="1" applyFill="1" applyBorder="1"/>
    <x:xf numFmtId="0" fontId="13" fillId="13" borderId="42" xfId="0" applyNumberFormat="1" applyFont="1" applyFill="1" applyBorder="1"/>
    <x:xf numFmtId="0" fontId="13" fillId="13" xfId="0" applyNumberFormat="1" applyFont="1" applyFill="1" applyBorder="0"/>
    <x:xf numFmtId="200" fontId="13" fillId="13" xfId="0" applyNumberFormat="1" applyFont="1" applyFill="1" applyBorder="0"/>
    <x:xf numFmtId="0" fontId="13" fillId="13" borderId="43" xfId="0" applyNumberFormat="1" applyFont="1" applyFill="1" applyBorder="1"/>
    <x:xf numFmtId="0" fontId="13" fillId="13" borderId="44" xfId="0" applyNumberFormat="1" applyFont="1" applyFill="1" applyBorder="1"/>
    <x:xf numFmtId="0" fontId="13" fillId="13" borderId="45" xfId="0" applyNumberFormat="1" applyFont="1" applyFill="1" applyBorder="1"/>
    <x:xf numFmtId="200" fontId="13" fillId="13" borderId="45" xfId="0" applyNumberFormat="1" applyFont="1" applyFill="1" applyBorder="1"/>
    <x:xf numFmtId="0" fontId="13" fillId="13" borderId="46" xfId="0" applyNumberFormat="1" applyFont="1" applyFill="1" applyBorder="1"/>
    <x:xf numFmtId="0" fontId="13" fillId="13" borderId="42" xfId="0" applyNumberFormat="1" applyFont="1" applyFill="1" applyBorder="1" applyAlignment="1">
      <x:alignment wrapText="1"/>
    </x:xf>
    <x:xf numFmtId="0" fontId="13" fillId="13" xfId="0" applyNumberFormat="1" applyFont="1" applyFill="1" applyBorder="0" applyAlignment="1">
      <x:alignment wrapText="1"/>
    </x:xf>
    <x:xf numFmtId="200" fontId="13" fillId="13" xfId="0" applyNumberFormat="1" applyFont="1" applyFill="1" applyBorder="0" applyAlignment="1">
      <x:alignment wrapText="1"/>
    </x:xf>
    <x:xf numFmtId="0" fontId="13" fillId="13" borderId="43" xfId="0" applyNumberFormat="1" applyFont="1" applyFill="1" applyBorder="1" applyAlignment="1">
      <x:alignment wrapText="1"/>
    </x:xf>
    <x:xf numFmtId="0" fontId="13" fillId="13" borderId="44" xfId="0" applyNumberFormat="1" applyFont="1" applyFill="1" applyBorder="1" applyAlignment="1">
      <x:alignment wrapText="1"/>
    </x:xf>
    <x:xf numFmtId="0" fontId="13" fillId="13" borderId="45" xfId="0" applyNumberFormat="1" applyFont="1" applyFill="1" applyBorder="1" applyAlignment="1">
      <x:alignment wrapText="1"/>
    </x:xf>
    <x:xf numFmtId="200" fontId="13" fillId="13" borderId="45" xfId="0" applyNumberFormat="1" applyFont="1" applyFill="1" applyBorder="1" applyAlignment="1">
      <x:alignment wrapText="1"/>
    </x:xf>
    <x:xf numFmtId="0" fontId="13" fillId="13" borderId="46" xfId="0" applyNumberFormat="1" applyFont="1" applyFill="1" applyBorder="1" applyAlignment="1">
      <x:alignment wrapText="1"/>
    </x:xf>
    <x:xf numFmtId="0" fontId="13" fillId="13" borderId="42" xfId="0" applyNumberFormat="1" applyFont="1" applyFill="1" applyBorder="1" applyAlignment="1">
      <x:alignment vertical="top" wrapText="1"/>
    </x:xf>
    <x:xf numFmtId="0" fontId="13" fillId="13" xfId="0" applyNumberFormat="1" applyFont="1" applyFill="1" applyBorder="0" applyAlignment="1">
      <x:alignment vertical="top" wrapText="1"/>
    </x:xf>
    <x:xf numFmtId="200" fontId="13" fillId="13" xfId="0" applyNumberFormat="1" applyFont="1" applyFill="1" applyBorder="0" applyAlignment="1">
      <x:alignment vertical="top" wrapText="1"/>
    </x:xf>
    <x:xf numFmtId="0" fontId="13" fillId="13" borderId="43" xfId="0" applyNumberFormat="1" applyFont="1" applyFill="1" applyBorder="1" applyAlignment="1">
      <x:alignment vertical="top" wrapText="1"/>
    </x:xf>
    <x:xf numFmtId="0" fontId="13" fillId="13" borderId="44" xfId="0" applyNumberFormat="1" applyFont="1" applyFill="1" applyBorder="1" applyAlignment="1">
      <x:alignment vertical="top" wrapText="1"/>
    </x:xf>
    <x:xf numFmtId="0" fontId="13" fillId="13" borderId="45" xfId="0" applyNumberFormat="1" applyFont="1" applyFill="1" applyBorder="1" applyAlignment="1">
      <x:alignment vertical="top" wrapText="1"/>
    </x:xf>
    <x:xf numFmtId="200" fontId="13" fillId="13" borderId="45" xfId="0" applyNumberFormat="1" applyFont="1" applyFill="1" applyBorder="1" applyAlignment="1">
      <x:alignment vertical="top" wrapText="1"/>
    </x:xf>
    <x:xf numFmtId="0" fontId="13" fillId="13" borderId="46" xfId="0" applyNumberFormat="1" applyFont="1" applyFill="1" applyBorder="1" applyAlignment="1">
      <x:alignment vertical="top" wrapText="1"/>
    </x:xf>
    <x:xf numFmtId="0" fontId="13" fillId="14" borderId="42" xfId="0" applyNumberFormat="1" applyFont="1" applyFill="1" applyBorder="1" applyAlignment="1">
      <x:alignment vertical="top" wrapText="1"/>
    </x:xf>
    <x:xf numFmtId="0" fontId="13" fillId="14" xfId="0" applyNumberFormat="1" applyFont="1" applyFill="1" applyBorder="0" applyAlignment="1">
      <x:alignment vertical="top" wrapText="1"/>
    </x:xf>
    <x:xf numFmtId="200" fontId="13" fillId="14" xfId="0" applyNumberFormat="1" applyFont="1" applyFill="1" applyBorder="0" applyAlignment="1">
      <x:alignment vertical="top" wrapText="1"/>
    </x:xf>
    <x:xf numFmtId="0" fontId="13" fillId="14" borderId="43" xfId="0" applyNumberFormat="1" applyFont="1" applyFill="1" applyBorder="1" applyAlignment="1">
      <x:alignment vertical="top" wrapText="1"/>
    </x:xf>
    <x:xf numFmtId="0" fontId="3" fillId="14" borderId="42" xfId="0" applyNumberFormat="1" applyFont="1" applyFill="1" applyBorder="1" applyAlignment="1">
      <x:alignment vertical="top" wrapText="1"/>
    </x:xf>
    <x:xf numFmtId="0" fontId="3" fillId="14" xfId="0" applyNumberFormat="1" applyFont="1" applyFill="1" applyBorder="0" applyAlignment="1">
      <x:alignment vertical="top" wrapText="1"/>
    </x:xf>
    <x:xf numFmtId="200" fontId="3" fillId="14" xfId="0" applyNumberFormat="1" applyFont="1" applyFill="1" applyBorder="0" applyAlignment="1">
      <x:alignment vertical="top" wrapText="1"/>
    </x:xf>
    <x:xf numFmtId="0" fontId="3" fillId="14" borderId="43" xfId="0" applyNumberFormat="1" applyFont="1" applyFill="1" applyBorder="1" applyAlignment="1">
      <x:alignment vertical="top" wrapText="1"/>
    </x:xf>
    <x:xf numFmtId="0" fontId="3" fillId="14" borderId="47" xfId="0" applyNumberFormat="1" applyFont="1" applyFill="1" applyBorder="1" applyAlignment="1">
      <x:alignment vertical="top" wrapText="1"/>
    </x:xf>
    <x:xf numFmtId="0" fontId="3" fillId="14" borderId="31" xfId="0" applyNumberFormat="1" applyFont="1" applyFill="1" applyBorder="1" applyAlignment="1">
      <x:alignment vertical="top" wrapText="1"/>
    </x:xf>
    <x:xf numFmtId="200" fontId="3" fillId="14" borderId="31" xfId="0" applyNumberFormat="1" applyFont="1" applyFill="1" applyBorder="1" applyAlignment="1">
      <x:alignment vertical="top" wrapText="1"/>
    </x:xf>
    <x:xf numFmtId="0" fontId="3" fillId="14" borderId="48" xfId="0" applyNumberFormat="1" applyFont="1" applyFill="1" applyBorder="1" applyAlignment="1">
      <x:alignment vertical="top" wrapText="1"/>
    </x:xf>
    <x:xf numFmtId="0" fontId="3" fillId="14" borderId="47" xfId="0" applyNumberFormat="1" applyFont="1" applyFill="1" applyBorder="1" applyAlignment="1">
      <x:alignment vertical="center" wrapText="1"/>
    </x:xf>
    <x:xf numFmtId="0" fontId="3" fillId="14" borderId="31" xfId="0" applyNumberFormat="1" applyFont="1" applyFill="1" applyBorder="1" applyAlignment="1">
      <x:alignment vertical="center" wrapText="1"/>
    </x:xf>
    <x:xf numFmtId="200" fontId="3" fillId="14" borderId="31" xfId="0" applyNumberFormat="1" applyFont="1" applyFill="1" applyBorder="1" applyAlignment="1">
      <x:alignment vertical="center" wrapText="1"/>
    </x:xf>
    <x:xf numFmtId="0" fontId="3" fillId="14" borderId="48" xfId="0" applyNumberFormat="1" applyFont="1" applyFill="1" applyBorder="1" applyAlignment="1">
      <x:alignment vertical="center" wrapText="1"/>
    </x:xf>
    <x:xf numFmtId="0" fontId="13" fillId="15" borderId="42" xfId="0" applyNumberFormat="1" applyFont="1" applyFill="1" applyBorder="1" applyAlignment="1">
      <x:alignment vertical="top" wrapText="1"/>
    </x:xf>
    <x:xf numFmtId="0" fontId="13" fillId="15" xfId="0" applyNumberFormat="1" applyFont="1" applyFill="1" applyBorder="0" applyAlignment="1">
      <x:alignment vertical="top" wrapText="1"/>
    </x:xf>
    <x:xf numFmtId="200" fontId="13" fillId="15" xfId="0" applyNumberFormat="1" applyFont="1" applyFill="1" applyBorder="0" applyAlignment="1">
      <x:alignment vertical="top" wrapText="1"/>
    </x:xf>
    <x:xf numFmtId="0" fontId="13" fillId="15" borderId="43" xfId="0" applyNumberFormat="1" applyFont="1" applyFill="1" applyBorder="1" applyAlignment="1">
      <x:alignment vertical="top" wrapText="1"/>
    </x:xf>
    <x:xf numFmtId="0" fontId="15" fillId="15" borderId="42" xfId="0" applyNumberFormat="1" applyFont="1" applyFill="1" applyBorder="1" applyAlignment="1">
      <x:alignment vertical="top" wrapText="1"/>
    </x:xf>
    <x:xf numFmtId="0" fontId="15" fillId="15" xfId="0" applyNumberFormat="1" applyFont="1" applyFill="1" applyBorder="0" applyAlignment="1">
      <x:alignment vertical="top" wrapText="1"/>
    </x:xf>
    <x:xf numFmtId="200" fontId="15" fillId="15" xfId="0" applyNumberFormat="1" applyFont="1" applyFill="1" applyBorder="0" applyAlignment="1">
      <x:alignment vertical="top" wrapText="1"/>
    </x:xf>
    <x:xf numFmtId="0" fontId="15" fillId="15" borderId="43" xfId="0" applyNumberFormat="1" applyFont="1" applyFill="1" applyBorder="1" applyAlignment="1">
      <x:alignment vertical="top" wrapText="1"/>
    </x:xf>
    <x:xf numFmtId="0" fontId="13" fillId="16" borderId="42" xfId="0" applyNumberFormat="1" applyFont="1" applyFill="1" applyBorder="1" applyAlignment="1">
      <x:alignment vertical="top" wrapText="1"/>
    </x:xf>
    <x:xf numFmtId="0" fontId="13" fillId="16" xfId="0" applyNumberFormat="1" applyFont="1" applyFill="1" applyBorder="0" applyAlignment="1">
      <x:alignment vertical="top" wrapText="1"/>
    </x:xf>
    <x:xf numFmtId="200" fontId="13" fillId="16" xfId="0" applyNumberFormat="1" applyFont="1" applyFill="1" applyBorder="0" applyAlignment="1">
      <x:alignment vertical="top" wrapText="1"/>
    </x:xf>
    <x:xf numFmtId="0" fontId="13" fillId="16" borderId="43" xfId="0" applyNumberFormat="1" applyFont="1" applyFill="1" applyBorder="1" applyAlignment="1">
      <x:alignment vertical="top" wrapText="1"/>
    </x:xf>
    <x:xf numFmtId="0" fontId="16" fillId="16" borderId="42" xfId="0" applyNumberFormat="1" applyFont="1" applyFill="1" applyBorder="1" applyAlignment="1">
      <x:alignment vertical="top" wrapText="1"/>
    </x:xf>
    <x:xf numFmtId="0" fontId="16" fillId="16" xfId="0" applyNumberFormat="1" applyFont="1" applyFill="1" applyBorder="0" applyAlignment="1">
      <x:alignment vertical="top" wrapText="1"/>
    </x:xf>
    <x:xf numFmtId="200" fontId="16" fillId="16" xfId="0" applyNumberFormat="1" applyFont="1" applyFill="1" applyBorder="0" applyAlignment="1">
      <x:alignment vertical="top" wrapText="1"/>
    </x:xf>
    <x:xf numFmtId="0" fontId="16" fillId="16" borderId="43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horizontal="left"/>
    </x:xf>
  </x:cellXfs>
  <x:cellStyles count="1">
    <x:cellStyle name="Normal" xfId="0"/>
  </x:cellStyles>
  <x:dxfs count="9">
    <x:dxf>
      <x:fill>
        <x:patternFill>
          <x:bgColor rgb="FFE2F0D9"/>
        </x:patternFill>
      </x:fill>
    </x:dxf>
    <x:dxf>
      <x:fill>
        <x:patternFill>
          <x:bgColor rgb="FFD9EAF7"/>
        </x:patternFill>
      </x:fill>
    </x:dxf>
    <x:dxf>
      <x:font>
        <x:b/>
        <x:color rgb="FF17365D"/>
      </x:font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  <x:color rgb="FF285B24"/>
      </x:font>
      <x:fill>
        <x:patternFill patternType="solid">
          <x:bgColor rgb="FFDDF2D8"/>
        </x:patternFill>
      </x:fill>
    </x:dxf>
    <x:dxf>
      <x:font>
        <x:b/>
        <x:color rgb="FF244A6B"/>
      </x:font>
      <x:fill>
        <x:patternFill patternType="solid">
          <x:bgColor rgb="FFE3EEF9"/>
        </x:patternFill>
      </x:fill>
    </x:dxf>
    <x:dxf>
      <x:font>
        <x:b/>
        <x:color rgb="FF6E4A00"/>
      </x:font>
      <x:fill>
        <x:patternFill patternType="solid">
          <x:bgColor rgb="FFFFE0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dac49d5a14b82" /><Relationship Type="http://schemas.openxmlformats.org/officeDocument/2006/relationships/theme" Target="/xl/theme/theme1.xml" Id="Rbe5200beee7d4124" /><Relationship Type="http://schemas.openxmlformats.org/officeDocument/2006/relationships/sharedStrings" Target="/xl/sharedStrings.xml" Id="R0e55ca093a3a43c6" /><Relationship Type="http://schemas.openxmlformats.org/officeDocument/2006/relationships/worksheet" Target="/xl/worksheets/sheet1.xml" Id="R473f8443a7ea4442" /><Relationship Type="http://schemas.openxmlformats.org/officeDocument/2006/relationships/worksheet" Target="/xl/worksheets/sheet2.xml" Id="Ra3a94803f42a4efe" /><Relationship Type="http://schemas.openxmlformats.org/officeDocument/2006/relationships/worksheet" Target="/xl/worksheets/sheet3.xml" Id="Ra6d41f3e5eef4f6d" /><Relationship Type="http://schemas.openxmlformats.org/officeDocument/2006/relationships/worksheet" Target="/xl/worksheets/sheet4.xml" Id="R027515993f6d4425" /><Relationship Type="http://schemas.openxmlformats.org/officeDocument/2006/relationships/worksheet" Target="/xl/worksheets/sheet5.xml" Id="Rff1bd87e69914519" /><Relationship Type="http://schemas.openxmlformats.org/officeDocument/2006/relationships/worksheet" Target="/xl/worksheets/sheet6.xml" Id="Rf36276f7cd7e4a1c" /><Relationship Type="http://schemas.openxmlformats.org/officeDocument/2006/relationships/worksheet" Target="/xl/worksheets/sheet7.xml" Id="R5eed292cd7ba4b93" /><Relationship Type="http://schemas.openxmlformats.org/officeDocument/2006/relationships/worksheet" Target="/xl/worksheets/sheet8.xml" Id="R547366fb09fd49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6" hidden="0" customWidth="1"/>
  </x:cols>
  <x:sheetData>
    <x:row r="1" ht="19.200000762939453" hidden="0" customHeight="1">
      <x:c r="A1" s="326" t="str">
        <x:v>REQUERIMIENTOS DEL PROYECTO - HUATA LÁCTEOS</x:v>
      </x:c>
      <x:c r="B1" s="326"/>
      <x:c r="C1" s="326"/>
      <x:c r="D1" s="326"/>
      <x:c r="E1" s="326"/>
      <x:c r="F1" s="326"/>
      <x:c r="G1" s="326"/>
    </x:row>
    <x:row r="2" ht="15" hidden="0" customHeight="1">
      <x:c r="A2" s="329" t="str">
        <x:v>Documento alineado con Project Charter y Cronograma_2026-2(2); RF/RNF vinculados a sprints, fechas y entregables.</x:v>
      </x:c>
      <x:c r="B2" s="329"/>
      <x:c r="C2" s="329"/>
      <x:c r="D2" s="329"/>
      <x:c r="E2" s="329"/>
      <x:c r="F2" s="329"/>
      <x:c r="G2" s="329"/>
    </x:row>
    <x:row r="3"/>
    <x:row r="4" ht="15" hidden="0" customHeight="1">
      <x:c r="A4" s="21" t="str">
        <x:v>Dato</x:v>
      </x:c>
      <x:c r="B4" s="22" t="str">
        <x:v>Valor</x:v>
      </x:c>
      <x:c r="D4" s="21" t="str">
        <x:v>RESUMEN DE REQUERIMIENTOS</x:v>
      </x:c>
      <x:c r="E4" s="81"/>
      <x:c r="F4" s="81"/>
      <x:c r="G4" s="22"/>
    </x:row>
    <x:row r="5" ht="21.600000381469727" hidden="0" customHeight="1">
      <x:c r="A5" s="72" t="str">
        <x:v>Nombre oficial</x:v>
      </x:c>
      <x:c r="B5" s="47" t="str">
        <x:v>Desarrollo e Implementación de dos sistemas web y móvil para el acopio de leche en Huata.</x:v>
      </x:c>
      <x:c r="D5" s="111" t="str">
        <x:v>Total</x:v>
      </x:c>
      <x:c r="E5" s="112" t="str">
        <x:v>Funcionales</x:v>
      </x:c>
      <x:c r="F5" s="112" t="str">
        <x:v>No funcionales</x:v>
      </x:c>
      <x:c r="G5" s="113" t="str">
        <x:v>Must</x:v>
      </x:c>
    </x:row>
    <x:row r="6" ht="16.799999237060547" hidden="0" customHeight="1">
      <x:c r="A6" s="73" t="str">
        <x:v>Patrocinador</x:v>
      </x:c>
      <x:c r="B6" s="49" t="str">
        <x:v>Gino Rodriguez</x:v>
      </x:c>
      <x:c r="D6" s="150" t="n">
        <x:f>COUNTA(Requerimientos!A5:A40)</x:f>
        <x:v>27</x:v>
      </x:c>
      <x:c r="E6" s="151" t="n">
        <x:f>COUNTIF(Requerimientos!D5:D40,"Funcional")</x:f>
        <x:v>18</x:v>
      </x:c>
      <x:c r="F6" s="151" t="n">
        <x:f>COUNTIF(Requerimientos!D5:D40,"No funcional")</x:f>
        <x:v>9</x:v>
      </x:c>
      <x:c r="G6" s="152" t="n">
        <x:f>COUNTIF(Requerimientos!I5:I40,"Must")</x:f>
        <x:v>18</x:v>
      </x:c>
    </x:row>
    <x:row r="7" ht="15" hidden="0" customHeight="1">
      <x:c r="A7" s="73" t="str">
        <x:v>Gerente del proyecto</x:v>
      </x:c>
      <x:c r="B7" s="49" t="str">
        <x:v>Huahuaccapa Ccama Alexander</x:v>
      </x:c>
      <x:c r="D7" s="111" t="str">
        <x:v>Aprobados</x:v>
      </x:c>
      <x:c r="E7" s="112" t="str">
        <x:v>Planificados</x:v>
      </x:c>
      <x:c r="F7" s="112" t="str">
        <x:v>Should</x:v>
      </x:c>
      <x:c r="G7" s="113" t="str">
        <x:v>Could</x:v>
      </x:c>
    </x:row>
    <x:row r="8" ht="16.799999237060547" hidden="0" customHeight="1">
      <x:c r="A8" s="73" t="str">
        <x:v>Inicio</x:v>
      </x:c>
      <x:c r="B8" s="49" t="str">
        <x:v>19/08/2026</x:v>
      </x:c>
      <x:c r="D8" s="153" t="n">
        <x:f>COUNTIF(Requerimientos!M5:M40,"Aprobado")</x:f>
        <x:v>21</x:v>
      </x:c>
      <x:c r="E8" s="154" t="n">
        <x:f>COUNTIF(Requerimientos!M5:M40,"Planificado")</x:f>
        <x:v>6</x:v>
      </x:c>
      <x:c r="F8" s="154" t="n">
        <x:f>COUNTIF(Requerimientos!I5:I40,"Should")</x:f>
        <x:v>7</x:v>
      </x:c>
      <x:c r="G8" s="155" t="n">
        <x:f>COUNTIF(Requerimientos!I5:I40,"Could")</x:f>
        <x:v>2</x:v>
      </x:c>
    </x:row>
    <x:row r="9" ht="21.600000381469727" hidden="0" customHeight="1">
      <x:c r="A9" s="73" t="str">
        <x:v>Entrega / término de implementación</x:v>
      </x:c>
      <x:c r="B9" s="49" t="str">
        <x:v>14/10/2026</x:v>
      </x:c>
    </x:row>
    <x:row r="10" ht="15" hidden="0" customHeight="1">
      <x:c r="A10" s="73" t="str">
        <x:v>Cierre administrativo</x:v>
      </x:c>
      <x:c r="B10" s="49" t="str">
        <x:v>15/10/2026</x:v>
      </x:c>
    </x:row>
    <x:row r="11" ht="15" hidden="0" customHeight="1">
      <x:c r="A11" s="73" t="str">
        <x:v>Calendario</x:v>
      </x:c>
      <x:c r="B11" s="49" t="str">
        <x:v>7 días por semana (días corridos)</x:v>
      </x:c>
    </x:row>
    <x:row r="12" ht="15" hidden="0" customHeight="1">
      <x:c r="A12" s="74" t="str">
        <x:v>Tecnologías</x:v>
      </x:c>
      <x:c r="B12" s="51" t="str">
        <x:v>Angular · Flutter · Spring Boot · PostgreSQL · SQLite · JWT · HTTPS</x:v>
      </x:c>
    </x:row>
    <x:row r="13"/>
    <x:row r="14" ht="15" hidden="0" customHeight="1">
      <x:c r="A14" s="333" t="str">
        <x:v>ALCANCE CONSOLIDADO</x:v>
      </x:c>
      <x:c r="B14" s="334"/>
      <x:c r="C14" s="334"/>
      <x:c r="D14" s="334"/>
      <x:c r="E14" s="334"/>
      <x:c r="F14" s="334"/>
      <x:c r="G14" s="335"/>
    </x:row>
    <x:row r="15" ht="42" hidden="0" customHeight="1">
      <x:c r="A15" s="304" t="str">
        <x:v>1</x:v>
      </x:c>
      <x:c r="B15" s="305" t="str">
        <x:v>Web administrativa</x:v>
      </x:c>
      <x:c r="C15" s="296" t="str">
        <x:v>Gestión de productores, acopiadores, rutas, centros de acopio, usuarios, liquidaciones y reportes.</x:v>
      </x:c>
      <x:c r="D15" s="296"/>
      <x:c r="E15" s="296"/>
      <x:c r="F15" s="296"/>
      <x:c r="G15" s="297" t="str">
        <x:v>Project Charter D/G · Cronograma Sprints 4-6</x:v>
      </x:c>
    </x:row>
    <x:row r="16" ht="42" hidden="0" customHeight="1">
      <x:c r="A16" s="304" t="str">
        <x:v>2</x:v>
      </x:c>
      <x:c r="B16" s="305" t="str">
        <x:v>App móvil Flutter</x:v>
      </x:c>
      <x:c r="C16" s="296" t="str">
        <x:v>Recojo de leche, ruta/productores asignados, historial y operación offline-first.</x:v>
      </x:c>
      <x:c r="D16" s="296"/>
      <x:c r="E16" s="296"/>
      <x:c r="F16" s="296"/>
      <x:c r="G16" s="297" t="str">
        <x:v>Project Charter D/G · Cronograma Sprints 4-6</x:v>
      </x:c>
    </x:row>
    <x:row r="17" ht="42" hidden="0" customHeight="1">
      <x:c r="A17" s="304" t="str">
        <x:v>3</x:v>
      </x:c>
      <x:c r="B17" s="305" t="str">
        <x:v>Backend REST</x:v>
      </x:c>
      <x:c r="C17" s="296" t="str">
        <x:v>Spring Boot, API REST, seguridad JWT y persistencia PostgreSQL.</x:v>
      </x:c>
      <x:c r="D17" s="296"/>
      <x:c r="E17" s="296"/>
      <x:c r="F17" s="296"/>
      <x:c r="G17" s="297" t="str">
        <x:v>Project Charter B/D · Cronograma Sprint 3</x:v>
      </x:c>
    </x:row>
    <x:row r="18" ht="42" hidden="0" customHeight="1">
      <x:c r="A18" s="304" t="str">
        <x:v>4</x:v>
      </x:c>
      <x:c r="B18" s="305" t="str">
        <x:v>Calidad y liquidación</x:v>
      </x:c>
      <x:c r="C18" s="296" t="str">
        <x:v>Registro de densidad, acidez y temperatura; liquidación basada en cantidad y calidad.</x:v>
      </x:c>
      <x:c r="D18" s="296"/>
      <x:c r="E18" s="296"/>
      <x:c r="F18" s="296"/>
      <x:c r="G18" s="297" t="str">
        <x:v>Project Charter F/G · Cronograma Sprint 5</x:v>
      </x:c>
    </x:row>
    <x:row r="19" ht="42" hidden="0" customHeight="1">
      <x:c r="A19" s="304" t="str">
        <x:v>5</x:v>
      </x:c>
      <x:c r="B19" s="305" t="str">
        <x:v>Pruebas y documentación</x:v>
      </x:c>
      <x:c r="C19" s="296" t="str">
        <x:v>Pruebas funcionales, integración, UAT, regresión, manuales y documentación técnica.</x:v>
      </x:c>
      <x:c r="D19" s="296"/>
      <x:c r="E19" s="296"/>
      <x:c r="F19" s="296"/>
      <x:c r="G19" s="297" t="str">
        <x:v>Project Charter G · Cronograma Sprint 7</x:v>
      </x:c>
    </x:row>
    <x:row r="20" ht="42" hidden="0" customHeight="1">
      <x:c r="A20" s="304" t="str">
        <x:v>6</x:v>
      </x:c>
      <x:c r="B20" s="305" t="str">
        <x:v>Despliegue y capacitación</x:v>
      </x:c>
      <x:c r="C20" s="296" t="str">
        <x:v>Producción, migración de datos maestros, APK, capacitación y soporte inicial.</x:v>
      </x:c>
      <x:c r="D20" s="296"/>
      <x:c r="E20" s="296"/>
      <x:c r="F20" s="296"/>
      <x:c r="G20" s="297" t="str">
        <x:v>Project Charter G · Cronograma Sprint 8</x:v>
      </x:c>
    </x:row>
    <x:row r="21" ht="42" hidden="0" customHeight="1">
      <x:c r="A21" s="304" t="str">
        <x:v>7</x:v>
      </x:c>
      <x:c r="B21" s="305" t="str">
        <x:v>Cierre</x:v>
      </x:c>
      <x:c r="C21" s="296" t="str">
        <x:v>Entrega documental el 14/10 y cierre administrativo/conformidad el 15/10.</x:v>
      </x:c>
      <x:c r="D21" s="296"/>
      <x:c r="E21" s="296"/>
      <x:c r="F21" s="296"/>
      <x:c r="G21" s="297" t="str">
        <x:v>Project Charter F/J · Cronograma Cierre</x:v>
      </x:c>
    </x:row>
    <x:row r="22"/>
    <x:row r="23" ht="15" hidden="0" customHeight="1">
      <x:c r="A23" s="488" t="str">
        <x:v>NOTA DE CONSISTENCIA</x:v>
      </x:c>
      <x:c r="B23" s="488"/>
      <x:c r="C23" s="488"/>
      <x:c r="D23" s="488"/>
      <x:c r="E23" s="488"/>
      <x:c r="F23" s="488"/>
      <x:c r="G23" s="488"/>
    </x:row>
    <x:row r="24" ht="28" customHeight="1">
      <x:c r="A24" s="205" t="str">
        <x:v>El Cronograma_2026 trabaja con días corridos y lleva el cierre administrativo hasta el 15/10/2026, mientras el Project Charter fija el término del proyecto en 14/10/2026. En este archivo se distingue: entrega/término de implementación = 14/10/2026; firma y cierre administrativo = 15/10/2026. También se retiraron del archivo anterior las reglas no respaldadas por estas dos fuentes (precios S/ 1.75/S/ 1.30, pagos cada viernes, módulo de quesos, zonas específicas e importación/exportación Excel como módulo funcional).</x:v>
      </x:c>
      <x:c r="B24" s="206"/>
      <x:c r="C24" s="206"/>
      <x:c r="D24" s="206"/>
      <x:c r="E24" s="206"/>
      <x:c r="F24" s="206"/>
      <x:c r="G24" s="207"/>
    </x:row>
    <x:row r="25" ht="28" customHeight="1">
      <x:c r="A25" s="208"/>
      <x:c r="B25" s="209"/>
      <x:c r="C25" s="209"/>
      <x:c r="D25" s="209"/>
      <x:c r="E25" s="209"/>
      <x:c r="F25" s="209"/>
      <x:c r="G25" s="210"/>
    </x:row>
    <x:row r="26" ht="28" customHeight="1">
      <x:c r="A26" s="208"/>
      <x:c r="B26" s="209"/>
      <x:c r="C26" s="209"/>
      <x:c r="D26" s="209"/>
      <x:c r="E26" s="209"/>
      <x:c r="F26" s="209"/>
      <x:c r="G26" s="210"/>
    </x:row>
    <x:row r="27" ht="28" customHeight="1">
      <x:c r="A27" s="211"/>
      <x:c r="B27" s="212"/>
      <x:c r="C27" s="212"/>
      <x:c r="D27" s="212"/>
      <x:c r="E27" s="212"/>
      <x:c r="F27" s="212"/>
      <x:c r="G27" s="213"/>
    </x:row>
  </x:sheetData>
  <x:mergeCells>
    <x:mergeCell ref="A1:G1"/>
    <x:mergeCell ref="A2:G2"/>
    <x:mergeCell ref="D4:G4"/>
    <x:mergeCell ref="A14:G14"/>
    <x:mergeCell ref="A23:G23"/>
    <x:mergeCell ref="A24:G27"/>
    <x:mergeCell ref="C15:F15"/>
    <x:mergeCell ref="C16:F16"/>
    <x:mergeCell ref="C17:F17"/>
    <x:mergeCell ref="C18:F18"/>
    <x:mergeCell ref="C19:F19"/>
    <x:mergeCell ref="C20:F20"/>
    <x:mergeCell ref="C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1" hidden="0" customWidth="1"/>
    <x:col min="3" max="3" width="55" hidden="0" customWidth="1"/>
    <x:col min="4" max="4" width="14" hidden="0" customWidth="1"/>
    <x:col min="5" max="5" width="40" hidden="0" customWidth="1"/>
    <x:col min="6" max="6" width="24" hidden="0" customWidth="1"/>
  </x:cols>
  <x:sheetData>
    <x:row r="1" ht="19.200000762939453" hidden="0" customHeight="1">
      <x:c r="A1" s="5" t="str">
        <x:v>INTERESADOS DEL PROYECTO HUATA</x:v>
      </x:c>
      <x:c r="B1" s="5"/>
      <x:c r="C1" s="5"/>
      <x:c r="D1" s="5"/>
      <x:c r="E1" s="5"/>
      <x:c r="F1" s="5"/>
    </x:row>
    <x:row r="2" ht="15" hidden="0" customHeight="1">
      <x:c r="A2" s="11" t="str">
        <x:v>Actores alineados con los stakeholders del Project Charter y las responsabilidades del Cronograma_2026.</x:v>
      </x:c>
      <x:c r="B2" s="11"/>
      <x:c r="C2" s="11"/>
      <x:c r="D2" s="11"/>
      <x:c r="E2" s="11"/>
      <x:c r="F2" s="11"/>
    </x:row>
    <x:row r="3"/>
    <x:row r="4" ht="15" hidden="0" customHeight="1">
      <x:c r="A4" s="21" t="str">
        <x:v>ID</x:v>
      </x:c>
      <x:c r="B4" s="81" t="str">
        <x:v>Interesado / Rol</x:v>
      </x:c>
      <x:c r="C4" s="81" t="str">
        <x:v>Necesidad principal</x:v>
      </x:c>
      <x:c r="D4" s="81" t="str">
        <x:v>Influencia</x:v>
      </x:c>
      <x:c r="E4" s="81" t="str">
        <x:v>Fuente</x:v>
      </x:c>
      <x:c r="F4" s="22" t="str">
        <x:v>Participación</x:v>
      </x:c>
    </x:row>
    <x:row r="5" ht="21.600000381469727" hidden="0" customHeight="1">
      <x:c r="A5" s="46" t="str">
        <x:v>INT-01</x:v>
      </x:c>
      <x:c r="B5" s="91" t="str">
        <x:v>Productores de leche de Huata</x:v>
      </x:c>
      <x:c r="C5" s="91" t="str">
        <x:v>Que sus recojos queden registrados con trazabilidad y que la liquidación se calcule a partir de cantidad y calidad.</x:v>
      </x:c>
      <x:c r="D5" s="91" t="str">
        <x:v>Media</x:v>
      </x:c>
      <x:c r="E5" s="91" t="str">
        <x:v>Project Charter G/F</x:v>
      </x:c>
      <x:c r="F5" s="47" t="str">
        <x:v>Stakeholder / usuario indirecto</x:v>
      </x:c>
    </x:row>
    <x:row r="6" ht="21.600000381469727" hidden="0" customHeight="1">
      <x:c r="A6" s="48" t="str">
        <x:v>INT-02</x:v>
      </x:c>
      <x:c r="B6" s="92" t="str">
        <x:v>Acopiadores de leche</x:v>
      </x:c>
      <x:c r="C6" s="92" t="str">
        <x:v>Registrar recojos en campo desde la app móvil, incluso sin conexión, y sincronizar posteriormente.</x:v>
      </x:c>
      <x:c r="D6" s="92" t="str">
        <x:v>Alta</x:v>
      </x:c>
      <x:c r="E6" s="92" t="str">
        <x:v>Project Charter D/G · Cronograma IDs 73, 74, 94, 95</x:v>
      </x:c>
      <x:c r="F6" s="49" t="str">
        <x:v>Usuario principal móvil</x:v>
      </x:c>
    </x:row>
    <x:row r="7" ht="21.600000381469727" hidden="0" customHeight="1">
      <x:c r="A7" s="48" t="str">
        <x:v>INT-03</x:v>
      </x:c>
      <x:c r="B7" s="92" t="str">
        <x:v>Administrador del sistema / Gerencia de operaciones</x:v>
      </x:c>
      <x:c r="C7" s="92" t="str">
        <x:v>Gestionar productores, rutas, centros, usuarios, liquidaciones y reportes gerenciales.</x:v>
      </x:c>
      <x:c r="D7" s="92" t="str">
        <x:v>Alta</x:v>
      </x:c>
      <x:c r="E7" s="92" t="str">
        <x:v>Project Charter G · Cronograma IDs 68-72, 88, 107, 112</x:v>
      </x:c>
      <x:c r="F7" s="49" t="str">
        <x:v>Usuario principal web</x:v>
      </x:c>
    </x:row>
    <x:row r="8" ht="15" hidden="0" customHeight="1">
      <x:c r="A8" s="48" t="str">
        <x:v>INT-04</x:v>
      </x:c>
      <x:c r="B8" s="92" t="str">
        <x:v>Personal de planta / centro de acopio</x:v>
      </x:c>
      <x:c r="C8" s="92" t="str">
        <x:v>Consultar y validar información de recepción y control de calidad de la leche.</x:v>
      </x:c>
      <x:c r="D8" s="92" t="str">
        <x:v>Alta</x:v>
      </x:c>
      <x:c r="E8" s="92" t="str">
        <x:v>Project Charter G · Cronograma ID 91</x:v>
      </x:c>
      <x:c r="F8" s="49" t="str">
        <x:v>Usuario operativo</x:v>
      </x:c>
    </x:row>
    <x:row r="9" ht="15" hidden="0" customHeight="1">
      <x:c r="A9" s="48" t="str">
        <x:v>INT-05</x:v>
      </x:c>
      <x:c r="B9" s="92" t="str">
        <x:v>Equipo de desarrollo JPK-RESOLUTION S.A.C.</x:v>
      </x:c>
      <x:c r="C9" s="92" t="str">
        <x:v>Diseñar, desarrollar, probar, desplegar y dar soporte inicial al sistema web y móvil.</x:v>
      </x:c>
      <x:c r="D9" s="92" t="str">
        <x:v>Alta</x:v>
      </x:c>
      <x:c r="E9" s="92" t="str">
        <x:v>Project Charter B/L · Cronograma completo</x:v>
      </x:c>
      <x:c r="F9" s="49" t="str">
        <x:v>Equipo ejecutor</x:v>
      </x:c>
    </x:row>
    <x:row r="10" ht="15" hidden="0" customHeight="1">
      <x:c r="A10" s="50" t="str">
        <x:v>INT-06</x:v>
      </x:c>
      <x:c r="B10" s="93" t="str">
        <x:v>Patrocinador / Cliente</x:v>
      </x:c>
      <x:c r="C10" s="93" t="str">
        <x:v>Validar requisitos, prototipos, UAT, entregables y conformidad final.</x:v>
      </x:c>
      <x:c r="D10" s="93" t="str">
        <x:v>Alta</x:v>
      </x:c>
      <x:c r="E10" s="93" t="str">
        <x:v>Project Charter A/M · Cronograma IDs 23-25, 35, 43, 136, 175</x:v>
      </x:c>
      <x:c r="F10" s="51" t="str">
        <x:v>Aprobación y gobierno</x:v>
      </x:c>
    </x:row>
  </x:sheetData>
  <x:mergeCells>
    <x:mergeCell ref="A1:F1"/>
    <x:mergeCell ref="A2:F2"/>
  </x:mergeCells>
  <x:dataValidations count="1">
    <x:dataValidation type="list" sqref="D5:D10">
      <x:formula1>"Alta,Media,Baja"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65" hidden="0" customWidth="1"/>
    <x:col min="4" max="4" width="18" hidden="0" customWidth="1"/>
    <x:col min="5" max="5" width="42" hidden="0" customWidth="1"/>
    <x:col min="6" max="6" width="25" hidden="0" customWidth="1"/>
  </x:cols>
  <x:sheetData>
    <x:row r="1" ht="19.200000762939453" hidden="0" customHeight="1">
      <x:c r="A1" s="5" t="str">
        <x:v>REGLAS, RESTRICCIONES Y CONDICIONES DEL PROYECTO</x:v>
      </x:c>
      <x:c r="B1" s="5"/>
      <x:c r="C1" s="5"/>
      <x:c r="D1" s="5"/>
      <x:c r="E1" s="5"/>
      <x:c r="F1" s="5"/>
    </x:row>
    <x:row r="2" ht="15" hidden="0" customHeight="1">
      <x:c r="A2" s="11" t="str">
        <x:v>Solo se mantienen reglas sustentadas por ProjectCharter2026 o Cronograma_2026.</x:v>
      </x:c>
      <x:c r="B2" s="11"/>
      <x:c r="C2" s="11"/>
      <x:c r="D2" s="11"/>
      <x:c r="E2" s="11"/>
      <x:c r="F2" s="11"/>
    </x:row>
    <x:row r="3"/>
    <x:row r="4" ht="15" hidden="0" customHeight="1">
      <x:c r="A4" s="21" t="str">
        <x:v>ID</x:v>
      </x:c>
      <x:c r="B4" s="81" t="str">
        <x:v>Nombre</x:v>
      </x:c>
      <x:c r="C4" s="81" t="str">
        <x:v>Regla / condición</x:v>
      </x:c>
      <x:c r="D4" s="81" t="str">
        <x:v>Tipo</x:v>
      </x:c>
      <x:c r="E4" s="81" t="str">
        <x:v>Fuente</x:v>
      </x:c>
      <x:c r="F4" s="22" t="str">
        <x:v>Requisitos relacionados</x:v>
      </x:c>
    </x:row>
    <x:row r="5" ht="15" hidden="0" customHeight="1">
      <x:c r="A5" s="46" t="str">
        <x:v>RN-01</x:v>
      </x:c>
      <x:c r="B5" s="91" t="str">
        <x:v>Recojo trazable</x:v>
      </x:c>
      <x:c r="C5" s="91" t="str">
        <x:v>Cada recojo de leche debe vincular productor, cantidad, calidad y fecha.</x:v>
      </x:c>
      <x:c r="D5" s="91" t="str">
        <x:v>Proceso</x:v>
      </x:c>
      <x:c r="E5" s="91" t="str">
        <x:v>Project Charter F/G · Cronograma ID 87</x:v>
      </x:c>
      <x:c r="F5" s="47" t="str">
        <x:v>RF-05</x:v>
      </x:c>
    </x:row>
    <x:row r="6" ht="21.600000381469727" hidden="0" customHeight="1">
      <x:c r="A6" s="48" t="str">
        <x:v>RN-02</x:v>
      </x:c>
      <x:c r="B6" s="92" t="str">
        <x:v>Control de calidad</x:v>
      </x:c>
      <x:c r="C6" s="92" t="str">
        <x:v>El control de calidad debe registrar como mínimo densidad, acidez y temperatura, además de observaciones cuando corresponda.</x:v>
      </x:c>
      <x:c r="D6" s="92" t="str">
        <x:v>Calidad</x:v>
      </x:c>
      <x:c r="E6" s="92" t="str">
        <x:v>Project Charter G.6 · Cronograma ID 91</x:v>
      </x:c>
      <x:c r="F6" s="49" t="str">
        <x:v>RF-06</x:v>
      </x:c>
    </x:row>
    <x:row r="7" ht="15" hidden="0" customHeight="1">
      <x:c r="A7" s="48" t="str">
        <x:v>RN-03</x:v>
      </x:c>
      <x:c r="B7" s="92" t="str">
        <x:v>Liquidación por cantidad y calidad</x:v>
      </x:c>
      <x:c r="C7" s="92" t="str">
        <x:v>La liquidación debe calcularse considerando la cantidad recolectada y la calidad de la leche.</x:v>
      </x:c>
      <x:c r="D7" s="92" t="str">
        <x:v>Liquidación</x:v>
      </x:c>
      <x:c r="E7" s="92" t="str">
        <x:v>Project Charter F/G.7 · Cronograma ID 92</x:v>
      </x:c>
      <x:c r="F7" s="49" t="str">
        <x:v>RF-07</x:v>
      </x:c>
    </x:row>
    <x:row r="8" ht="21.600000381469727" hidden="0" customHeight="1">
      <x:c r="A8" s="48" t="str">
        <x:v>RN-04</x:v>
      </x:c>
      <x:c r="B8" s="92" t="str">
        <x:v>Operación offline-first</x:v>
      </x:c>
      <x:c r="C8" s="92" t="str">
        <x:v>La app móvil debe permitir registrar recojos sin conexión mediante SQLite y sincronizar los datos al recuperar conectividad.</x:v>
      </x:c>
      <x:c r="D8" s="92" t="str">
        <x:v>Móvil / Datos</x:v>
      </x:c>
      <x:c r="E8" s="92" t="str">
        <x:v>Project Charter D · Cronograma IDs 94-95</x:v>
      </x:c>
      <x:c r="F8" s="49" t="str">
        <x:v>RF-09, RF-10</x:v>
      </x:c>
    </x:row>
    <x:row r="9" ht="15" hidden="0" customHeight="1">
      <x:c r="A9" s="48" t="str">
        <x:v>RN-05</x:v>
      </x:c>
      <x:c r="B9" s="92" t="str">
        <x:v>Reportes gerenciales</x:v>
      </x:c>
      <x:c r="C9" s="92" t="str">
        <x:v>Los reportes deben permitir analizar producción total, por ruta, por productor y por periodo.</x:v>
      </x:c>
      <x:c r="D9" s="92" t="str">
        <x:v>Reportes</x:v>
      </x:c>
      <x:c r="E9" s="92" t="str">
        <x:v>Project Charter F/G.8 · Cronograma IDs 107, 111</x:v>
      </x:c>
      <x:c r="F9" s="49" t="str">
        <x:v>RF-14</x:v>
      </x:c>
    </x:row>
    <x:row r="10" ht="15" hidden="0" customHeight="1">
      <x:c r="A10" s="48" t="str">
        <x:v>RN-06</x:v>
      </x:c>
      <x:c r="B10" s="92" t="str">
        <x:v>Seguridad y roles</x:v>
      </x:c>
      <x:c r="C10" s="92" t="str">
        <x:v>El acceso al sistema debe estar autenticado y autorizado mediante roles, JWT y protección HTTPS.</x:v>
      </x:c>
      <x:c r="D10" s="92" t="str">
        <x:v>Seguridad</x:v>
      </x:c>
      <x:c r="E10" s="92" t="str">
        <x:v>Project Charter D/F/G.9 · Cronograma IDs 53, 59, 112</x:v>
      </x:c>
      <x:c r="F10" s="49" t="str">
        <x:v>RF-15, RF-16, RNF-02</x:v>
      </x:c>
    </x:row>
    <x:row r="11" ht="21.600000381469727" hidden="0" customHeight="1">
      <x:c r="A11" s="48" t="str">
        <x:v>RN-07</x:v>
      </x:c>
      <x:c r="B11" s="92" t="str">
        <x:v>Compatibilidad de la solución</x:v>
      </x:c>
      <x:c r="C11" s="92" t="str">
        <x:v>La app se entregará para Android mediante APK y la plataforma web debe operar en navegadores modernos.</x:v>
      </x:c>
      <x:c r="D11" s="92" t="str">
        <x:v>Restricción</x:v>
      </x:c>
      <x:c r="E11" s="92" t="str">
        <x:v>Project Charter G - Exclusiones/Restricciones</x:v>
      </x:c>
      <x:c r="F11" s="49" t="str">
        <x:v>RNF-03, RNF-04</x:v>
      </x:c>
    </x:row>
    <x:row r="12" ht="21.600000381469727" hidden="0" customHeight="1">
      <x:c r="A12" s="48" t="str">
        <x:v>RN-08</x:v>
      </x:c>
      <x:c r="B12" s="92" t="str">
        <x:v>Sin pasarela financiera</x:v>
      </x:c>
      <x:c r="C12" s="92" t="str">
        <x:v>La versión actual no incluye pasarelas de pago ni transacciones financieras; el Charter también indica que los precios de leche no forman parte de esta versión.</x:v>
      </x:c>
      <x:c r="D12" s="92" t="str">
        <x:v>Exclusión</x:v>
      </x:c>
      <x:c r="E12" s="92" t="str">
        <x:v>Project Charter G - Exclusiones 2</x:v>
      </x:c>
      <x:c r="F12" s="49" t="str">
        <x:v>RF-07</x:v>
      </x:c>
    </x:row>
    <x:row r="13" ht="21.600000381469727" hidden="0" customHeight="1">
      <x:c r="A13" s="48" t="str">
        <x:v>RN-09</x:v>
      </x:c>
      <x:c r="B13" s="92" t="str">
        <x:v>Soporte post-implementación</x:v>
      </x:c>
      <x:c r="C13" s="92" t="str">
        <x:v>Se contempla soporte y mantenimiento durante el primer mes posterior a la implementación; el cronograma base solo detalla hipercare inicial del 11 al 12 de octubre.</x:v>
      </x:c>
      <x:c r="D13" s="92" t="str">
        <x:v>Servicio</x:v>
      </x:c>
      <x:c r="E13" s="92" t="str">
        <x:v>Project Charter D.4 · Cronograma ID 170</x:v>
      </x:c>
      <x:c r="F13" s="49" t="str">
        <x:v>—</x:v>
      </x:c>
    </x:row>
    <x:row r="14" ht="21.600000381469727" hidden="0" customHeight="1">
      <x:c r="A14" s="50" t="str">
        <x:v>RN-10</x:v>
      </x:c>
      <x:c r="B14" s="93" t="str">
        <x:v>Documentación y capacitación</x:v>
      </x:c>
      <x:c r="C14" s="93" t="str">
        <x:v>La entrega debe incluir manual de usuario, manual técnico y capacitación a administradores y acopiadores.</x:v>
      </x:c>
      <x:c r="D14" s="93" t="str">
        <x:v>Entrega</x:v>
      </x:c>
      <x:c r="E14" s="93" t="str">
        <x:v>Project Charter G.10-G.12 · Cronograma IDs 144,145,168,162,169</x:v>
      </x:c>
      <x:c r="F14" s="51" t="str">
        <x:v>—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54" hidden="0" customWidth="1"/>
    <x:col min="4" max="4" width="13" hidden="0" customWidth="1"/>
    <x:col min="5" max="5" width="17" hidden="0" customWidth="1"/>
    <x:col min="6" max="6" width="23" hidden="0" customWidth="1"/>
    <x:col min="7" max="7" width="25" hidden="0" customWidth="1"/>
    <x:col min="8" max="8" width="27" hidden="0" customWidth="1"/>
    <x:col min="9" max="9" width="12" hidden="0" customWidth="1"/>
    <x:col min="10" max="10" width="48" hidden="0" customWidth="1"/>
    <x:col min="11" max="11" width="24" hidden="0" customWidth="1"/>
    <x:col min="12" max="12" width="24" hidden="0" customWidth="1"/>
    <x:col min="13" max="13" width="14" hidden="0" customWidth="1"/>
    <x:col min="14" max="14" width="21" hidden="0" customWidth="1"/>
    <x:col min="15" max="15" width="14" hidden="0" customWidth="1"/>
    <x:col min="16" max="16" width="14" hidden="0" customWidth="1"/>
    <x:col min="17" max="17" width="42" hidden="0" customWidth="1"/>
  </x:cols>
  <x:sheetData>
    <x:row r="1" ht="25" hidden="0" customHeight="1">
      <x:c r="A1" s="326" t="str">
        <x:v>MATRIZ DE REQUERIMIENTOS - HUATA LÁCTEOS</x:v>
      </x:c>
      <x:c r="B1" s="326"/>
      <x:c r="C1" s="326"/>
      <x:c r="D1" s="326"/>
      <x:c r="E1" s="326"/>
      <x:c r="F1" s="326"/>
      <x:c r="G1" s="326"/>
      <x:c r="H1" s="326"/>
      <x:c r="I1" s="326"/>
      <x:c r="J1" s="326"/>
      <x:c r="K1" s="326"/>
      <x:c r="L1" s="326"/>
      <x:c r="M1" s="326"/>
      <x:c r="N1" s="326"/>
      <x:c r="O1" s="326"/>
      <x:c r="P1" s="326"/>
      <x:c r="Q1" s="326"/>
    </x:row>
    <x:row r="2" ht="24" hidden="0" customHeight="1">
      <x:c r="A2" s="331" t="str">
        <x:v>Alineado con Cronograma_2026-2(2): cada RF/RNF incorpora sprint/periodo, fechas planificadas y entregables del cronograma oficial.</x:v>
      </x:c>
      <x:c r="B2" s="331"/>
      <x:c r="C2" s="331"/>
      <x:c r="D2" s="331"/>
      <x:c r="E2" s="331"/>
      <x:c r="F2" s="331"/>
      <x:c r="G2" s="331"/>
      <x:c r="H2" s="331"/>
      <x:c r="I2" s="331"/>
      <x:c r="J2" s="331"/>
      <x:c r="K2" s="331"/>
      <x:c r="L2" s="331"/>
      <x:c r="M2" s="331"/>
      <x:c r="N2" s="331"/>
      <x:c r="O2" s="331"/>
      <x:c r="P2" s="331"/>
      <x:c r="Q2" s="331"/>
    </x:row>
    <x:row r="3"/>
    <x:row r="4" ht="34" hidden="0" customHeight="1">
      <x:c r="A4" s="341" t="str">
        <x:v>ID</x:v>
      </x:c>
      <x:c r="B4" s="342" t="str">
        <x:v>Nombre</x:v>
      </x:c>
      <x:c r="C4" s="342" t="str">
        <x:v>Descripción (El sistema deberá...)</x:v>
      </x:c>
      <x:c r="D4" s="342" t="str">
        <x:v>Tipo</x:v>
      </x:c>
      <x:c r="E4" s="342" t="str">
        <x:v>Categoría RNF</x:v>
      </x:c>
      <x:c r="F4" s="342" t="str">
        <x:v>Actor</x:v>
      </x:c>
      <x:c r="G4" s="342" t="str">
        <x:v>Origen</x:v>
      </x:c>
      <x:c r="H4" s="342" t="str">
        <x:v>Referencia origen</x:v>
      </x:c>
      <x:c r="I4" s="342" t="str">
        <x:v>Prioridad</x:v>
      </x:c>
      <x:c r="J4" s="342" t="str">
        <x:v>Criterio de aceptación</x:v>
      </x:c>
      <x:c r="K4" s="342" t="str">
        <x:v>Componente</x:v>
      </x:c>
      <x:c r="L4" s="342" t="str">
        <x:v>Dependencias</x:v>
      </x:c>
      <x:c r="M4" s="342" t="str">
        <x:v>Estado</x:v>
      </x:c>
      <x:c r="N4" s="343" t="str">
        <x:v>Sprint / periodo</x:v>
      </x:c>
      <x:c r="O4" s="350" t="str">
        <x:v>Fecha inicio</x:v>
      </x:c>
      <x:c r="P4" s="350" t="str">
        <x:v>Fecha fin</x:v>
      </x:c>
      <x:c r="Q4" s="351" t="str">
        <x:v>Entregable del cronograma</x:v>
      </x:c>
    </x:row>
    <x:row r="5" ht="52" hidden="0" customHeight="1">
      <x:c r="A5" s="420" t="str">
        <x:v>RF-01</x:v>
      </x:c>
      <x:c r="B5" s="366" t="str">
        <x:v>Gestionar productores</x:v>
      </x:c>
      <x:c r="C5" s="366" t="str">
        <x:v>El sistema deberá registrar, consultar, editar y administrar productores de leche con la información necesaria para su operación.</x:v>
      </x:c>
      <x:c r="D5" s="366" t="str">
        <x:v>Funcional</x:v>
      </x:c>
      <x:c r="E5" s="366" t="str">
        <x:v>—</x:v>
      </x:c>
      <x:c r="F5" s="366" t="str">
        <x:v>Administrador</x:v>
      </x:c>
      <x:c r="G5" s="366" t="str">
        <x:v>Project Charter</x:v>
      </x:c>
      <x:c r="H5" s="366" t="str">
        <x:v>G.4 · Cronograma 68,71</x:v>
      </x:c>
      <x:c r="I5" s="366" t="str">
        <x:v>Must</x:v>
      </x:c>
      <x:c r="J5" s="366" t="str">
        <x:v>Se puede crear, consultar y actualizar un productor; la información queda disponible para recojos y reportes.</x:v>
      </x:c>
      <x:c r="K5" s="366" t="str">
        <x:v>Productores</x:v>
      </x:c>
      <x:c r="L5" s="366" t="str">
        <x:v>—</x:v>
      </x:c>
      <x:c r="M5" s="366" t="str">
        <x:v>Aprobado</x:v>
      </x:c>
      <x:c r="N5" s="408" t="str">
        <x:v>Sprint 4</x:v>
      </x:c>
      <x:c r="O5" s="409" t="n">
        <x:v>46274</x:v>
      </x:c>
      <x:c r="P5" s="409" t="n">
        <x:v>46277</x:v>
      </x:c>
      <x:c r="Q5" s="410" t="str">
        <x:v>API Productores · Pantallas de Productores</x:v>
      </x:c>
    </x:row>
    <x:row r="6" ht="52" hidden="0" customHeight="1">
      <x:c r="A6" s="421" t="str">
        <x:v>RF-02</x:v>
      </x:c>
      <x:c r="B6" s="403" t="str">
        <x:v>Gestionar acopiadores</x:v>
      </x:c>
      <x:c r="C6" s="403" t="str">
        <x:v>El sistema deberá registrar y administrar los acopiadores responsables del recojo de leche.</x:v>
      </x:c>
      <x:c r="D6" s="403" t="str">
        <x:v>Funcional</x:v>
      </x:c>
      <x:c r="E6" s="403" t="str">
        <x:v>—</x:v>
      </x:c>
      <x:c r="F6" s="403" t="str">
        <x:v>Administrador</x:v>
      </x:c>
      <x:c r="G6" s="403" t="str">
        <x:v>Project Charter / Cronograma</x:v>
      </x:c>
      <x:c r="H6" s="403" t="str">
        <x:v>G.4 · Cronograma 69</x:v>
      </x:c>
      <x:c r="I6" s="403" t="str">
        <x:v>Must</x:v>
      </x:c>
      <x:c r="J6" s="403" t="str">
        <x:v>El administrador puede registrar y consultar acopiadores y asociarlos a la operación correspondiente.</x:v>
      </x:c>
      <x:c r="K6" s="403" t="str">
        <x:v>Acopiadores</x:v>
      </x:c>
      <x:c r="L6" s="403" t="str">
        <x:v>RF-01</x:v>
      </x:c>
      <x:c r="M6" s="403" t="str">
        <x:v>Aprobado</x:v>
      </x:c>
      <x:c r="N6" s="411" t="str">
        <x:v>Sprint 4</x:v>
      </x:c>
      <x:c r="O6" s="412" t="n">
        <x:v>46275</x:v>
      </x:c>
      <x:c r="P6" s="412" t="n">
        <x:v>46276</x:v>
      </x:c>
      <x:c r="Q6" s="413" t="str">
        <x:v>API Acopiadores/Rutas</x:v>
      </x:c>
    </x:row>
    <x:row r="7" ht="52" hidden="0" customHeight="1">
      <x:c r="A7" s="422" t="str">
        <x:v>RF-03</x:v>
      </x:c>
      <x:c r="B7" s="380" t="str">
        <x:v>Gestionar rutas</x:v>
      </x:c>
      <x:c r="C7" s="380" t="str">
        <x:v>El sistema deberá registrar y administrar rutas de recojo y permitir su consulta desde web y móvil.</x:v>
      </x:c>
      <x:c r="D7" s="380" t="str">
        <x:v>Funcional</x:v>
      </x:c>
      <x:c r="E7" s="380" t="str">
        <x:v>—</x:v>
      </x:c>
      <x:c r="F7" s="380" t="str">
        <x:v>Administrador / Acopiador</x:v>
      </x:c>
      <x:c r="G7" s="380" t="str">
        <x:v>Project Charter / Cronograma</x:v>
      </x:c>
      <x:c r="H7" s="380" t="str">
        <x:v>G.4 · Cronograma 69,72,74</x:v>
      </x:c>
      <x:c r="I7" s="380" t="str">
        <x:v>Must</x:v>
      </x:c>
      <x:c r="J7" s="380" t="str">
        <x:v>Las rutas pueden registrarse y consultarse; el acopiador puede visualizar la ruta del día.</x:v>
      </x:c>
      <x:c r="K7" s="380" t="str">
        <x:v>Rutas</x:v>
      </x:c>
      <x:c r="L7" s="380" t="str">
        <x:v>RF-02</x:v>
      </x:c>
      <x:c r="M7" s="380" t="str">
        <x:v>Aprobado</x:v>
      </x:c>
      <x:c r="N7" s="411" t="str">
        <x:v>Sprint 4</x:v>
      </x:c>
      <x:c r="O7" s="412" t="n">
        <x:v>46275</x:v>
      </x:c>
      <x:c r="P7" s="412" t="n">
        <x:v>46278</x:v>
      </x:c>
      <x:c r="Q7" s="413" t="str">
        <x:v>API Acopiadores/Rutas · Pantallas de Rutas · Pantalla de Ruta del día</x:v>
      </x:c>
    </x:row>
    <x:row r="8" ht="52" hidden="0" customHeight="1">
      <x:c r="A8" s="421" t="str">
        <x:v>RF-04</x:v>
      </x:c>
      <x:c r="B8" s="403" t="str">
        <x:v>Gestionar centros de acopio</x:v>
      </x:c>
      <x:c r="C8" s="403" t="str">
        <x:v>El sistema deberá registrar y administrar los centros de acopio utilizados por la operación.</x:v>
      </x:c>
      <x:c r="D8" s="403" t="str">
        <x:v>Funcional</x:v>
      </x:c>
      <x:c r="E8" s="403" t="str">
        <x:v>—</x:v>
      </x:c>
      <x:c r="F8" s="403" t="str">
        <x:v>Administrador</x:v>
      </x:c>
      <x:c r="G8" s="403" t="str">
        <x:v>Project Charter / Cronograma</x:v>
      </x:c>
      <x:c r="H8" s="403" t="str">
        <x:v>G.4 · Cronograma 70,72</x:v>
      </x:c>
      <x:c r="I8" s="403" t="str">
        <x:v>Must</x:v>
      </x:c>
      <x:c r="J8" s="403" t="str">
        <x:v>Los centros de acopio pueden crearse, consultarse y usarse en la gestión operativa.</x:v>
      </x:c>
      <x:c r="K8" s="403" t="str">
        <x:v>Centros de acopio</x:v>
      </x:c>
      <x:c r="L8" s="403" t="str">
        <x:v>—</x:v>
      </x:c>
      <x:c r="M8" s="403" t="str">
        <x:v>Aprobado</x:v>
      </x:c>
      <x:c r="N8" s="411" t="str">
        <x:v>Sprint 4</x:v>
      </x:c>
      <x:c r="O8" s="412" t="n">
        <x:v>46276</x:v>
      </x:c>
      <x:c r="P8" s="412" t="n">
        <x:v>46278</x:v>
      </x:c>
      <x:c r="Q8" s="413" t="str">
        <x:v>API Centros de Acopio · Pantallas de Rutas</x:v>
      </x:c>
    </x:row>
    <x:row r="9" ht="52" hidden="0" customHeight="1">
      <x:c r="A9" s="422" t="str">
        <x:v>RF-05</x:v>
      </x:c>
      <x:c r="B9" s="380" t="str">
        <x:v>Registrar recojo de leche</x:v>
      </x:c>
      <x:c r="C9" s="380" t="str">
        <x:v>El sistema deberá registrar cada recojo indicando productor, cantidad, calidad y fecha, desde web o móvil según el flujo operativo.</x:v>
      </x:c>
      <x:c r="D9" s="380" t="str">
        <x:v>Funcional</x:v>
      </x:c>
      <x:c r="E9" s="380" t="str">
        <x:v>—</x:v>
      </x:c>
      <x:c r="F9" s="380" t="str">
        <x:v>Acopiador / Administrador</x:v>
      </x:c>
      <x:c r="G9" s="380" t="str">
        <x:v>Project Charter / Cronograma</x:v>
      </x:c>
      <x:c r="H9" s="380" t="str">
        <x:v>G.5 · Cronograma 87,93,94</x:v>
      </x:c>
      <x:c r="I9" s="380" t="str">
        <x:v>Must</x:v>
      </x:c>
      <x:c r="J9" s="380" t="str">
        <x:v>Un recojo válido queda persistido con productor, cantidad, calidad y fecha y puede consultarse posteriormente.</x:v>
      </x:c>
      <x:c r="K9" s="380" t="str">
        <x:v>Recojo</x:v>
      </x:c>
      <x:c r="L9" s="380" t="str">
        <x:v>RF-01, RF-03</x:v>
      </x:c>
      <x:c r="M9" s="380" t="str">
        <x:v>Aprobado</x:v>
      </x:c>
      <x:c r="N9" s="411" t="str">
        <x:v>Sprint 5</x:v>
      </x:c>
      <x:c r="O9" s="412" t="n">
        <x:v>46281</x:v>
      </x:c>
      <x:c r="P9" s="412" t="n">
        <x:v>46284</x:v>
      </x:c>
      <x:c r="Q9" s="413" t="str">
        <x:v>API Recojo de Leche · Pantallas de Recojo (Web) · Pantalla de Registro móvil</x:v>
      </x:c>
    </x:row>
    <x:row r="10" ht="52" hidden="0" customHeight="1">
      <x:c r="A10" s="421" t="str">
        <x:v>RF-06</x:v>
      </x:c>
      <x:c r="B10" s="403" t="str">
        <x:v>Registrar control de calidad</x:v>
      </x:c>
      <x:c r="C10" s="403" t="str">
        <x:v>El sistema deberá registrar parámetros de calidad de la leche, incluyendo densidad, acidez y temperatura.</x:v>
      </x:c>
      <x:c r="D10" s="403" t="str">
        <x:v>Funcional</x:v>
      </x:c>
      <x:c r="E10" s="403" t="str">
        <x:v>—</x:v>
      </x:c>
      <x:c r="F10" s="403" t="str">
        <x:v>Personal de planta / Calidad</x:v>
      </x:c>
      <x:c r="G10" s="403" t="str">
        <x:v>Project Charter / Cronograma</x:v>
      </x:c>
      <x:c r="H10" s="403" t="str">
        <x:v>G.6 · Cronograma 91</x:v>
      </x:c>
      <x:c r="I10" s="403" t="str">
        <x:v>Must</x:v>
      </x:c>
      <x:c r="J10" s="403" t="str">
        <x:v>El control queda asociado al recojo y conserva densidad, acidez, temperatura y observaciones disponibles.</x:v>
      </x:c>
      <x:c r="K10" s="403" t="str">
        <x:v>Calidad</x:v>
      </x:c>
      <x:c r="L10" s="403" t="str">
        <x:v>RF-05</x:v>
      </x:c>
      <x:c r="M10" s="403" t="str">
        <x:v>Aprobado</x:v>
      </x:c>
      <x:c r="N10" s="411" t="str">
        <x:v>Sprint 5</x:v>
      </x:c>
      <x:c r="O10" s="412" t="n">
        <x:v>46282</x:v>
      </x:c>
      <x:c r="P10" s="412" t="n">
        <x:v>46282</x:v>
      </x:c>
      <x:c r="Q10" s="413" t="str">
        <x:v>API Control de Calidad</x:v>
      </x:c>
    </x:row>
    <x:row r="11" ht="52" hidden="0" customHeight="1">
      <x:c r="A11" s="422" t="str">
        <x:v>RF-07</x:v>
      </x:c>
      <x:c r="B11" s="380" t="str">
        <x:v>Calcular liquidación</x:v>
      </x:c>
      <x:c r="C11" s="380" t="str">
        <x:v>El sistema deberá calcular la liquidación del productor considerando cantidad recolectada y calidad, sin ejecutar una transacción financiera externa.</x:v>
      </x:c>
      <x:c r="D11" s="380" t="str">
        <x:v>Funcional</x:v>
      </x:c>
      <x:c r="E11" s="380" t="str">
        <x:v>—</x:v>
      </x:c>
      <x:c r="F11" s="380" t="str">
        <x:v>Administrador</x:v>
      </x:c>
      <x:c r="G11" s="380" t="str">
        <x:v>Project Charter / Cronograma</x:v>
      </x:c>
      <x:c r="H11" s="380" t="str">
        <x:v>F · G.7 · Cronograma 92</x:v>
      </x:c>
      <x:c r="I11" s="380" t="str">
        <x:v>Must</x:v>
      </x:c>
      <x:c r="J11" s="380" t="str">
        <x:v>El sistema genera una liquidación consistente con los datos de cantidad y calidad del recojo y permite su consulta.</x:v>
      </x:c>
      <x:c r="K11" s="380" t="str">
        <x:v>Liquidaciones</x:v>
      </x:c>
      <x:c r="L11" s="380" t="str">
        <x:v>RF-05, RF-06</x:v>
      </x:c>
      <x:c r="M11" s="380" t="str">
        <x:v>Aprobado</x:v>
      </x:c>
      <x:c r="N11" s="411" t="str">
        <x:v>Sprint 5</x:v>
      </x:c>
      <x:c r="O11" s="412" t="n">
        <x:v>46283</x:v>
      </x:c>
      <x:c r="P11" s="412" t="n">
        <x:v>46284</x:v>
      </x:c>
      <x:c r="Q11" s="413" t="str">
        <x:v>API de Liquidaciones</x:v>
      </x:c>
    </x:row>
    <x:row r="12" ht="52" hidden="0" customHeight="1">
      <x:c r="A12" s="421" t="str">
        <x:v>RF-08</x:v>
      </x:c>
      <x:c r="B12" s="403" t="str">
        <x:v>Consultar liquidaciones por productor y fecha</x:v>
      </x:c>
      <x:c r="C12" s="403" t="str">
        <x:v>El sistema deberá permitir consultar las liquidaciones filtrando por productor y fecha desde el panel web.</x:v>
      </x:c>
      <x:c r="D12" s="403" t="str">
        <x:v>Funcional</x:v>
      </x:c>
      <x:c r="E12" s="403" t="str">
        <x:v>—</x:v>
      </x:c>
      <x:c r="F12" s="403" t="str">
        <x:v>Administrador</x:v>
      </x:c>
      <x:c r="G12" s="403" t="str">
        <x:v>Cronograma_2026</x:v>
      </x:c>
      <x:c r="H12" s="403" t="str">
        <x:v>Cronograma 88</x:v>
      </x:c>
      <x:c r="I12" s="403" t="str">
        <x:v>Should</x:v>
      </x:c>
      <x:c r="J12" s="403" t="str">
        <x:v>El filtro por productor y fecha devuelve únicamente las liquidaciones correspondientes.</x:v>
      </x:c>
      <x:c r="K12" s="403" t="str">
        <x:v>Liquidaciones / Web</x:v>
      </x:c>
      <x:c r="L12" s="403" t="str">
        <x:v>RF-07</x:v>
      </x:c>
      <x:c r="M12" s="403" t="str">
        <x:v>Planificado</x:v>
      </x:c>
      <x:c r="N12" s="411" t="str">
        <x:v>Sprint 5</x:v>
      </x:c>
      <x:c r="O12" s="412" t="n">
        <x:v>46285</x:v>
      </x:c>
      <x:c r="P12" s="412" t="n">
        <x:v>46285</x:v>
      </x:c>
      <x:c r="Q12" s="413" t="str">
        <x:v>Pantalla de Liquidaciones</x:v>
      </x:c>
    </x:row>
    <x:row r="13" ht="52" hidden="0" customHeight="1">
      <x:c r="A13" s="422" t="str">
        <x:v>RF-09</x:v>
      </x:c>
      <x:c r="B13" s="380" t="str">
        <x:v>Registrar recojo sin conexión</x:v>
      </x:c>
      <x:c r="C13" s="380" t="str">
        <x:v>La aplicación móvil deberá permitir registrar recojos aunque no exista conexión a Internet.</x:v>
      </x:c>
      <x:c r="D13" s="380" t="str">
        <x:v>Funcional</x:v>
      </x:c>
      <x:c r="E13" s="380" t="str">
        <x:v>—</x:v>
      </x:c>
      <x:c r="F13" s="380" t="str">
        <x:v>Acopiador</x:v>
      </x:c>
      <x:c r="G13" s="380" t="str">
        <x:v>Project Charter / Cronograma</x:v>
      </x:c>
      <x:c r="H13" s="380" t="str">
        <x:v>D · G.5 · Cronograma 94</x:v>
      </x:c>
      <x:c r="I13" s="380" t="str">
        <x:v>Must</x:v>
      </x:c>
      <x:c r="J13" s="380" t="str">
        <x:v>El acopiador puede completar y guardar un recojo en modo offline sin perder los datos capturados.</x:v>
      </x:c>
      <x:c r="K13" s="380" t="str">
        <x:v>Móvil</x:v>
      </x:c>
      <x:c r="L13" s="380" t="str">
        <x:v>RF-05</x:v>
      </x:c>
      <x:c r="M13" s="380" t="str">
        <x:v>Aprobado</x:v>
      </x:c>
      <x:c r="N13" s="411" t="str">
        <x:v>Sprint 5</x:v>
      </x:c>
      <x:c r="O13" s="412" t="n">
        <x:v>46283</x:v>
      </x:c>
      <x:c r="P13" s="412" t="n">
        <x:v>46284</x:v>
      </x:c>
      <x:c r="Q13" s="413" t="str">
        <x:v>Pantalla de Registro móvil</x:v>
      </x:c>
    </x:row>
    <x:row r="14" ht="52" hidden="0" customHeight="1">
      <x:c r="A14" s="421" t="str">
        <x:v>RF-10</x:v>
      </x:c>
      <x:c r="B14" s="403" t="str">
        <x:v>Sincronizar datos offline</x:v>
      </x:c>
      <x:c r="C14" s="403" t="str">
        <x:v>La aplicación móvil deberá almacenar temporalmente los datos en SQLite y sincronizarlos con el backend cuando exista conectividad.</x:v>
      </x:c>
      <x:c r="D14" s="403" t="str">
        <x:v>Funcional</x:v>
      </x:c>
      <x:c r="E14" s="403" t="str">
        <x:v>—</x:v>
      </x:c>
      <x:c r="F14" s="403" t="str">
        <x:v>Acopiador</x:v>
      </x:c>
      <x:c r="G14" s="403" t="str">
        <x:v>Project Charter / Cronograma</x:v>
      </x:c>
      <x:c r="H14" s="403" t="str">
        <x:v>D · Cronograma 95</x:v>
      </x:c>
      <x:c r="I14" s="403" t="str">
        <x:v>Must</x:v>
      </x:c>
      <x:c r="J14" s="403" t="str">
        <x:v>Los registros pendientes se sincronizan posteriormente sin duplicarse y quedan disponibles en el servidor.</x:v>
      </x:c>
      <x:c r="K14" s="403" t="str">
        <x:v>Sincronización</x:v>
      </x:c>
      <x:c r="L14" s="403" t="str">
        <x:v>RF-09</x:v>
      </x:c>
      <x:c r="M14" s="403" t="str">
        <x:v>Aprobado</x:v>
      </x:c>
      <x:c r="N14" s="411" t="str">
        <x:v>Sprint 5</x:v>
      </x:c>
      <x:c r="O14" s="412" t="n">
        <x:v>46284</x:v>
      </x:c>
      <x:c r="P14" s="412" t="n">
        <x:v>46285</x:v>
      </x:c>
      <x:c r="Q14" s="413" t="str">
        <x:v>Módulo de sincronización</x:v>
      </x:c>
    </x:row>
    <x:row r="15" ht="52" hidden="0" customHeight="1">
      <x:c r="A15" s="422" t="str">
        <x:v>RF-11</x:v>
      </x:c>
      <x:c r="B15" s="380" t="str">
        <x:v>Consultar productores asignados</x:v>
      </x:c>
      <x:c r="C15" s="380" t="str">
        <x:v>La aplicación móvil deberá permitir al acopiador consultar los productores asignados a su operación.</x:v>
      </x:c>
      <x:c r="D15" s="380" t="str">
        <x:v>Funcional</x:v>
      </x:c>
      <x:c r="E15" s="380" t="str">
        <x:v>—</x:v>
      </x:c>
      <x:c r="F15" s="380" t="str">
        <x:v>Acopiador</x:v>
      </x:c>
      <x:c r="G15" s="380" t="str">
        <x:v>Cronograma_2026</x:v>
      </x:c>
      <x:c r="H15" s="380" t="str">
        <x:v>Cronograma 73</x:v>
      </x:c>
      <x:c r="I15" s="380" t="str">
        <x:v>Should</x:v>
      </x:c>
      <x:c r="J15" s="380" t="str">
        <x:v>El acopiador visualiza la lista de productores asignados y puede seleccionar uno durante el recojo.</x:v>
      </x:c>
      <x:c r="K15" s="380" t="str">
        <x:v>Móvil / Productores</x:v>
      </x:c>
      <x:c r="L15" s="380" t="str">
        <x:v>RF-01, RF-02</x:v>
      </x:c>
      <x:c r="M15" s="380" t="str">
        <x:v>Planificado</x:v>
      </x:c>
      <x:c r="N15" s="411" t="str">
        <x:v>Sprint 4</x:v>
      </x:c>
      <x:c r="O15" s="412" t="n">
        <x:v>46276</x:v>
      </x:c>
      <x:c r="P15" s="412" t="n">
        <x:v>46277</x:v>
      </x:c>
      <x:c r="Q15" s="413" t="str">
        <x:v>Pantalla de Productores móvil</x:v>
      </x:c>
    </x:row>
    <x:row r="16" ht="52" hidden="0" customHeight="1">
      <x:c r="A16" s="421" t="str">
        <x:v>RF-12</x:v>
      </x:c>
      <x:c r="B16" s="403" t="str">
        <x:v>Gestionar ruta del día</x:v>
      </x:c>
      <x:c r="C16" s="403" t="str">
        <x:v>La aplicación móvil deberá mostrar al acopiador la ruta operativa del día.</x:v>
      </x:c>
      <x:c r="D16" s="403" t="str">
        <x:v>Funcional</x:v>
      </x:c>
      <x:c r="E16" s="403" t="str">
        <x:v>—</x:v>
      </x:c>
      <x:c r="F16" s="403" t="str">
        <x:v>Acopiador</x:v>
      </x:c>
      <x:c r="G16" s="403" t="str">
        <x:v>Cronograma_2026</x:v>
      </x:c>
      <x:c r="H16" s="403" t="str">
        <x:v>Cronograma 74</x:v>
      </x:c>
      <x:c r="I16" s="403" t="str">
        <x:v>Should</x:v>
      </x:c>
      <x:c r="J16" s="403" t="str">
        <x:v>La app muestra la ruta vigente y los elementos necesarios para ejecutar el recojo planificado.</x:v>
      </x:c>
      <x:c r="K16" s="403" t="str">
        <x:v>Móvil / Rutas</x:v>
      </x:c>
      <x:c r="L16" s="403" t="str">
        <x:v>RF-03</x:v>
      </x:c>
      <x:c r="M16" s="403" t="str">
        <x:v>Planificado</x:v>
      </x:c>
      <x:c r="N16" s="411" t="str">
        <x:v>Sprint 4</x:v>
      </x:c>
      <x:c r="O16" s="412" t="n">
        <x:v>46277</x:v>
      </x:c>
      <x:c r="P16" s="412" t="n">
        <x:v>46278</x:v>
      </x:c>
      <x:c r="Q16" s="413" t="str">
        <x:v>Pantalla de Ruta del día</x:v>
      </x:c>
    </x:row>
    <x:row r="17" ht="52" hidden="0" customHeight="1">
      <x:c r="A17" s="422" t="str">
        <x:v>RF-13</x:v>
      </x:c>
      <x:c r="B17" s="380" t="str">
        <x:v>Capturar evidencia por recojo</x:v>
      </x:c>
      <x:c r="C17" s="380" t="str">
        <x:v>La aplicación móvil deberá permitir asociar evidencia al recojo, como firma digital o fotografía.</x:v>
      </x:c>
      <x:c r="D17" s="380" t="str">
        <x:v>Funcional</x:v>
      </x:c>
      <x:c r="E17" s="380" t="str">
        <x:v>—</x:v>
      </x:c>
      <x:c r="F17" s="380" t="str">
        <x:v>Acopiador</x:v>
      </x:c>
      <x:c r="G17" s="380" t="str">
        <x:v>Cronograma_2026</x:v>
      </x:c>
      <x:c r="H17" s="380" t="str">
        <x:v>Cronograma 99</x:v>
      </x:c>
      <x:c r="I17" s="380" t="str">
        <x:v>Could</x:v>
      </x:c>
      <x:c r="J17" s="380" t="str">
        <x:v>La evidencia seleccionada queda vinculada al recojo correspondiente y puede recuperarse con él.</x:v>
      </x:c>
      <x:c r="K17" s="380" t="str">
        <x:v>Móvil / Evidencias</x:v>
      </x:c>
      <x:c r="L17" s="380" t="str">
        <x:v>RF-05</x:v>
      </x:c>
      <x:c r="M17" s="380" t="str">
        <x:v>Planificado</x:v>
      </x:c>
      <x:c r="N17" s="411" t="str">
        <x:v>Sprint 5</x:v>
      </x:c>
      <x:c r="O17" s="412" t="n">
        <x:v>46286</x:v>
      </x:c>
      <x:c r="P17" s="412" t="n">
        <x:v>46286</x:v>
      </x:c>
      <x:c r="Q17" s="413" t="str">
        <x:v>Módulo de evidencias</x:v>
      </x:c>
    </x:row>
    <x:row r="18" ht="52" hidden="0" customHeight="1">
      <x:c r="A18" s="421" t="str">
        <x:v>RF-14</x:v>
      </x:c>
      <x:c r="B18" s="403" t="str">
        <x:v>Generar reportes y dashboard</x:v>
      </x:c>
      <x:c r="C18" s="403" t="str">
        <x:v>El sistema deberá generar reportes y un dashboard de producción total, por ruta, por productor y por periodo.</x:v>
      </x:c>
      <x:c r="D18" s="403" t="str">
        <x:v>Funcional</x:v>
      </x:c>
      <x:c r="E18" s="403" t="str">
        <x:v>—</x:v>
      </x:c>
      <x:c r="F18" s="403" t="str">
        <x:v>Administrador / Gerencia</x:v>
      </x:c>
      <x:c r="G18" s="403" t="str">
        <x:v>Project Charter / Cronograma</x:v>
      </x:c>
      <x:c r="H18" s="403" t="str">
        <x:v>F · G.8 · Cronograma 107,111</x:v>
      </x:c>
      <x:c r="I18" s="403" t="str">
        <x:v>Must</x:v>
      </x:c>
      <x:c r="J18" s="403" t="str">
        <x:v>Los totales del dashboard y reportes coinciden con los recojos almacenados y pueden filtrarse por los criterios definidos.</x:v>
      </x:c>
      <x:c r="K18" s="403" t="str">
        <x:v>Reportes / Dashboard</x:v>
      </x:c>
      <x:c r="L18" s="403" t="str">
        <x:v>RF-05, RF-07</x:v>
      </x:c>
      <x:c r="M18" s="403" t="str">
        <x:v>Aprobado</x:v>
      </x:c>
      <x:c r="N18" s="411" t="str">
        <x:v>Sprint 6</x:v>
      </x:c>
      <x:c r="O18" s="412" t="n">
        <x:v>46288</x:v>
      </x:c>
      <x:c r="P18" s="412" t="n">
        <x:v>46291</x:v>
      </x:c>
      <x:c r="Q18" s="413" t="str">
        <x:v>API de Reportes · Dashboard Web</x:v>
      </x:c>
    </x:row>
    <x:row r="19" ht="52" hidden="0" customHeight="1">
      <x:c r="A19" s="422" t="str">
        <x:v>RF-15</x:v>
      </x:c>
      <x:c r="B19" s="380" t="str">
        <x:v>Administrar usuarios y roles</x:v>
      </x:c>
      <x:c r="C19" s="380" t="str">
        <x:v>El sistema deberá permitir administrar usuarios y roles de acceso desde el panel web.</x:v>
      </x:c>
      <x:c r="D19" s="380" t="str">
        <x:v>Funcional</x:v>
      </x:c>
      <x:c r="E19" s="380" t="str">
        <x:v>—</x:v>
      </x:c>
      <x:c r="F19" s="380" t="str">
        <x:v>Administrador</x:v>
      </x:c>
      <x:c r="G19" s="380" t="str">
        <x:v>Project Charter / Cronograma</x:v>
      </x:c>
      <x:c r="H19" s="380" t="str">
        <x:v>G.9 · Cronograma 112</x:v>
      </x:c>
      <x:c r="I19" s="380" t="str">
        <x:v>Must</x:v>
      </x:c>
      <x:c r="J19" s="380" t="str">
        <x:v>Un administrador puede crear/actualizar usuarios y asignar roles; los permisos se aplican al iniciar sesión.</x:v>
      </x:c>
      <x:c r="K19" s="380" t="str">
        <x:v>Usuarios / Roles</x:v>
      </x:c>
      <x:c r="L19" s="380" t="str">
        <x:v>RF-16</x:v>
      </x:c>
      <x:c r="M19" s="380" t="str">
        <x:v>Aprobado</x:v>
      </x:c>
      <x:c r="N19" s="411" t="str">
        <x:v>Sprint 6</x:v>
      </x:c>
      <x:c r="O19" s="412" t="n">
        <x:v>46291</x:v>
      </x:c>
      <x:c r="P19" s="412" t="n">
        <x:v>46291</x:v>
      </x:c>
      <x:c r="Q19" s="413" t="str">
        <x:v>Pantalla de Usuarios y Roles</x:v>
      </x:c>
    </x:row>
    <x:row r="20" ht="52" hidden="0" customHeight="1">
      <x:c r="A20" s="421" t="str">
        <x:v>RF-16</x:v>
      </x:c>
      <x:c r="B20" s="403" t="str">
        <x:v>Autenticar usuarios con JWT</x:v>
      </x:c>
      <x:c r="C20" s="403" t="str">
        <x:v>El backend deberá autenticar usuarios y controlar el acceso mediante Spring Security y JWT.</x:v>
      </x:c>
      <x:c r="D20" s="403" t="str">
        <x:v>Funcional</x:v>
      </x:c>
      <x:c r="E20" s="403" t="str">
        <x:v>—</x:v>
      </x:c>
      <x:c r="F20" s="403" t="str">
        <x:v>Todos</x:v>
      </x:c>
      <x:c r="G20" s="403" t="str">
        <x:v>Project Charter / Cronograma</x:v>
      </x:c>
      <x:c r="H20" s="403" t="str">
        <x:v>D · Cronograma 53,59</x:v>
      </x:c>
      <x:c r="I20" s="403" t="str">
        <x:v>Must</x:v>
      </x:c>
      <x:c r="J20" s="403" t="str">
        <x:v>Un usuario válido obtiene acceso autenticado y un usuario sin credenciales válidas no accede a funciones protegidas.</x:v>
      </x:c>
      <x:c r="K20" s="403" t="str">
        <x:v>Seguridad</x:v>
      </x:c>
      <x:c r="L20" s="403" t="str">
        <x:v>—</x:v>
      </x:c>
      <x:c r="M20" s="403" t="str">
        <x:v>Aprobado</x:v>
      </x:c>
      <x:c r="N20" s="411" t="str">
        <x:v>Sprint 3</x:v>
      </x:c>
      <x:c r="O20" s="412" t="n">
        <x:v>46269</x:v>
      </x:c>
      <x:c r="P20" s="412" t="n">
        <x:v>46271</x:v>
      </x:c>
      <x:c r="Q20" s="413" t="str">
        <x:v>Módulo de seguridad base · API de autenticación</x:v>
      </x:c>
    </x:row>
    <x:row r="21" ht="52" hidden="0" customHeight="1">
      <x:c r="A21" s="422" t="str">
        <x:v>RF-17</x:v>
      </x:c>
      <x:c r="B21" s="380" t="str">
        <x:v>Consultar historial personal de recojos</x:v>
      </x:c>
      <x:c r="C21" s="380" t="str">
        <x:v>La aplicación móvil deberá permitir al acopiador consultar su historial de recojos y reportes personales.</x:v>
      </x:c>
      <x:c r="D21" s="380" t="str">
        <x:v>Funcional</x:v>
      </x:c>
      <x:c r="E21" s="380" t="str">
        <x:v>—</x:v>
      </x:c>
      <x:c r="F21" s="380" t="str">
        <x:v>Acopiador</x:v>
      </x:c>
      <x:c r="G21" s="380" t="str">
        <x:v>Cronograma_2026</x:v>
      </x:c>
      <x:c r="H21" s="380" t="str">
        <x:v>Cronograma 117</x:v>
      </x:c>
      <x:c r="I21" s="380" t="str">
        <x:v>Should</x:v>
      </x:c>
      <x:c r="J21" s="380" t="str">
        <x:v>El acopiador puede revisar sus recojos registrados y el historial mostrado corresponde a sus datos.</x:v>
      </x:c>
      <x:c r="K21" s="380" t="str">
        <x:v>Móvil / Historial</x:v>
      </x:c>
      <x:c r="L21" s="380" t="str">
        <x:v>RF-05</x:v>
      </x:c>
      <x:c r="M21" s="380" t="str">
        <x:v>Planificado</x:v>
      </x:c>
      <x:c r="N21" s="411" t="str">
        <x:v>Sprint 6</x:v>
      </x:c>
      <x:c r="O21" s="412" t="n">
        <x:v>46290</x:v>
      </x:c>
      <x:c r="P21" s="412" t="n">
        <x:v>46291</x:v>
      </x:c>
      <x:c r="Q21" s="413" t="str">
        <x:v>Pantalla de Historial</x:v>
      </x:c>
    </x:row>
    <x:row r="22" ht="52" hidden="0" customHeight="1">
      <x:c r="A22" s="421" t="str">
        <x:v>RF-18</x:v>
      </x:c>
      <x:c r="B22" s="403" t="str">
        <x:v>Recibir notificaciones</x:v>
      </x:c>
      <x:c r="C22" s="403" t="str">
        <x:v>El sistema deberá soportar notificaciones definidas en el cronograma mediante email y/o push en la aplicación móvil.</x:v>
      </x:c>
      <x:c r="D22" s="403" t="str">
        <x:v>Funcional</x:v>
      </x:c>
      <x:c r="E22" s="403" t="str">
        <x:v>—</x:v>
      </x:c>
      <x:c r="F22" s="403" t="str">
        <x:v>Administrador / Acopiador</x:v>
      </x:c>
      <x:c r="G22" s="403" t="str">
        <x:v>Cronograma_2026</x:v>
      </x:c>
      <x:c r="H22" s="403" t="str">
        <x:v>Cronograma 110,113</x:v>
      </x:c>
      <x:c r="I22" s="403" t="str">
        <x:v>Could</x:v>
      </x:c>
      <x:c r="J22" s="403" t="str">
        <x:v>Una notificación configurada puede generarse y recibirse por el canal previsto sin afectar el resto de módulos.</x:v>
      </x:c>
      <x:c r="K22" s="403" t="str">
        <x:v>Notificaciones</x:v>
      </x:c>
      <x:c r="L22" s="403" t="str">
        <x:v>RF-16</x:v>
      </x:c>
      <x:c r="M22" s="403" t="str">
        <x:v>Planificado</x:v>
      </x:c>
      <x:c r="N22" s="411" t="str">
        <x:v>Sprint 6</x:v>
      </x:c>
      <x:c r="O22" s="412" t="n">
        <x:v>46289</x:v>
      </x:c>
      <x:c r="P22" s="412" t="n">
        <x:v>46290</x:v>
      </x:c>
      <x:c r="Q22" s="413" t="str">
        <x:v>API de Notificaciones · Notificaciones móvil</x:v>
      </x:c>
    </x:row>
    <x:row r="23" ht="52" hidden="0" customHeight="1">
      <x:c r="A23" s="422" t="str">
        <x:v>RNF-01</x:v>
      </x:c>
      <x:c r="B23" s="380" t="str">
        <x:v>Interfaz intuitiva y responsive</x:v>
      </x:c>
      <x:c r="C23" s="380" t="str">
        <x:v>La plataforma web deberá ser responsive y mantener una interfaz clara e intuitiva para usuarios con distintos niveles de alfabetización digital.</x:v>
      </x:c>
      <x:c r="D23" s="380" t="str">
        <x:v>No funcional</x:v>
      </x:c>
      <x:c r="E23" s="380" t="str">
        <x:v>Usabilidad</x:v>
      </x:c>
      <x:c r="F23" s="380" t="str">
        <x:v>Todos</x:v>
      </x:c>
      <x:c r="G23" s="380" t="str">
        <x:v>Project Charter</x:v>
      </x:c>
      <x:c r="H23" s="380" t="str">
        <x:v>F - Calidad</x:v>
      </x:c>
      <x:c r="I23" s="380" t="str">
        <x:v>Must</x:v>
      </x:c>
      <x:c r="J23" s="380" t="str">
        <x:v>Las funciones principales son legibles y utilizables en resoluciones comunes sin pérdida de controles esenciales.</x:v>
      </x:c>
      <x:c r="K23" s="380" t="str">
        <x:v>Transversal</x:v>
      </x:c>
      <x:c r="L23" s="380" t="str">
        <x:v>—</x:v>
      </x:c>
      <x:c r="M23" s="380" t="str">
        <x:v>Aprobado</x:v>
      </x:c>
      <x:c r="N23" s="411" t="str">
        <x:v>Transversal · Sprint 1–8 + Entrega</x:v>
      </x:c>
      <x:c r="O23" s="412" t="n">
        <x:v>46253</x:v>
      </x:c>
      <x:c r="P23" s="412" t="n">
        <x:v>46309</x:v>
      </x:c>
      <x:c r="Q23" s="413" t="str">
        <x:v>Validación transversal durante diseño, desarrollo, pruebas y entrega</x:v>
      </x:c>
    </x:row>
    <x:row r="24" ht="52" hidden="0" customHeight="1">
      <x:c r="A24" s="421" t="str">
        <x:v>RNF-02</x:v>
      </x:c>
      <x:c r="B24" s="403" t="str">
        <x:v>Seguridad de la información</x:v>
      </x:c>
      <x:c r="C24" s="403" t="str">
        <x:v>La solución deberá usar HTTPS, autenticación JWT y controles de autorización para proteger datos y accesos.</x:v>
      </x:c>
      <x:c r="D24" s="403" t="str">
        <x:v>No funcional</x:v>
      </x:c>
      <x:c r="E24" s="403" t="str">
        <x:v>Seguridad</x:v>
      </x:c>
      <x:c r="F24" s="403" t="str">
        <x:v>Todos</x:v>
      </x:c>
      <x:c r="G24" s="403" t="str">
        <x:v>Project Charter / Cronograma</x:v>
      </x:c>
      <x:c r="H24" s="403" t="str">
        <x:v>F - Calidad · Cronograma 53,59</x:v>
      </x:c>
      <x:c r="I24" s="403" t="str">
        <x:v>Must</x:v>
      </x:c>
      <x:c r="J24" s="403" t="str">
        <x:v>Las funciones protegidas requieren autenticación y las comunicaciones de producción utilizan HTTPS.</x:v>
      </x:c>
      <x:c r="K24" s="403" t="str">
        <x:v>Seguridad</x:v>
      </x:c>
      <x:c r="L24" s="403" t="str">
        <x:v>RF-16</x:v>
      </x:c>
      <x:c r="M24" s="403" t="str">
        <x:v>Aprobado</x:v>
      </x:c>
      <x:c r="N24" s="411" t="str">
        <x:v>Sprint 3</x:v>
      </x:c>
      <x:c r="O24" s="412" t="n">
        <x:v>46269</x:v>
      </x:c>
      <x:c r="P24" s="412" t="n">
        <x:v>46271</x:v>
      </x:c>
      <x:c r="Q24" s="413" t="str">
        <x:v>Módulo de seguridad base · API de autenticación</x:v>
      </x:c>
    </x:row>
    <x:row r="25" ht="52" hidden="0" customHeight="1">
      <x:c r="A25" s="422" t="str">
        <x:v>RNF-03</x:v>
      </x:c>
      <x:c r="B25" s="380" t="str">
        <x:v>Compatibilidad Android</x:v>
      </x:c>
      <x:c r="C25" s="380" t="str">
        <x:v>La aplicación móvil deberá ser compatible con dispositivos Android de gama media y baja y distribuirse mediante APK.</x:v>
      </x:c>
      <x:c r="D25" s="380" t="str">
        <x:v>No funcional</x:v>
      </x:c>
      <x:c r="E25" s="380" t="str">
        <x:v>Compatibilidad</x:v>
      </x:c>
      <x:c r="F25" s="380" t="str">
        <x:v>Acopiador</x:v>
      </x:c>
      <x:c r="G25" s="380" t="str">
        <x:v>Project Charter / Cronograma</x:v>
      </x:c>
      <x:c r="H25" s="380" t="str">
        <x:v>G - Exclusiones/Restricciones · Cronograma 158</x:v>
      </x:c>
      <x:c r="I25" s="380" t="str">
        <x:v>Must</x:v>
      </x:c>
      <x:c r="J25" s="380" t="str">
        <x:v>La APK se instala y permite ejecutar los flujos principales en dispositivos Android compatibles.</x:v>
      </x:c>
      <x:c r="K25" s="380" t="str">
        <x:v>Móvil</x:v>
      </x:c>
      <x:c r="L25" s="380" t="str">
        <x:v>—</x:v>
      </x:c>
      <x:c r="M25" s="380" t="str">
        <x:v>Aprobado</x:v>
      </x:c>
      <x:c r="N25" s="411" t="str">
        <x:v>Sprint 8</x:v>
      </x:c>
      <x:c r="O25" s="412" t="n">
        <x:v>46303</x:v>
      </x:c>
      <x:c r="P25" s="412" t="n">
        <x:v>46303</x:v>
      </x:c>
      <x:c r="Q25" s="413" t="str">
        <x:v>App móvil distribuida</x:v>
      </x:c>
    </x:row>
    <x:row r="26" ht="52" hidden="0" customHeight="1">
      <x:c r="A26" s="421" t="str">
        <x:v>RNF-04</x:v>
      </x:c>
      <x:c r="B26" s="403" t="str">
        <x:v>Compatibilidad web</x:v>
      </x:c>
      <x:c r="C26" s="403" t="str">
        <x:v>La plataforma web deberá funcionar en navegadores modernos Chrome, Firefox y Edge.</x:v>
      </x:c>
      <x:c r="D26" s="403" t="str">
        <x:v>No funcional</x:v>
      </x:c>
      <x:c r="E26" s="403" t="str">
        <x:v>Compatibilidad</x:v>
      </x:c>
      <x:c r="F26" s="403" t="str">
        <x:v>Administrador</x:v>
      </x:c>
      <x:c r="G26" s="403" t="str">
        <x:v>Project Charter</x:v>
      </x:c>
      <x:c r="H26" s="403" t="str">
        <x:v>G - Restricciones 3</x:v>
      </x:c>
      <x:c r="I26" s="403" t="str">
        <x:v>Must</x:v>
      </x:c>
      <x:c r="J26" s="403" t="str">
        <x:v>Las funciones críticas se ejecutan correctamente en los navegadores indicados.</x:v>
      </x:c>
      <x:c r="K26" s="403" t="str">
        <x:v>Web</x:v>
      </x:c>
      <x:c r="L26" s="403" t="str">
        <x:v>—</x:v>
      </x:c>
      <x:c r="M26" s="403" t="str">
        <x:v>Aprobado</x:v>
      </x:c>
      <x:c r="N26" s="411" t="str">
        <x:v>Transversal · Sprint 1–8 + Entrega</x:v>
      </x:c>
      <x:c r="O26" s="412" t="n">
        <x:v>46253</x:v>
      </x:c>
      <x:c r="P26" s="412" t="n">
        <x:v>46309</x:v>
      </x:c>
      <x:c r="Q26" s="413" t="str">
        <x:v>Validación transversal durante diseño, desarrollo, pruebas y entrega</x:v>
      </x:c>
    </x:row>
    <x:row r="27" ht="52" hidden="0" customHeight="1">
      <x:c r="A27" s="422" t="str">
        <x:v>RNF-05</x:v>
      </x:c>
      <x:c r="B27" s="380" t="str">
        <x:v>Rendimiento y estabilidad</x:v>
      </x:c>
      <x:c r="C27" s="380" t="str">
        <x:v>La plataforma deberá ser estable, rápida y mantener un comportamiento consistente durante las operaciones habituales.</x:v>
      </x:c>
      <x:c r="D27" s="380" t="str">
        <x:v>No funcional</x:v>
      </x:c>
      <x:c r="E27" s="380" t="str">
        <x:v>Rendimiento</x:v>
      </x:c>
      <x:c r="F27" s="380" t="str">
        <x:v>Todos</x:v>
      </x:c>
      <x:c r="G27" s="380" t="str">
        <x:v>Project Charter</x:v>
      </x:c>
      <x:c r="H27" s="380" t="str">
        <x:v>F - Calidad</x:v>
      </x:c>
      <x:c r="I27" s="380" t="str">
        <x:v>Should</x:v>
      </x:c>
      <x:c r="J27" s="380" t="str">
        <x:v>Los flujos habituales se completan sin bloqueos y las pruebas no funcionales no detectan fallos críticos de rendimiento.</x:v>
      </x:c>
      <x:c r="K27" s="380" t="str">
        <x:v>Transversal</x:v>
      </x:c>
      <x:c r="L27" s="380" t="str">
        <x:v>—</x:v>
      </x:c>
      <x:c r="M27" s="380" t="str">
        <x:v>Aprobado</x:v>
      </x:c>
      <x:c r="N27" s="411" t="str">
        <x:v>Sprint 7</x:v>
      </x:c>
      <x:c r="O27" s="412"/>
      <x:c r="P27" s="412"/>
      <x:c r="Q27" s="413"/>
    </x:row>
    <x:row r="28" ht="52" hidden="0" customHeight="1">
      <x:c r="A28" s="421" t="str">
        <x:v>RNF-06</x:v>
      </x:c>
      <x:c r="B28" s="403" t="str">
        <x:v>Persistencia de datos</x:v>
      </x:c>
      <x:c r="C28" s="403" t="str">
        <x:v>El backend deberá usar PostgreSQL y la aplicación móvil SQLite para almacenamiento local offline.</x:v>
      </x:c>
      <x:c r="D28" s="403" t="str">
        <x:v>No funcional</x:v>
      </x:c>
      <x:c r="E28" s="403" t="str">
        <x:v>Datos</x:v>
      </x:c>
      <x:c r="F28" s="403" t="str">
        <x:v>Equipo de desarrollo</x:v>
      </x:c>
      <x:c r="G28" s="403" t="str">
        <x:v>Project Charter / Cronograma</x:v>
      </x:c>
      <x:c r="H28" s="403" t="str">
        <x:v>B/D · Cronograma 48,95</x:v>
      </x:c>
      <x:c r="I28" s="403" t="str">
        <x:v>Must</x:v>
      </x:c>
      <x:c r="J28" s="403" t="str">
        <x:v>Los datos del servidor se almacenan en PostgreSQL y los registros offline en SQLite hasta su sincronización.</x:v>
      </x:c>
      <x:c r="K28" s="403" t="str">
        <x:v>Datos</x:v>
      </x:c>
      <x:c r="L28" s="403" t="str">
        <x:v>RF-10</x:v>
      </x:c>
      <x:c r="M28" s="403" t="str">
        <x:v>Aprobado</x:v>
      </x:c>
      <x:c r="N28" s="411" t="str">
        <x:v>Sprint 3 / Sprint 5</x:v>
      </x:c>
      <x:c r="O28" s="412" t="n">
        <x:v>46269</x:v>
      </x:c>
      <x:c r="P28" s="412" t="n">
        <x:v>46285</x:v>
      </x:c>
      <x:c r="Q28" s="413" t="str">
        <x:v>BD PostgreSQL creada · Módulo de sincronización</x:v>
      </x:c>
    </x:row>
    <x:row r="29" ht="52" hidden="0" customHeight="1">
      <x:c r="A29" s="422" t="str">
        <x:v>RNF-07</x:v>
      </x:c>
      <x:c r="B29" s="380" t="str">
        <x:v>Disponibilidad en producción</x:v>
      </x:c>
      <x:c r="C29" s="380" t="str">
        <x:v>El sistema deberá desplegarse en un servidor de producción con dominio y certificado SSL, buscando funcionamiento continuo.</x:v>
      </x:c>
      <x:c r="D29" s="380" t="str">
        <x:v>No funcional</x:v>
      </x:c>
      <x:c r="E29" s="380" t="str">
        <x:v>Disponibilidad</x:v>
      </x:c>
      <x:c r="F29" s="380" t="str">
        <x:v>Administrador</x:v>
      </x:c>
      <x:c r="G29" s="380" t="str">
        <x:v>Project Charter / Cronograma</x:v>
      </x:c>
      <x:c r="H29" s="380" t="str">
        <x:v>D.2 · Cronograma 153-155</x:v>
      </x:c>
      <x:c r="I29" s="380" t="str">
        <x:v>Should</x:v>
      </x:c>
      <x:c r="J29" s="380" t="str">
        <x:v>El backend y la web quedan accesibles en producción y superan las pruebas de humo posteriores al despliegue.</x:v>
      </x:c>
      <x:c r="K29" s="380" t="str">
        <x:v>Infraestructura</x:v>
      </x:c>
      <x:c r="L29" s="380" t="str">
        <x:v>RNF-02</x:v>
      </x:c>
      <x:c r="M29" s="380" t="str">
        <x:v>Aprobado</x:v>
      </x:c>
      <x:c r="N29" s="411" t="str">
        <x:v>Sprint 8</x:v>
      </x:c>
      <x:c r="O29" s="412" t="n">
        <x:v>46302</x:v>
      </x:c>
      <x:c r="P29" s="412" t="n">
        <x:v>46303</x:v>
      </x:c>
      <x:c r="Q29" s="413" t="str">
        <x:v>Entorno de producción listo · Backend en producción · Web en producción</x:v>
      </x:c>
    </x:row>
    <x:row r="30" ht="52" hidden="0" customHeight="1">
      <x:c r="A30" s="421" t="str">
        <x:v>RNF-08</x:v>
      </x:c>
      <x:c r="B30" s="403" t="str">
        <x:v>Integridad y respaldo</x:v>
      </x:c>
      <x:c r="C30" s="403" t="str">
        <x:v>La implementación deberá contemplar respaldo de datos y validación de la carga/migración inicial para reducir el riesgo de pérdida de información.</x:v>
      </x:c>
      <x:c r="D30" s="403" t="str">
        <x:v>No funcional</x:v>
      </x:c>
      <x:c r="E30" s="403" t="str">
        <x:v>Confiabilidad</x:v>
      </x:c>
      <x:c r="F30" s="403" t="str">
        <x:v>Administrador / Equipo</x:v>
      </x:c>
      <x:c r="G30" s="403" t="str">
        <x:v>Project Charter / Cronograma</x:v>
      </x:c>
      <x:c r="H30" s="403" t="str">
        <x:v>R9 · Cronograma 161,170</x:v>
      </x:c>
      <x:c r="I30" s="403" t="str">
        <x:v>Must</x:v>
      </x:c>
      <x:c r="J30" s="403" t="str">
        <x:v>La carga inicial se valida y existe un procedimiento de respaldo/recuperación documentado para producción.</x:v>
      </x:c>
      <x:c r="K30" s="403" t="str">
        <x:v>Datos / Respaldo</x:v>
      </x:c>
      <x:c r="L30" s="403" t="str">
        <x:v>RNF-06</x:v>
      </x:c>
      <x:c r="M30" s="403" t="str">
        <x:v>Aprobado</x:v>
      </x:c>
      <x:c r="N30" s="411" t="str">
        <x:v>Sprint 8</x:v>
      </x:c>
      <x:c r="O30" s="412" t="n">
        <x:v>46304</x:v>
      </x:c>
      <x:c r="P30" s="412" t="n">
        <x:v>46307</x:v>
      </x:c>
      <x:c r="Q30" s="413" t="str">
        <x:v>Datos maestros cargados · Bitácora de soporte</x:v>
      </x:c>
    </x:row>
    <x:row r="31" ht="52" hidden="0" customHeight="1">
      <x:c r="A31" s="423" t="str">
        <x:v>RNF-09</x:v>
      </x:c>
      <x:c r="B31" s="384" t="str">
        <x:v>Mantenibilidad y documentación</x:v>
      </x:c>
      <x:c r="C31" s="384" t="str">
        <x:v>La solución deberá contar con documentación técnica y de usuario suficiente para facilitar soporte, despliegue y mantenimiento.</x:v>
      </x:c>
      <x:c r="D31" s="384" t="str">
        <x:v>No funcional</x:v>
      </x:c>
      <x:c r="E31" s="384" t="str">
        <x:v>Mantenibilidad</x:v>
      </x:c>
      <x:c r="F31" s="384" t="str">
        <x:v>Equipo de desarrollo</x:v>
      </x:c>
      <x:c r="G31" s="384" t="str">
        <x:v>Project Charter / Cronograma</x:v>
      </x:c>
      <x:c r="H31" s="384" t="str">
        <x:v>G.12 · Cronograma 79,144,145,178</x:v>
      </x:c>
      <x:c r="I31" s="384" t="str">
        <x:v>Should</x:v>
      </x:c>
      <x:c r="J31" s="384" t="str">
        <x:v>Se entregan manual de usuario, manual técnico y documentación de API/código prevista por el cronograma.</x:v>
      </x:c>
      <x:c r="K31" s="384" t="str">
        <x:v>Documentación</x:v>
      </x:c>
      <x:c r="L31" s="384" t="str">
        <x:v>—</x:v>
      </x:c>
      <x:c r="M31" s="384" t="str">
        <x:v>Aprobado</x:v>
      </x:c>
      <x:c r="N31" s="414" t="str">
        <x:v>Sprint 4 / Sprint 7 / Cierre</x:v>
      </x:c>
      <x:c r="O31" s="415" t="n">
        <x:v>46279</x:v>
      </x:c>
      <x:c r="P31" s="415" t="n">
        <x:v>46309</x:v>
      </x:c>
      <x:c r="Q31" s="416" t="str">
        <x:v>Documentación Swagger · Manual de usuario · Manual técnico · Repositorio + documentación entregada</x:v>
      </x:c>
    </x:row>
  </x:sheetData>
  <x:mergeCells>
    <x:mergeCell ref="A1:Q1"/>
    <x:mergeCell ref="A2:Q2"/>
  </x:mergeCells>
  <x:conditionalFormatting sqref="M5:M31">
    <x:cfRule type="expression" dxfId="6" priority="4">
      <x:formula>M5="Aprobado"</x:formula>
    </x:cfRule>
    <x:cfRule type="expression" dxfId="7" priority="5">
      <x:formula>M5="Planificado"</x:formula>
    </x:cfRule>
  </x:conditionalFormatting>
  <x:conditionalFormatting sqref="I5:I31">
    <x:cfRule type="expression" dxfId="8" priority="6">
      <x:formula>I5="Must"</x:formula>
    </x:cfRule>
  </x:conditionalFormatting>
  <x:dataValidations count="3">
    <x:dataValidation type="list" sqref="D5:D31">
      <x:formula1>"Funcional,No funcional"</x:formula1>
    </x:dataValidation>
    <x:dataValidation type="list" sqref="I5:I31">
      <x:formula1>"Must,Should,Could"</x:formula1>
    </x:dataValidation>
    <x:dataValidation type="list" sqref="M5:M31">
      <x:formula1>"Aprobado,Planificado,Por validar,Fuera de alcance"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43" hidden="0" customWidth="1"/>
    <x:col min="4" max="4" width="42" hidden="0" customWidth="1"/>
    <x:col min="5" max="5" width="62" hidden="0" customWidth="1"/>
    <x:col min="6" max="6" width="34" hidden="0" customWidth="1"/>
    <x:col min="7" max="7" width="16" hidden="0" customWidth="1"/>
    <x:col min="8" max="8" width="18" hidden="0" customWidth="1"/>
  </x:cols>
  <x:sheetData>
    <x:row r="1" ht="19.200000762939453" hidden="0" customHeight="1">
      <x:c r="A1" s="5" t="str">
        <x:v>CASOS DE PRUEBA - HUATA LÁCTEOS</x:v>
      </x:c>
      <x:c r="B1" s="5"/>
      <x:c r="C1" s="5"/>
      <x:c r="D1" s="5"/>
      <x:c r="E1" s="5"/>
      <x:c r="F1" s="5"/>
      <x:c r="G1" s="5"/>
      <x:c r="H1" s="5"/>
    </x:row>
    <x:row r="2" ht="15" hidden="0" customHeight="1">
      <x:c r="A2" s="11" t="str">
        <x:v>Casos mínimos de validación derivados de los requerimientos corregidos.</x:v>
      </x:c>
      <x:c r="B2" s="11"/>
      <x:c r="C2" s="11"/>
      <x:c r="D2" s="11"/>
      <x:c r="E2" s="11"/>
      <x:c r="F2" s="11"/>
      <x:c r="G2" s="11"/>
      <x:c r="H2" s="11"/>
    </x:row>
    <x:row r="3"/>
    <x:row r="4" ht="15" hidden="0" customHeight="1">
      <x:c r="A4" s="21" t="str">
        <x:v>ID</x:v>
      </x:c>
      <x:c r="B4" s="81" t="str">
        <x:v>Requisito</x:v>
      </x:c>
      <x:c r="C4" s="81" t="str">
        <x:v>Escenario</x:v>
      </x:c>
      <x:c r="D4" s="81" t="str">
        <x:v>Datos / precondición</x:v>
      </x:c>
      <x:c r="E4" s="81" t="str">
        <x:v>Resultado esperado</x:v>
      </x:c>
      <x:c r="F4" s="81" t="str">
        <x:v>Resultado obtenido</x:v>
      </x:c>
      <x:c r="G4" s="81" t="str">
        <x:v>Estado</x:v>
      </x:c>
      <x:c r="H4" s="22" t="str">
        <x:v>Sprint</x:v>
      </x:c>
    </x:row>
    <x:row r="5" ht="21.600000381469727" hidden="0" customHeight="1">
      <x:c r="A5" s="46" t="str">
        <x:v>CP-01</x:v>
      </x:c>
      <x:c r="B5" s="91" t="str">
        <x:v>RF-01</x:v>
      </x:c>
      <x:c r="C5" s="91" t="str">
        <x:v>Validar: gestionar productores.</x:v>
      </x:c>
      <x:c r="D5" s="91" t="str">
        <x:v>Datos válidos del flujo y usuario con permisos correspondientes.</x:v>
      </x:c>
      <x:c r="E5" s="91" t="str">
        <x:v>Se puede crear, consultar y actualizar un productor; la información queda disponible para recojos y reportes.</x:v>
      </x:c>
      <x:c r="F5" s="91"/>
      <x:c r="G5" s="91" t="str">
        <x:v>Pendiente</x:v>
      </x:c>
      <x:c r="H5" s="47" t="str">
        <x:v>Sprint 4</x:v>
      </x:c>
    </x:row>
    <x:row r="6" ht="15" hidden="0" customHeight="1">
      <x:c r="A6" s="48" t="str">
        <x:v>CP-02</x:v>
      </x:c>
      <x:c r="B6" s="92" t="str">
        <x:v>RF-02</x:v>
      </x:c>
      <x:c r="C6" s="92" t="str">
        <x:v>Validar: gestionar acopiadores.</x:v>
      </x:c>
      <x:c r="D6" s="92" t="str">
        <x:v>Datos válidos del flujo y usuario con permisos correspondientes.</x:v>
      </x:c>
      <x:c r="E6" s="92" t="str">
        <x:v>El administrador puede registrar y consultar acopiadores y asociarlos a la operación correspondiente.</x:v>
      </x:c>
      <x:c r="F6" s="92"/>
      <x:c r="G6" s="92" t="str">
        <x:v>Pendiente</x:v>
      </x:c>
      <x:c r="H6" s="49" t="str">
        <x:v>Sprint 4</x:v>
      </x:c>
    </x:row>
    <x:row r="7" ht="15" hidden="0" customHeight="1">
      <x:c r="A7" s="48" t="str">
        <x:v>CP-03</x:v>
      </x:c>
      <x:c r="B7" s="92" t="str">
        <x:v>RF-03</x:v>
      </x:c>
      <x:c r="C7" s="92" t="str">
        <x:v>Validar: gestionar rutas.</x:v>
      </x:c>
      <x:c r="D7" s="92" t="str">
        <x:v>Datos válidos del flujo y usuario con permisos correspondientes.</x:v>
      </x:c>
      <x:c r="E7" s="92" t="str">
        <x:v>Las rutas pueden registrarse y consultarse; el acopiador puede visualizar la ruta del día.</x:v>
      </x:c>
      <x:c r="F7" s="92"/>
      <x:c r="G7" s="92" t="str">
        <x:v>Pendiente</x:v>
      </x:c>
      <x:c r="H7" s="49" t="str">
        <x:v>Sprint 4</x:v>
      </x:c>
    </x:row>
    <x:row r="8" ht="15" hidden="0" customHeight="1">
      <x:c r="A8" s="48" t="str">
        <x:v>CP-04</x:v>
      </x:c>
      <x:c r="B8" s="92" t="str">
        <x:v>RF-04</x:v>
      </x:c>
      <x:c r="C8" s="92" t="str">
        <x:v>Validar: gestionar centros de acopio.</x:v>
      </x:c>
      <x:c r="D8" s="92" t="str">
        <x:v>Datos válidos del flujo y usuario con permisos correspondientes.</x:v>
      </x:c>
      <x:c r="E8" s="92" t="str">
        <x:v>Los centros de acopio pueden crearse, consultarse y usarse en la gestión operativa.</x:v>
      </x:c>
      <x:c r="F8" s="92"/>
      <x:c r="G8" s="92" t="str">
        <x:v>Pendiente</x:v>
      </x:c>
      <x:c r="H8" s="49" t="str">
        <x:v>Sprint 4</x:v>
      </x:c>
    </x:row>
    <x:row r="9" ht="21.600000381469727" hidden="0" customHeight="1">
      <x:c r="A9" s="48" t="str">
        <x:v>CP-05</x:v>
      </x:c>
      <x:c r="B9" s="92" t="str">
        <x:v>RF-05</x:v>
      </x:c>
      <x:c r="C9" s="92" t="str">
        <x:v>Validar: registrar recojo de leche.</x:v>
      </x:c>
      <x:c r="D9" s="92" t="str">
        <x:v>Datos válidos del flujo y usuario con permisos correspondientes.</x:v>
      </x:c>
      <x:c r="E9" s="92" t="str">
        <x:v>Un recojo válido queda persistido con productor, cantidad, calidad y fecha y puede consultarse posteriormente.</x:v>
      </x:c>
      <x:c r="F9" s="92"/>
      <x:c r="G9" s="92" t="str">
        <x:v>Pendiente</x:v>
      </x:c>
      <x:c r="H9" s="49" t="str">
        <x:v>Sprint 5</x:v>
      </x:c>
    </x:row>
    <x:row r="10" ht="21.600000381469727" hidden="0" customHeight="1">
      <x:c r="A10" s="48" t="str">
        <x:v>CP-06</x:v>
      </x:c>
      <x:c r="B10" s="92" t="str">
        <x:v>RF-06</x:v>
      </x:c>
      <x:c r="C10" s="92" t="str">
        <x:v>Validar: registrar control de calidad.</x:v>
      </x:c>
      <x:c r="D10" s="92" t="str">
        <x:v>Datos válidos del flujo y usuario con permisos correspondientes.</x:v>
      </x:c>
      <x:c r="E10" s="92" t="str">
        <x:v>El control queda asociado al recojo y conserva densidad, acidez, temperatura y observaciones disponibles.</x:v>
      </x:c>
      <x:c r="F10" s="92"/>
      <x:c r="G10" s="92" t="str">
        <x:v>Pendiente</x:v>
      </x:c>
      <x:c r="H10" s="49" t="str">
        <x:v>Sprint 5</x:v>
      </x:c>
    </x:row>
    <x:row r="11" ht="21.600000381469727" hidden="0" customHeight="1">
      <x:c r="A11" s="48" t="str">
        <x:v>CP-07</x:v>
      </x:c>
      <x:c r="B11" s="92" t="str">
        <x:v>RF-07</x:v>
      </x:c>
      <x:c r="C11" s="92" t="str">
        <x:v>Validar: calcular liquidación.</x:v>
      </x:c>
      <x:c r="D11" s="92" t="str">
        <x:v>Datos válidos del flujo y usuario con permisos correspondientes.</x:v>
      </x:c>
      <x:c r="E11" s="92" t="str">
        <x:v>El sistema genera una liquidación consistente con los datos de cantidad y calidad del recojo y permite su consulta.</x:v>
      </x:c>
      <x:c r="F11" s="92"/>
      <x:c r="G11" s="92" t="str">
        <x:v>Pendiente</x:v>
      </x:c>
      <x:c r="H11" s="49" t="str">
        <x:v>Sprint 5</x:v>
      </x:c>
    </x:row>
    <x:row r="12" ht="15" hidden="0" customHeight="1">
      <x:c r="A12" s="48" t="str">
        <x:v>CP-08</x:v>
      </x:c>
      <x:c r="B12" s="92" t="str">
        <x:v>RF-08</x:v>
      </x:c>
      <x:c r="C12" s="92" t="str">
        <x:v>Validar: consultar liquidaciones por productor y fecha.</x:v>
      </x:c>
      <x:c r="D12" s="92" t="str">
        <x:v>Datos válidos del flujo y usuario con permisos correspondientes.</x:v>
      </x:c>
      <x:c r="E12" s="92" t="str">
        <x:v>El filtro por productor y fecha devuelve únicamente las liquidaciones correspondientes.</x:v>
      </x:c>
      <x:c r="F12" s="92"/>
      <x:c r="G12" s="92" t="str">
        <x:v>Pendiente</x:v>
      </x:c>
      <x:c r="H12" s="49" t="str">
        <x:v>Sprint 5</x:v>
      </x:c>
    </x:row>
    <x:row r="13" ht="15" hidden="0" customHeight="1">
      <x:c r="A13" s="48" t="str">
        <x:v>CP-09</x:v>
      </x:c>
      <x:c r="B13" s="92" t="str">
        <x:v>RF-09</x:v>
      </x:c>
      <x:c r="C13" s="92" t="str">
        <x:v>Validar: registrar recojo sin conexión.</x:v>
      </x:c>
      <x:c r="D13" s="92" t="str">
        <x:v>Datos válidos del flujo y usuario con permisos correspondientes.</x:v>
      </x:c>
      <x:c r="E13" s="92" t="str">
        <x:v>El acopiador puede completar y guardar un recojo en modo offline sin perder los datos capturados.</x:v>
      </x:c>
      <x:c r="F13" s="92"/>
      <x:c r="G13" s="92" t="str">
        <x:v>Pendiente</x:v>
      </x:c>
      <x:c r="H13" s="49" t="str">
        <x:v>Sprint 5</x:v>
      </x:c>
    </x:row>
    <x:row r="14" ht="21.600000381469727" hidden="0" customHeight="1">
      <x:c r="A14" s="48" t="str">
        <x:v>CP-10</x:v>
      </x:c>
      <x:c r="B14" s="92" t="str">
        <x:v>RF-10</x:v>
      </x:c>
      <x:c r="C14" s="92" t="str">
        <x:v>Validar: sincronizar datos offline.</x:v>
      </x:c>
      <x:c r="D14" s="92" t="str">
        <x:v>Datos válidos del flujo y usuario con permisos correspondientes.</x:v>
      </x:c>
      <x:c r="E14" s="92" t="str">
        <x:v>Los registros pendientes se sincronizan posteriormente sin duplicarse y quedan disponibles en el servidor.</x:v>
      </x:c>
      <x:c r="F14" s="92"/>
      <x:c r="G14" s="92" t="str">
        <x:v>Pendiente</x:v>
      </x:c>
      <x:c r="H14" s="49" t="str">
        <x:v>Sprint 5</x:v>
      </x:c>
    </x:row>
    <x:row r="15" ht="15" hidden="0" customHeight="1">
      <x:c r="A15" s="48" t="str">
        <x:v>CP-11</x:v>
      </x:c>
      <x:c r="B15" s="92" t="str">
        <x:v>RF-11</x:v>
      </x:c>
      <x:c r="C15" s="92" t="str">
        <x:v>Validar: consultar productores asignados.</x:v>
      </x:c>
      <x:c r="D15" s="92" t="str">
        <x:v>Datos válidos del flujo y usuario con permisos correspondientes.</x:v>
      </x:c>
      <x:c r="E15" s="92" t="str">
        <x:v>El acopiador visualiza la lista de productores asignados y puede seleccionar uno durante el recojo.</x:v>
      </x:c>
      <x:c r="F15" s="92"/>
      <x:c r="G15" s="92" t="str">
        <x:v>Pendiente</x:v>
      </x:c>
      <x:c r="H15" s="49" t="str">
        <x:v>Sprint 4</x:v>
      </x:c>
    </x:row>
    <x:row r="16" ht="15" hidden="0" customHeight="1">
      <x:c r="A16" s="48" t="str">
        <x:v>CP-12</x:v>
      </x:c>
      <x:c r="B16" s="92" t="str">
        <x:v>RF-12</x:v>
      </x:c>
      <x:c r="C16" s="92" t="str">
        <x:v>Validar: gestionar ruta del día.</x:v>
      </x:c>
      <x:c r="D16" s="92" t="str">
        <x:v>Datos válidos del flujo y usuario con permisos correspondientes.</x:v>
      </x:c>
      <x:c r="E16" s="92" t="str">
        <x:v>La app muestra la ruta vigente y los elementos necesarios para ejecutar el recojo planificado.</x:v>
      </x:c>
      <x:c r="F16" s="92"/>
      <x:c r="G16" s="92" t="str">
        <x:v>Pendiente</x:v>
      </x:c>
      <x:c r="H16" s="49" t="str">
        <x:v>Sprint 4</x:v>
      </x:c>
    </x:row>
    <x:row r="17" ht="15" hidden="0" customHeight="1">
      <x:c r="A17" s="48" t="str">
        <x:v>CP-13</x:v>
      </x:c>
      <x:c r="B17" s="92" t="str">
        <x:v>RF-13</x:v>
      </x:c>
      <x:c r="C17" s="92" t="str">
        <x:v>Validar: capturar evidencia por recojo.</x:v>
      </x:c>
      <x:c r="D17" s="92" t="str">
        <x:v>Datos válidos del flujo y usuario con permisos correspondientes.</x:v>
      </x:c>
      <x:c r="E17" s="92" t="str">
        <x:v>La evidencia seleccionada queda vinculada al recojo correspondiente y puede recuperarse con él.</x:v>
      </x:c>
      <x:c r="F17" s="92"/>
      <x:c r="G17" s="92" t="str">
        <x:v>Pendiente</x:v>
      </x:c>
      <x:c r="H17" s="49" t="str">
        <x:v>Sprint 5</x:v>
      </x:c>
    </x:row>
    <x:row r="18" ht="21.600000381469727" hidden="0" customHeight="1">
      <x:c r="A18" s="48" t="str">
        <x:v>CP-14</x:v>
      </x:c>
      <x:c r="B18" s="92" t="str">
        <x:v>RF-14</x:v>
      </x:c>
      <x:c r="C18" s="92" t="str">
        <x:v>Validar: generar reportes y dashboard.</x:v>
      </x:c>
      <x:c r="D18" s="92" t="str">
        <x:v>Datos válidos del flujo y usuario con permisos correspondientes.</x:v>
      </x:c>
      <x:c r="E18" s="92" t="str">
        <x:v>Los totales del dashboard y reportes coinciden con los recojos almacenados y pueden filtrarse por los criterios definidos.</x:v>
      </x:c>
      <x:c r="F18" s="92"/>
      <x:c r="G18" s="92" t="str">
        <x:v>Pendiente</x:v>
      </x:c>
      <x:c r="H18" s="49" t="str">
        <x:v>Sprint 6</x:v>
      </x:c>
    </x:row>
    <x:row r="19" ht="21.600000381469727" hidden="0" customHeight="1">
      <x:c r="A19" s="48" t="str">
        <x:v>CP-15</x:v>
      </x:c>
      <x:c r="B19" s="92" t="str">
        <x:v>RF-15</x:v>
      </x:c>
      <x:c r="C19" s="92" t="str">
        <x:v>Validar: administrar usuarios y roles.</x:v>
      </x:c>
      <x:c r="D19" s="92" t="str">
        <x:v>Datos válidos del flujo y usuario con permisos correspondientes.</x:v>
      </x:c>
      <x:c r="E19" s="92" t="str">
        <x:v>Un administrador puede crear/actualizar usuarios y asignar roles; los permisos se aplican al iniciar sesión.</x:v>
      </x:c>
      <x:c r="F19" s="92"/>
      <x:c r="G19" s="92" t="str">
        <x:v>Pendiente</x:v>
      </x:c>
      <x:c r="H19" s="49" t="str">
        <x:v>Sprint 6</x:v>
      </x:c>
    </x:row>
    <x:row r="20" ht="21.600000381469727" hidden="0" customHeight="1">
      <x:c r="A20" s="48" t="str">
        <x:v>CP-16</x:v>
      </x:c>
      <x:c r="B20" s="92" t="str">
        <x:v>RF-16</x:v>
      </x:c>
      <x:c r="C20" s="92" t="str">
        <x:v>Validar: autenticar usuarios con jwt.</x:v>
      </x:c>
      <x:c r="D20" s="92" t="str">
        <x:v>Datos válidos del flujo y usuario con permisos correspondientes.</x:v>
      </x:c>
      <x:c r="E20" s="92" t="str">
        <x:v>Un usuario válido obtiene acceso autenticado y un usuario sin credenciales válidas no accede a funciones protegidas.</x:v>
      </x:c>
      <x:c r="F20" s="92"/>
      <x:c r="G20" s="92" t="str">
        <x:v>Pendiente</x:v>
      </x:c>
      <x:c r="H20" s="49" t="str">
        <x:v>Sprint 3</x:v>
      </x:c>
    </x:row>
    <x:row r="21" ht="15" hidden="0" customHeight="1">
      <x:c r="A21" s="48" t="str">
        <x:v>CP-17</x:v>
      </x:c>
      <x:c r="B21" s="92" t="str">
        <x:v>RF-17</x:v>
      </x:c>
      <x:c r="C21" s="92" t="str">
        <x:v>Validar: consultar historial personal de recojos.</x:v>
      </x:c>
      <x:c r="D21" s="92" t="str">
        <x:v>Datos válidos del flujo y usuario con permisos correspondientes.</x:v>
      </x:c>
      <x:c r="E21" s="92" t="str">
        <x:v>El acopiador puede revisar sus recojos registrados y el historial mostrado corresponde a sus datos.</x:v>
      </x:c>
      <x:c r="F21" s="92"/>
      <x:c r="G21" s="92" t="str">
        <x:v>Pendiente</x:v>
      </x:c>
      <x:c r="H21" s="49" t="str">
        <x:v>Sprint 6</x:v>
      </x:c>
    </x:row>
    <x:row r="22" ht="21.600000381469727" hidden="0" customHeight="1">
      <x:c r="A22" s="48" t="str">
        <x:v>CP-18</x:v>
      </x:c>
      <x:c r="B22" s="92" t="str">
        <x:v>RF-18</x:v>
      </x:c>
      <x:c r="C22" s="92" t="str">
        <x:v>Validar: recibir notificaciones.</x:v>
      </x:c>
      <x:c r="D22" s="92" t="str">
        <x:v>Datos válidos del flujo y usuario con permisos correspondientes.</x:v>
      </x:c>
      <x:c r="E22" s="92" t="str">
        <x:v>Una notificación configurada puede generarse y recibirse por el canal previsto sin afectar el resto de módulos.</x:v>
      </x:c>
      <x:c r="F22" s="92"/>
      <x:c r="G22" s="92" t="str">
        <x:v>Pendiente</x:v>
      </x:c>
      <x:c r="H22" s="49" t="str">
        <x:v>Sprint 6</x:v>
      </x:c>
    </x:row>
    <x:row r="23" ht="21.600000381469727" hidden="0" customHeight="1">
      <x:c r="A23" s="48" t="str">
        <x:v>CP-19</x:v>
      </x:c>
      <x:c r="B23" s="92" t="str">
        <x:v>RNF-01</x:v>
      </x:c>
      <x:c r="C23" s="92" t="str">
        <x:v>Verificar requisito no funcional: interfaz intuitiva y responsive.</x:v>
      </x:c>
      <x:c r="D23" s="92" t="str">
        <x:v>Ambiente de prueba configurado y datos representativos.</x:v>
      </x:c>
      <x:c r="E23" s="92" t="str">
        <x:v>Las funciones principales son legibles y utilizables en resoluciones comunes sin pérdida de controles esenciales.</x:v>
      </x:c>
      <x:c r="F23" s="92"/>
      <x:c r="G23" s="92" t="str">
        <x:v>Pendiente</x:v>
      </x:c>
      <x:c r="H23" s="49" t="str">
        <x:v>Transversal</x:v>
      </x:c>
    </x:row>
    <x:row r="24" ht="15" hidden="0" customHeight="1">
      <x:c r="A24" s="48" t="str">
        <x:v>CP-20</x:v>
      </x:c>
      <x:c r="B24" s="92" t="str">
        <x:v>RNF-02</x:v>
      </x:c>
      <x:c r="C24" s="92" t="str">
        <x:v>Verificar requisito no funcional: seguridad de la información.</x:v>
      </x:c>
      <x:c r="D24" s="92" t="str">
        <x:v>Ambiente de prueba configurado y datos representativos.</x:v>
      </x:c>
      <x:c r="E24" s="92" t="str">
        <x:v>Las funciones protegidas requieren autenticación y las comunicaciones de producción utilizan HTTPS.</x:v>
      </x:c>
      <x:c r="F24" s="92"/>
      <x:c r="G24" s="92" t="str">
        <x:v>Pendiente</x:v>
      </x:c>
      <x:c r="H24" s="49" t="str">
        <x:v>Sprint 3 / 8</x:v>
      </x:c>
    </x:row>
    <x:row r="25" ht="15" hidden="0" customHeight="1">
      <x:c r="A25" s="48" t="str">
        <x:v>CP-21</x:v>
      </x:c>
      <x:c r="B25" s="92" t="str">
        <x:v>RNF-03</x:v>
      </x:c>
      <x:c r="C25" s="92" t="str">
        <x:v>Verificar requisito no funcional: compatibilidad android.</x:v>
      </x:c>
      <x:c r="D25" s="92" t="str">
        <x:v>Ambiente de prueba configurado y datos representativos.</x:v>
      </x:c>
      <x:c r="E25" s="92" t="str">
        <x:v>La APK se instala y permite ejecutar los flujos principales en dispositivos Android compatibles.</x:v>
      </x:c>
      <x:c r="F25" s="92"/>
      <x:c r="G25" s="92" t="str">
        <x:v>Pendiente</x:v>
      </x:c>
      <x:c r="H25" s="49" t="str">
        <x:v>Sprint 8</x:v>
      </x:c>
    </x:row>
    <x:row r="26" ht="15" hidden="0" customHeight="1">
      <x:c r="A26" s="48" t="str">
        <x:v>CP-22</x:v>
      </x:c>
      <x:c r="B26" s="92" t="str">
        <x:v>RNF-04</x:v>
      </x:c>
      <x:c r="C26" s="92" t="str">
        <x:v>Verificar requisito no funcional: compatibilidad web.</x:v>
      </x:c>
      <x:c r="D26" s="92" t="str">
        <x:v>Ambiente de prueba configurado y datos representativos.</x:v>
      </x:c>
      <x:c r="E26" s="92" t="str">
        <x:v>Las funciones críticas se ejecutan correctamente en los navegadores indicados.</x:v>
      </x:c>
      <x:c r="F26" s="92"/>
      <x:c r="G26" s="92" t="str">
        <x:v>Pendiente</x:v>
      </x:c>
      <x:c r="H26" s="49" t="str">
        <x:v>Transversal</x:v>
      </x:c>
    </x:row>
    <x:row r="27" ht="21.600000381469727" hidden="0" customHeight="1">
      <x:c r="A27" s="48" t="str">
        <x:v>CP-23</x:v>
      </x:c>
      <x:c r="B27" s="92" t="str">
        <x:v>RNF-05</x:v>
      </x:c>
      <x:c r="C27" s="92" t="str">
        <x:v>Verificar requisito no funcional: rendimiento y estabilidad.</x:v>
      </x:c>
      <x:c r="D27" s="92" t="str">
        <x:v>Ambiente de prueba configurado y datos representativos.</x:v>
      </x:c>
      <x:c r="E27" s="92" t="str">
        <x:v>Los flujos habituales se completan sin bloqueos y las pruebas no funcionales no detectan fallos críticos de rendimiento.</x:v>
      </x:c>
      <x:c r="F27" s="92"/>
      <x:c r="G27" s="92" t="str">
        <x:v>Pendiente</x:v>
      </x:c>
      <x:c r="H27" s="49" t="str">
        <x:v>Sprint 7</x:v>
      </x:c>
    </x:row>
    <x:row r="28" ht="21.600000381469727" hidden="0" customHeight="1">
      <x:c r="A28" s="48" t="str">
        <x:v>CP-24</x:v>
      </x:c>
      <x:c r="B28" s="92" t="str">
        <x:v>RNF-06</x:v>
      </x:c>
      <x:c r="C28" s="92" t="str">
        <x:v>Verificar requisito no funcional: persistencia de datos.</x:v>
      </x:c>
      <x:c r="D28" s="92" t="str">
        <x:v>Ambiente de prueba configurado y datos representativos.</x:v>
      </x:c>
      <x:c r="E28" s="92" t="str">
        <x:v>Los datos del servidor se almacenan en PostgreSQL y los registros offline en SQLite hasta su sincronización.</x:v>
      </x:c>
      <x:c r="F28" s="92"/>
      <x:c r="G28" s="92" t="str">
        <x:v>Pendiente</x:v>
      </x:c>
      <x:c r="H28" s="49" t="str">
        <x:v>Sprint 3 / 5</x:v>
      </x:c>
    </x:row>
    <x:row r="29" ht="21.600000381469727" hidden="0" customHeight="1">
      <x:c r="A29" s="48" t="str">
        <x:v>CP-25</x:v>
      </x:c>
      <x:c r="B29" s="92" t="str">
        <x:v>RNF-07</x:v>
      </x:c>
      <x:c r="C29" s="92" t="str">
        <x:v>Verificar requisito no funcional: disponibilidad en producción.</x:v>
      </x:c>
      <x:c r="D29" s="92" t="str">
        <x:v>Ambiente de prueba configurado y datos representativos.</x:v>
      </x:c>
      <x:c r="E29" s="92" t="str">
        <x:v>El backend y la web quedan accesibles en producción y superan las pruebas de humo posteriores al despliegue.</x:v>
      </x:c>
      <x:c r="F29" s="92"/>
      <x:c r="G29" s="92" t="str">
        <x:v>Pendiente</x:v>
      </x:c>
      <x:c r="H29" s="49" t="str">
        <x:v>Sprint 8</x:v>
      </x:c>
    </x:row>
    <x:row r="30" ht="21.600000381469727" hidden="0" customHeight="1">
      <x:c r="A30" s="48" t="str">
        <x:v>CP-26</x:v>
      </x:c>
      <x:c r="B30" s="92" t="str">
        <x:v>RNF-08</x:v>
      </x:c>
      <x:c r="C30" s="92" t="str">
        <x:v>Verificar requisito no funcional: integridad y respaldo.</x:v>
      </x:c>
      <x:c r="D30" s="92" t="str">
        <x:v>Ambiente de prueba configurado y datos representativos.</x:v>
      </x:c>
      <x:c r="E30" s="92" t="str">
        <x:v>La carga inicial se valida y existe un procedimiento de respaldo/recuperación documentado para producción.</x:v>
      </x:c>
      <x:c r="F30" s="92"/>
      <x:c r="G30" s="92" t="str">
        <x:v>Pendiente</x:v>
      </x:c>
      <x:c r="H30" s="49" t="str">
        <x:v>Sprint 8</x:v>
      </x:c>
    </x:row>
    <x:row r="31" ht="21.600000381469727" hidden="0" customHeight="1">
      <x:c r="A31" s="50" t="str">
        <x:v>CP-27</x:v>
      </x:c>
      <x:c r="B31" s="93" t="str">
        <x:v>RNF-09</x:v>
      </x:c>
      <x:c r="C31" s="93" t="str">
        <x:v>Verificar requisito no funcional: mantenibilidad y documentación.</x:v>
      </x:c>
      <x:c r="D31" s="93" t="str">
        <x:v>Ambiente de prueba configurado y datos representativos.</x:v>
      </x:c>
      <x:c r="E31" s="93" t="str">
        <x:v>Se entregan manual de usuario, manual técnico y documentación de API/código prevista por el cronograma.</x:v>
      </x:c>
      <x:c r="F31" s="93"/>
      <x:c r="G31" s="93" t="str">
        <x:v>Pendiente</x:v>
      </x:c>
      <x:c r="H31" s="51" t="str">
        <x:v>Sprint 4 / 7 / Cierre</x:v>
      </x:c>
    </x:row>
  </x:sheetData>
  <x:mergeCells>
    <x:mergeCell ref="A1:H1"/>
    <x:mergeCell ref="A2:H2"/>
  </x:mergeCells>
  <x:conditionalFormatting sqref="G5:G31">
    <x:cfRule type="expression" dxfId="3" priority="1">
      <x:formula>G5="Aprobado"</x:formula>
    </x:cfRule>
    <x:cfRule type="expression" dxfId="4" priority="2">
      <x:formula>G5="Fallido"</x:formula>
    </x:cfRule>
  </x:conditionalFormatting>
  <x:dataValidations count="1">
    <x:dataValidation type="list" sqref="G5:G31">
      <x:formula1>"Pendiente,En ejecución,Aprobado,Observado,Fallido"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9" hidden="0" customWidth="1"/>
    <x:col min="3" max="3" width="17" hidden="0" customWidth="1"/>
    <x:col min="4" max="4" width="28" hidden="0" customWidth="1"/>
    <x:col min="5" max="5" width="18" hidden="0" customWidth="1"/>
    <x:col min="6" max="6" width="24" hidden="0" customWidth="1"/>
    <x:col min="7" max="7" width="15" hidden="0" customWidth="1"/>
    <x:col min="8" max="8" width="36" hidden="0" customWidth="1"/>
    <x:col min="9" max="9" width="15" hidden="0" customWidth="1"/>
    <x:col min="10" max="10" width="16" hidden="0" customWidth="1"/>
  </x:cols>
  <x:sheetData>
    <x:row r="1" ht="19.200000762939453" hidden="0" customHeight="1">
      <x:c r="A1" s="5" t="str">
        <x:v>MATRIZ DE TRAZABILIDAD - HUATA LÁCTEOS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 customHeight="1">
      <x:c r="A2" s="11" t="str">
        <x:v>Relación requisito -&gt; fuente -&gt; cronograma -&gt; prueba -&gt; componente.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/>
    <x:row r="4" ht="15" hidden="0" customHeight="1">
      <x:c r="A4" s="21" t="str">
        <x:v>ID requisito</x:v>
      </x:c>
      <x:c r="B4" s="81" t="str">
        <x:v>Nombre</x:v>
      </x:c>
      <x:c r="C4" s="81" t="str">
        <x:v>Fuente Charter</x:v>
      </x:c>
      <x:c r="D4" s="81" t="str">
        <x:v>IDs Cronograma_2026</x:v>
      </x:c>
      <x:c r="E4" s="81" t="str">
        <x:v>Sprint</x:v>
      </x:c>
      <x:c r="F4" s="81" t="str">
        <x:v>Componente</x:v>
      </x:c>
      <x:c r="G4" s="81" t="str">
        <x:v>Caso de prueba</x:v>
      </x:c>
      <x:c r="H4" s="81" t="str">
        <x:v>Entregable / evidencia</x:v>
      </x:c>
      <x:c r="I4" s="81" t="str">
        <x:v>Estado</x:v>
      </x:c>
      <x:c r="J4" s="22" t="str">
        <x:v>Trazabilidad</x:v>
      </x:c>
    </x:row>
    <x:row r="5" ht="15" hidden="0" customHeight="1">
      <x:c r="A5" s="46" t="str">
        <x:v>RF-01</x:v>
      </x:c>
      <x:c r="B5" s="91" t="str">
        <x:v>Gestionar productores</x:v>
      </x:c>
      <x:c r="C5" s="91" t="str">
        <x:v>Sí</x:v>
      </x:c>
      <x:c r="D5" s="91" t="str">
        <x:v>68,71</x:v>
      </x:c>
      <x:c r="E5" s="91" t="str">
        <x:v>Sprint 4</x:v>
      </x:c>
      <x:c r="F5" s="91" t="str">
        <x:v>Productores</x:v>
      </x:c>
      <x:c r="G5" s="91" t="str">
        <x:v>CP-01</x:v>
      </x:c>
      <x:c r="H5" s="91" t="str">
        <x:v>Prueba funcional / evidencia del módulo</x:v>
      </x:c>
      <x:c r="I5" s="91" t="str">
        <x:v>Aprobado</x:v>
      </x:c>
      <x:c r="J5" s="47" t="str">
        <x:v>Completa</x:v>
      </x:c>
    </x:row>
    <x:row r="6" ht="15" hidden="0" customHeight="1">
      <x:c r="A6" s="48" t="str">
        <x:v>RF-02</x:v>
      </x:c>
      <x:c r="B6" s="92" t="str">
        <x:v>Gestionar acopiadores</x:v>
      </x:c>
      <x:c r="C6" s="92" t="str">
        <x:v>Sí</x:v>
      </x:c>
      <x:c r="D6" s="92" t="str">
        <x:v>69</x:v>
      </x:c>
      <x:c r="E6" s="92" t="str">
        <x:v>Sprint 4</x:v>
      </x:c>
      <x:c r="F6" s="92" t="str">
        <x:v>Acopiadores</x:v>
      </x:c>
      <x:c r="G6" s="92" t="str">
        <x:v>CP-02</x:v>
      </x:c>
      <x:c r="H6" s="92" t="str">
        <x:v>Prueba funcional / evidencia del módulo</x:v>
      </x:c>
      <x:c r="I6" s="92" t="str">
        <x:v>Aprobado</x:v>
      </x:c>
      <x:c r="J6" s="49" t="str">
        <x:v>Completa</x:v>
      </x:c>
    </x:row>
    <x:row r="7" ht="15" hidden="0" customHeight="1">
      <x:c r="A7" s="48" t="str">
        <x:v>RF-03</x:v>
      </x:c>
      <x:c r="B7" s="92" t="str">
        <x:v>Gestionar rutas</x:v>
      </x:c>
      <x:c r="C7" s="92" t="str">
        <x:v>Sí</x:v>
      </x:c>
      <x:c r="D7" s="92" t="str">
        <x:v>69,72,74</x:v>
      </x:c>
      <x:c r="E7" s="92" t="str">
        <x:v>Sprint 4</x:v>
      </x:c>
      <x:c r="F7" s="92" t="str">
        <x:v>Rutas</x:v>
      </x:c>
      <x:c r="G7" s="92" t="str">
        <x:v>CP-03</x:v>
      </x:c>
      <x:c r="H7" s="92" t="str">
        <x:v>Prueba funcional / evidencia del módulo</x:v>
      </x:c>
      <x:c r="I7" s="92" t="str">
        <x:v>Aprobado</x:v>
      </x:c>
      <x:c r="J7" s="49" t="str">
        <x:v>Completa</x:v>
      </x:c>
    </x:row>
    <x:row r="8" ht="15" hidden="0" customHeight="1">
      <x:c r="A8" s="48" t="str">
        <x:v>RF-04</x:v>
      </x:c>
      <x:c r="B8" s="92" t="str">
        <x:v>Gestionar centros de acopio</x:v>
      </x:c>
      <x:c r="C8" s="92" t="str">
        <x:v>Sí</x:v>
      </x:c>
      <x:c r="D8" s="92" t="str">
        <x:v>70,72</x:v>
      </x:c>
      <x:c r="E8" s="92" t="str">
        <x:v>Sprint 4</x:v>
      </x:c>
      <x:c r="F8" s="92" t="str">
        <x:v>Centros de acopio</x:v>
      </x:c>
      <x:c r="G8" s="92" t="str">
        <x:v>CP-04</x:v>
      </x:c>
      <x:c r="H8" s="92" t="str">
        <x:v>Prueba funcional / evidencia del módulo</x:v>
      </x:c>
      <x:c r="I8" s="92" t="str">
        <x:v>Aprobado</x:v>
      </x:c>
      <x:c r="J8" s="49" t="str">
        <x:v>Completa</x:v>
      </x:c>
    </x:row>
    <x:row r="9" ht="15" hidden="0" customHeight="1">
      <x:c r="A9" s="48" t="str">
        <x:v>RF-05</x:v>
      </x:c>
      <x:c r="B9" s="92" t="str">
        <x:v>Registrar recojo de leche</x:v>
      </x:c>
      <x:c r="C9" s="92" t="str">
        <x:v>Sí</x:v>
      </x:c>
      <x:c r="D9" s="92" t="str">
        <x:v>87,93,94</x:v>
      </x:c>
      <x:c r="E9" s="92" t="str">
        <x:v>Sprint 5</x:v>
      </x:c>
      <x:c r="F9" s="92" t="str">
        <x:v>Recojo</x:v>
      </x:c>
      <x:c r="G9" s="92" t="str">
        <x:v>CP-05</x:v>
      </x:c>
      <x:c r="H9" s="92" t="str">
        <x:v>Prueba funcional / evidencia del módulo</x:v>
      </x:c>
      <x:c r="I9" s="92" t="str">
        <x:v>Aprobado</x:v>
      </x:c>
      <x:c r="J9" s="49" t="str">
        <x:v>Completa</x:v>
      </x:c>
    </x:row>
    <x:row r="10" ht="15" hidden="0" customHeight="1">
      <x:c r="A10" s="48" t="str">
        <x:v>RF-06</x:v>
      </x:c>
      <x:c r="B10" s="92" t="str">
        <x:v>Registrar control de calidad</x:v>
      </x:c>
      <x:c r="C10" s="92" t="str">
        <x:v>Sí</x:v>
      </x:c>
      <x:c r="D10" s="92" t="str">
        <x:v>91</x:v>
      </x:c>
      <x:c r="E10" s="92" t="str">
        <x:v>Sprint 5</x:v>
      </x:c>
      <x:c r="F10" s="92" t="str">
        <x:v>Calidad</x:v>
      </x:c>
      <x:c r="G10" s="92" t="str">
        <x:v>CP-06</x:v>
      </x:c>
      <x:c r="H10" s="92" t="str">
        <x:v>Prueba funcional / evidencia del módulo</x:v>
      </x:c>
      <x:c r="I10" s="92" t="str">
        <x:v>Aprobado</x:v>
      </x:c>
      <x:c r="J10" s="49" t="str">
        <x:v>Completa</x:v>
      </x:c>
    </x:row>
    <x:row r="11" ht="15" hidden="0" customHeight="1">
      <x:c r="A11" s="48" t="str">
        <x:v>RF-07</x:v>
      </x:c>
      <x:c r="B11" s="92" t="str">
        <x:v>Calcular liquidación</x:v>
      </x:c>
      <x:c r="C11" s="92" t="str">
        <x:v>Sí</x:v>
      </x:c>
      <x:c r="D11" s="92" t="str">
        <x:v>92</x:v>
      </x:c>
      <x:c r="E11" s="92" t="str">
        <x:v>Sprint 5</x:v>
      </x:c>
      <x:c r="F11" s="92" t="str">
        <x:v>Liquidaciones</x:v>
      </x:c>
      <x:c r="G11" s="92" t="str">
        <x:v>CP-07</x:v>
      </x:c>
      <x:c r="H11" s="92" t="str">
        <x:v>Prueba funcional / evidencia del módulo</x:v>
      </x:c>
      <x:c r="I11" s="92" t="str">
        <x:v>Aprobado</x:v>
      </x:c>
      <x:c r="J11" s="49" t="str">
        <x:v>Completa</x:v>
      </x:c>
    </x:row>
    <x:row r="12" ht="15" hidden="0" customHeight="1">
      <x:c r="A12" s="48" t="str">
        <x:v>RF-08</x:v>
      </x:c>
      <x:c r="B12" s="92" t="str">
        <x:v>Consultar liquidaciones por productor y fecha</x:v>
      </x:c>
      <x:c r="C12" s="92" t="str">
        <x:v>No</x:v>
      </x:c>
      <x:c r="D12" s="92" t="str">
        <x:v>88</x:v>
      </x:c>
      <x:c r="E12" s="92" t="str">
        <x:v>Sprint 5</x:v>
      </x:c>
      <x:c r="F12" s="92" t="str">
        <x:v>Liquidaciones / Web</x:v>
      </x:c>
      <x:c r="G12" s="92" t="str">
        <x:v>CP-08</x:v>
      </x:c>
      <x:c r="H12" s="92" t="str">
        <x:v>Prueba funcional / evidencia del módulo</x:v>
      </x:c>
      <x:c r="I12" s="92" t="str">
        <x:v>Planificado</x:v>
      </x:c>
      <x:c r="J12" s="49" t="str">
        <x:v>Completa</x:v>
      </x:c>
    </x:row>
    <x:row r="13" ht="15" hidden="0" customHeight="1">
      <x:c r="A13" s="48" t="str">
        <x:v>RF-09</x:v>
      </x:c>
      <x:c r="B13" s="92" t="str">
        <x:v>Registrar recojo sin conexión</x:v>
      </x:c>
      <x:c r="C13" s="92" t="str">
        <x:v>Sí</x:v>
      </x:c>
      <x:c r="D13" s="92" t="str">
        <x:v>94</x:v>
      </x:c>
      <x:c r="E13" s="92" t="str">
        <x:v>Sprint 5</x:v>
      </x:c>
      <x:c r="F13" s="92" t="str">
        <x:v>Móvil</x:v>
      </x:c>
      <x:c r="G13" s="92" t="str">
        <x:v>CP-09</x:v>
      </x:c>
      <x:c r="H13" s="92" t="str">
        <x:v>Prueba funcional / evidencia del módulo</x:v>
      </x:c>
      <x:c r="I13" s="92" t="str">
        <x:v>Aprobado</x:v>
      </x:c>
      <x:c r="J13" s="49" t="str">
        <x:v>Completa</x:v>
      </x:c>
    </x:row>
    <x:row r="14" ht="15" hidden="0" customHeight="1">
      <x:c r="A14" s="48" t="str">
        <x:v>RF-10</x:v>
      </x:c>
      <x:c r="B14" s="92" t="str">
        <x:v>Sincronizar datos offline</x:v>
      </x:c>
      <x:c r="C14" s="92" t="str">
        <x:v>Sí</x:v>
      </x:c>
      <x:c r="D14" s="92" t="str">
        <x:v>95</x:v>
      </x:c>
      <x:c r="E14" s="92" t="str">
        <x:v>Sprint 5</x:v>
      </x:c>
      <x:c r="F14" s="92" t="str">
        <x:v>Sincronización</x:v>
      </x:c>
      <x:c r="G14" s="92" t="str">
        <x:v>CP-10</x:v>
      </x:c>
      <x:c r="H14" s="92" t="str">
        <x:v>Prueba funcional / evidencia del módulo</x:v>
      </x:c>
      <x:c r="I14" s="92" t="str">
        <x:v>Aprobado</x:v>
      </x:c>
      <x:c r="J14" s="49" t="str">
        <x:v>Completa</x:v>
      </x:c>
    </x:row>
    <x:row r="15" ht="15" hidden="0" customHeight="1">
      <x:c r="A15" s="48" t="str">
        <x:v>RF-11</x:v>
      </x:c>
      <x:c r="B15" s="92" t="str">
        <x:v>Consultar productores asignados</x:v>
      </x:c>
      <x:c r="C15" s="92" t="str">
        <x:v>No</x:v>
      </x:c>
      <x:c r="D15" s="92" t="str">
        <x:v>73</x:v>
      </x:c>
      <x:c r="E15" s="92" t="str">
        <x:v>Sprint 4</x:v>
      </x:c>
      <x:c r="F15" s="92" t="str">
        <x:v>Móvil / Productores</x:v>
      </x:c>
      <x:c r="G15" s="92" t="str">
        <x:v>CP-11</x:v>
      </x:c>
      <x:c r="H15" s="92" t="str">
        <x:v>Prueba funcional / evidencia del módulo</x:v>
      </x:c>
      <x:c r="I15" s="92" t="str">
        <x:v>Planificado</x:v>
      </x:c>
      <x:c r="J15" s="49" t="str">
        <x:v>Completa</x:v>
      </x:c>
    </x:row>
    <x:row r="16" ht="15" hidden="0" customHeight="1">
      <x:c r="A16" s="48" t="str">
        <x:v>RF-12</x:v>
      </x:c>
      <x:c r="B16" s="92" t="str">
        <x:v>Gestionar ruta del día</x:v>
      </x:c>
      <x:c r="C16" s="92" t="str">
        <x:v>No</x:v>
      </x:c>
      <x:c r="D16" s="92" t="str">
        <x:v>74</x:v>
      </x:c>
      <x:c r="E16" s="92" t="str">
        <x:v>Sprint 4</x:v>
      </x:c>
      <x:c r="F16" s="92" t="str">
        <x:v>Móvil / Rutas</x:v>
      </x:c>
      <x:c r="G16" s="92" t="str">
        <x:v>CP-12</x:v>
      </x:c>
      <x:c r="H16" s="92" t="str">
        <x:v>Prueba funcional / evidencia del módulo</x:v>
      </x:c>
      <x:c r="I16" s="92" t="str">
        <x:v>Planificado</x:v>
      </x:c>
      <x:c r="J16" s="49" t="str">
        <x:v>Completa</x:v>
      </x:c>
    </x:row>
    <x:row r="17" ht="15" hidden="0" customHeight="1">
      <x:c r="A17" s="48" t="str">
        <x:v>RF-13</x:v>
      </x:c>
      <x:c r="B17" s="92" t="str">
        <x:v>Capturar evidencia por recojo</x:v>
      </x:c>
      <x:c r="C17" s="92" t="str">
        <x:v>No</x:v>
      </x:c>
      <x:c r="D17" s="92" t="str">
        <x:v>99</x:v>
      </x:c>
      <x:c r="E17" s="92" t="str">
        <x:v>Sprint 5</x:v>
      </x:c>
      <x:c r="F17" s="92" t="str">
        <x:v>Móvil / Evidencias</x:v>
      </x:c>
      <x:c r="G17" s="92" t="str">
        <x:v>CP-13</x:v>
      </x:c>
      <x:c r="H17" s="92" t="str">
        <x:v>Prueba funcional / evidencia del módulo</x:v>
      </x:c>
      <x:c r="I17" s="92" t="str">
        <x:v>Planificado</x:v>
      </x:c>
      <x:c r="J17" s="49" t="str">
        <x:v>Completa</x:v>
      </x:c>
    </x:row>
    <x:row r="18" ht="15" hidden="0" customHeight="1">
      <x:c r="A18" s="48" t="str">
        <x:v>RF-14</x:v>
      </x:c>
      <x:c r="B18" s="92" t="str">
        <x:v>Generar reportes y dashboard</x:v>
      </x:c>
      <x:c r="C18" s="92" t="str">
        <x:v>Sí</x:v>
      </x:c>
      <x:c r="D18" s="92" t="str">
        <x:v>107,111</x:v>
      </x:c>
      <x:c r="E18" s="92" t="str">
        <x:v>Sprint 6</x:v>
      </x:c>
      <x:c r="F18" s="92" t="str">
        <x:v>Reportes / Dashboard</x:v>
      </x:c>
      <x:c r="G18" s="92" t="str">
        <x:v>CP-14</x:v>
      </x:c>
      <x:c r="H18" s="92" t="str">
        <x:v>Prueba funcional / evidencia del módulo</x:v>
      </x:c>
      <x:c r="I18" s="92" t="str">
        <x:v>Aprobado</x:v>
      </x:c>
      <x:c r="J18" s="49" t="str">
        <x:v>Completa</x:v>
      </x:c>
    </x:row>
    <x:row r="19" ht="15" hidden="0" customHeight="1">
      <x:c r="A19" s="48" t="str">
        <x:v>RF-15</x:v>
      </x:c>
      <x:c r="B19" s="92" t="str">
        <x:v>Administrar usuarios y roles</x:v>
      </x:c>
      <x:c r="C19" s="92" t="str">
        <x:v>Sí</x:v>
      </x:c>
      <x:c r="D19" s="92" t="str">
        <x:v>112</x:v>
      </x:c>
      <x:c r="E19" s="92" t="str">
        <x:v>Sprint 6</x:v>
      </x:c>
      <x:c r="F19" s="92" t="str">
        <x:v>Usuarios / Roles</x:v>
      </x:c>
      <x:c r="G19" s="92" t="str">
        <x:v>CP-15</x:v>
      </x:c>
      <x:c r="H19" s="92" t="str">
        <x:v>Prueba funcional / evidencia del módulo</x:v>
      </x:c>
      <x:c r="I19" s="92" t="str">
        <x:v>Aprobado</x:v>
      </x:c>
      <x:c r="J19" s="49" t="str">
        <x:v>Completa</x:v>
      </x:c>
    </x:row>
    <x:row r="20" ht="15" hidden="0" customHeight="1">
      <x:c r="A20" s="48" t="str">
        <x:v>RF-16</x:v>
      </x:c>
      <x:c r="B20" s="92" t="str">
        <x:v>Autenticar usuarios con JWT</x:v>
      </x:c>
      <x:c r="C20" s="92" t="str">
        <x:v>Sí</x:v>
      </x:c>
      <x:c r="D20" s="92" t="str">
        <x:v>53,59</x:v>
      </x:c>
      <x:c r="E20" s="92" t="str">
        <x:v>Sprint 3</x:v>
      </x:c>
      <x:c r="F20" s="92" t="str">
        <x:v>Seguridad</x:v>
      </x:c>
      <x:c r="G20" s="92" t="str">
        <x:v>CP-16</x:v>
      </x:c>
      <x:c r="H20" s="92" t="str">
        <x:v>Prueba funcional / evidencia del módulo</x:v>
      </x:c>
      <x:c r="I20" s="92" t="str">
        <x:v>Aprobado</x:v>
      </x:c>
      <x:c r="J20" s="49" t="str">
        <x:v>Completa</x:v>
      </x:c>
    </x:row>
    <x:row r="21" ht="15" hidden="0" customHeight="1">
      <x:c r="A21" s="48" t="str">
        <x:v>RF-17</x:v>
      </x:c>
      <x:c r="B21" s="92" t="str">
        <x:v>Consultar historial personal de recojos</x:v>
      </x:c>
      <x:c r="C21" s="92" t="str">
        <x:v>No</x:v>
      </x:c>
      <x:c r="D21" s="92" t="str">
        <x:v>117</x:v>
      </x:c>
      <x:c r="E21" s="92" t="str">
        <x:v>Sprint 6</x:v>
      </x:c>
      <x:c r="F21" s="92" t="str">
        <x:v>Móvil / Historial</x:v>
      </x:c>
      <x:c r="G21" s="92" t="str">
        <x:v>CP-17</x:v>
      </x:c>
      <x:c r="H21" s="92" t="str">
        <x:v>Prueba funcional / evidencia del módulo</x:v>
      </x:c>
      <x:c r="I21" s="92" t="str">
        <x:v>Planificado</x:v>
      </x:c>
      <x:c r="J21" s="49" t="str">
        <x:v>Completa</x:v>
      </x:c>
    </x:row>
    <x:row r="22" ht="15" hidden="0" customHeight="1">
      <x:c r="A22" s="48" t="str">
        <x:v>RF-18</x:v>
      </x:c>
      <x:c r="B22" s="92" t="str">
        <x:v>Recibir notificaciones</x:v>
      </x:c>
      <x:c r="C22" s="92" t="str">
        <x:v>No</x:v>
      </x:c>
      <x:c r="D22" s="92" t="str">
        <x:v>110,113</x:v>
      </x:c>
      <x:c r="E22" s="92" t="str">
        <x:v>Sprint 6</x:v>
      </x:c>
      <x:c r="F22" s="92" t="str">
        <x:v>Notificaciones</x:v>
      </x:c>
      <x:c r="G22" s="92" t="str">
        <x:v>CP-18</x:v>
      </x:c>
      <x:c r="H22" s="92" t="str">
        <x:v>Prueba funcional / evidencia del módulo</x:v>
      </x:c>
      <x:c r="I22" s="92" t="str">
        <x:v>Planificado</x:v>
      </x:c>
      <x:c r="J22" s="49" t="str">
        <x:v>Completa</x:v>
      </x:c>
    </x:row>
    <x:row r="23" ht="15" hidden="0" customHeight="1">
      <x:c r="A23" s="48" t="str">
        <x:v>RNF-01</x:v>
      </x:c>
      <x:c r="B23" s="92" t="str">
        <x:v>Interfaz intuitiva y responsive</x:v>
      </x:c>
      <x:c r="C23" s="92" t="str">
        <x:v>Sí</x:v>
      </x:c>
      <x:c r="D23" s="92" t="str"/>
      <x:c r="E23" s="92" t="str">
        <x:v>Transversal</x:v>
      </x:c>
      <x:c r="F23" s="92" t="str">
        <x:v>Transversal</x:v>
      </x:c>
      <x:c r="G23" s="92" t="str">
        <x:v>CP-19</x:v>
      </x:c>
      <x:c r="H23" s="92" t="str">
        <x:v>Prueba no funcional / documentación</x:v>
      </x:c>
      <x:c r="I23" s="92" t="str">
        <x:v>Aprobado</x:v>
      </x:c>
      <x:c r="J23" s="49" t="str">
        <x:v>Completa</x:v>
      </x:c>
    </x:row>
    <x:row r="24" ht="15" hidden="0" customHeight="1">
      <x:c r="A24" s="48" t="str">
        <x:v>RNF-02</x:v>
      </x:c>
      <x:c r="B24" s="92" t="str">
        <x:v>Seguridad de la información</x:v>
      </x:c>
      <x:c r="C24" s="92" t="str">
        <x:v>Sí</x:v>
      </x:c>
      <x:c r="D24" s="92" t="str">
        <x:v>53,59</x:v>
      </x:c>
      <x:c r="E24" s="92" t="str">
        <x:v>Sprint 3 / 8</x:v>
      </x:c>
      <x:c r="F24" s="92" t="str">
        <x:v>Seguridad</x:v>
      </x:c>
      <x:c r="G24" s="92" t="str">
        <x:v>CP-20</x:v>
      </x:c>
      <x:c r="H24" s="92" t="str">
        <x:v>Prueba no funcional / documentación</x:v>
      </x:c>
      <x:c r="I24" s="92" t="str">
        <x:v>Aprobado</x:v>
      </x:c>
      <x:c r="J24" s="49" t="str">
        <x:v>Completa</x:v>
      </x:c>
    </x:row>
    <x:row r="25" ht="15" hidden="0" customHeight="1">
      <x:c r="A25" s="48" t="str">
        <x:v>RNF-03</x:v>
      </x:c>
      <x:c r="B25" s="92" t="str">
        <x:v>Compatibilidad Android</x:v>
      </x:c>
      <x:c r="C25" s="92" t="str">
        <x:v>Sí</x:v>
      </x:c>
      <x:c r="D25" s="92" t="str">
        <x:v>158</x:v>
      </x:c>
      <x:c r="E25" s="92" t="str">
        <x:v>Sprint 8</x:v>
      </x:c>
      <x:c r="F25" s="92" t="str">
        <x:v>Móvil</x:v>
      </x:c>
      <x:c r="G25" s="92" t="str">
        <x:v>CP-21</x:v>
      </x:c>
      <x:c r="H25" s="92" t="str">
        <x:v>Prueba no funcional / documentación</x:v>
      </x:c>
      <x:c r="I25" s="92" t="str">
        <x:v>Aprobado</x:v>
      </x:c>
      <x:c r="J25" s="49" t="str">
        <x:v>Completa</x:v>
      </x:c>
    </x:row>
    <x:row r="26" ht="15" hidden="0" customHeight="1">
      <x:c r="A26" s="48" t="str">
        <x:v>RNF-04</x:v>
      </x:c>
      <x:c r="B26" s="92" t="str">
        <x:v>Compatibilidad web</x:v>
      </x:c>
      <x:c r="C26" s="92" t="str">
        <x:v>Sí</x:v>
      </x:c>
      <x:c r="D26" s="92" t="str"/>
      <x:c r="E26" s="92" t="str">
        <x:v>Transversal</x:v>
      </x:c>
      <x:c r="F26" s="92" t="str">
        <x:v>Web</x:v>
      </x:c>
      <x:c r="G26" s="92" t="str">
        <x:v>CP-22</x:v>
      </x:c>
      <x:c r="H26" s="92" t="str">
        <x:v>Prueba no funcional / documentación</x:v>
      </x:c>
      <x:c r="I26" s="92" t="str">
        <x:v>Aprobado</x:v>
      </x:c>
      <x:c r="J26" s="49" t="str">
        <x:v>Completa</x:v>
      </x:c>
    </x:row>
    <x:row r="27" ht="15" hidden="0" customHeight="1">
      <x:c r="A27" s="48" t="str">
        <x:v>RNF-05</x:v>
      </x:c>
      <x:c r="B27" s="92" t="str">
        <x:v>Rendimiento y estabilidad</x:v>
      </x:c>
      <x:c r="C27" s="92" t="str">
        <x:v>Sí</x:v>
      </x:c>
      <x:c r="D27" s="92" t="str"/>
      <x:c r="E27" s="92" t="str">
        <x:v>Sprint 7</x:v>
      </x:c>
      <x:c r="F27" s="92" t="str">
        <x:v>Transversal</x:v>
      </x:c>
      <x:c r="G27" s="92" t="str">
        <x:v>CP-23</x:v>
      </x:c>
      <x:c r="H27" s="92" t="str">
        <x:v>Prueba no funcional / documentación</x:v>
      </x:c>
      <x:c r="I27" s="92" t="str">
        <x:v>Aprobado</x:v>
      </x:c>
      <x:c r="J27" s="49" t="str">
        <x:v>Completa</x:v>
      </x:c>
    </x:row>
    <x:row r="28" ht="15" hidden="0" customHeight="1">
      <x:c r="A28" s="48" t="str">
        <x:v>RNF-06</x:v>
      </x:c>
      <x:c r="B28" s="92" t="str">
        <x:v>Persistencia de datos</x:v>
      </x:c>
      <x:c r="C28" s="92" t="str">
        <x:v>Sí</x:v>
      </x:c>
      <x:c r="D28" s="92" t="str">
        <x:v>48,95</x:v>
      </x:c>
      <x:c r="E28" s="92" t="str">
        <x:v>Sprint 3 / 5</x:v>
      </x:c>
      <x:c r="F28" s="92" t="str">
        <x:v>Datos</x:v>
      </x:c>
      <x:c r="G28" s="92" t="str">
        <x:v>CP-24</x:v>
      </x:c>
      <x:c r="H28" s="92" t="str">
        <x:v>Prueba no funcional / documentación</x:v>
      </x:c>
      <x:c r="I28" s="92" t="str">
        <x:v>Aprobado</x:v>
      </x:c>
      <x:c r="J28" s="49" t="str">
        <x:v>Completa</x:v>
      </x:c>
    </x:row>
    <x:row r="29" ht="15" hidden="0" customHeight="1">
      <x:c r="A29" s="48" t="str">
        <x:v>RNF-07</x:v>
      </x:c>
      <x:c r="B29" s="92" t="str">
        <x:v>Disponibilidad en producción</x:v>
      </x:c>
      <x:c r="C29" s="92" t="str">
        <x:v>Sí</x:v>
      </x:c>
      <x:c r="D29" s="92" t="str">
        <x:v>153-155</x:v>
      </x:c>
      <x:c r="E29" s="92" t="str">
        <x:v>Sprint 8</x:v>
      </x:c>
      <x:c r="F29" s="92" t="str">
        <x:v>Infraestructura</x:v>
      </x:c>
      <x:c r="G29" s="92" t="str">
        <x:v>CP-25</x:v>
      </x:c>
      <x:c r="H29" s="92" t="str">
        <x:v>Prueba no funcional / documentación</x:v>
      </x:c>
      <x:c r="I29" s="92" t="str">
        <x:v>Aprobado</x:v>
      </x:c>
      <x:c r="J29" s="49" t="str">
        <x:v>Completa</x:v>
      </x:c>
    </x:row>
    <x:row r="30" ht="15" hidden="0" customHeight="1">
      <x:c r="A30" s="48" t="str">
        <x:v>RNF-08</x:v>
      </x:c>
      <x:c r="B30" s="92" t="str">
        <x:v>Integridad y respaldo</x:v>
      </x:c>
      <x:c r="C30" s="92" t="str">
        <x:v>Sí</x:v>
      </x:c>
      <x:c r="D30" s="92" t="str">
        <x:v>161,170</x:v>
      </x:c>
      <x:c r="E30" s="92" t="str">
        <x:v>Sprint 8</x:v>
      </x:c>
      <x:c r="F30" s="92" t="str">
        <x:v>Datos / Respaldo</x:v>
      </x:c>
      <x:c r="G30" s="92" t="str">
        <x:v>CP-26</x:v>
      </x:c>
      <x:c r="H30" s="92" t="str">
        <x:v>Prueba no funcional / documentación</x:v>
      </x:c>
      <x:c r="I30" s="92" t="str">
        <x:v>Aprobado</x:v>
      </x:c>
      <x:c r="J30" s="49" t="str">
        <x:v>Completa</x:v>
      </x:c>
    </x:row>
    <x:row r="31" ht="15" hidden="0" customHeight="1">
      <x:c r="A31" s="50" t="str">
        <x:v>RNF-09</x:v>
      </x:c>
      <x:c r="B31" s="93" t="str">
        <x:v>Mantenibilidad y documentación</x:v>
      </x:c>
      <x:c r="C31" s="93" t="str">
        <x:v>Sí</x:v>
      </x:c>
      <x:c r="D31" s="93" t="str">
        <x:v>79,144,145,178</x:v>
      </x:c>
      <x:c r="E31" s="93" t="str">
        <x:v>Sprint 4 / 7 / Cierre</x:v>
      </x:c>
      <x:c r="F31" s="93" t="str">
        <x:v>Documentación</x:v>
      </x:c>
      <x:c r="G31" s="93" t="str">
        <x:v>CP-27</x:v>
      </x:c>
      <x:c r="H31" s="93" t="str">
        <x:v>Prueba no funcional / documentación</x:v>
      </x:c>
      <x:c r="I31" s="93" t="str">
        <x:v>Aprobado</x:v>
      </x:c>
      <x:c r="J31" s="51" t="str">
        <x:v>Completa</x:v>
      </x:c>
    </x:row>
  </x:sheetData>
  <x:mergeCells>
    <x:mergeCell ref="A1:J1"/>
    <x:mergeCell ref="A2:J2"/>
  </x:mergeCells>
  <x:conditionalFormatting sqref="J5:J31">
    <x:cfRule type="expression" dxfId="5" priority="1">
      <x:formula>J5="Completa"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8" hidden="0" customWidth="1"/>
    <x:col min="4" max="4" width="34" hidden="0" customWidth="1"/>
    <x:col min="5" max="5" width="58" hidden="0" customWidth="1"/>
    <x:col min="6" max="6" width="11" hidden="0" customWidth="1"/>
    <x:col min="7" max="7" width="14" hidden="0" customWidth="1"/>
    <x:col min="8" max="8" width="14" hidden="0" customWidth="1"/>
    <x:col min="9" max="9" width="14" hidden="0" customWidth="1"/>
    <x:col min="10" max="10" width="31" hidden="0" customWidth="1"/>
    <x:col min="11" max="11" width="38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</x:cols>
  <x:sheetData>
    <x:row r="1" ht="25" hidden="0" customHeight="1">
      <x:c r="A1" s="326" t="str">
        <x:v>CRONOGRAMA OFICIAL DEL PROYECTO · HUATA LÁCTEOS</x:v>
      </x:c>
      <x:c r="B1" s="326"/>
      <x:c r="C1" s="326"/>
      <x:c r="D1" s="326"/>
      <x:c r="E1" s="326"/>
      <x:c r="F1" s="326"/>
      <x:c r="G1" s="326"/>
      <x:c r="H1" s="326"/>
      <x:c r="I1" s="326"/>
      <x:c r="J1" s="326"/>
      <x:c r="K1" s="326"/>
      <x:c r="L1"/>
      <x:c r="M1"/>
      <x:c r="N1"/>
      <x:c r="O1"/>
      <x:c r="P1"/>
      <x:c r="Q1"/>
      <x:c r="R1"/>
      <x:c r="S1"/>
      <x:c r="T1"/>
    </x:row>
    <x:row r="2" ht="24" hidden="0" customHeight="1">
      <x:c r="A2" s="331" t="str">
        <x:v>Fuente: Cronograma_2026-2(2).xlsx · Sprint 1–8 + Cierre · 19/08/2026 al 15/10/2026 · IDs usados para vincular los requerimientos.</x:v>
      </x:c>
      <x:c r="B2" s="331"/>
      <x:c r="C2" s="331"/>
      <x:c r="D2" s="331"/>
      <x:c r="E2" s="331"/>
      <x:c r="F2" s="331"/>
      <x:c r="G2" s="331"/>
      <x:c r="H2" s="331"/>
      <x:c r="I2" s="331"/>
      <x:c r="J2" s="331"/>
      <x:c r="K2" s="331"/>
      <x:c r="L2"/>
      <x:c r="M2"/>
      <x:c r="N2"/>
      <x:c r="O2"/>
      <x:c r="P2"/>
      <x:c r="Q2"/>
      <x:c r="R2"/>
      <x:c r="S2"/>
      <x:c r="T2"/>
    </x:row>
    <x:row r="3"/>
    <x:row r="4" ht="32" hidden="0" customHeight="1">
      <x:c r="A4" s="427" t="str">
        <x:v>ID</x:v>
      </x:c>
      <x:c r="B4" s="350" t="str">
        <x:v>Nivel de esquema</x:v>
      </x:c>
      <x:c r="C4" s="350" t="str">
        <x:v>Épica</x:v>
      </x:c>
      <x:c r="D4" s="350" t="str">
        <x:v>Historia de Usuario</x:v>
      </x:c>
      <x:c r="E4" s="350" t="str">
        <x:v>Nombre de tarea</x:v>
      </x:c>
      <x:c r="F4" s="350" t="str">
        <x:v>Duración</x:v>
      </x:c>
      <x:c r="G4" s="350" t="str">
        <x:v>Comienzo</x:v>
      </x:c>
      <x:c r="H4" s="350" t="str">
        <x:v>Fin</x:v>
      </x:c>
      <x:c r="I4" s="350" t="str">
        <x:v>Predecesoras</x:v>
      </x:c>
      <x:c r="J4" s="350" t="str">
        <x:v>Nombres de los recursos</x:v>
      </x:c>
      <x:c r="K4" s="351" t="str">
        <x:v>Entregable / Nota</x:v>
      </x:c>
      <x:c r="L4"/>
      <x:c r="M4"/>
      <x:c r="N4"/>
      <x:c r="O4"/>
      <x:c r="P4"/>
      <x:c r="Q4"/>
      <x:c r="R4"/>
      <x:c r="S4"/>
      <x:c r="T4"/>
    </x:row>
    <x:row r="5" ht="30" hidden="0" customHeight="1">
      <x:c r="A5" s="468" t="n">
        <x:v>1</x:v>
      </x:c>
      <x:c r="B5" s="469" t="n">
        <x:v>1</x:v>
      </x:c>
      <x:c r="C5" s="469"/>
      <x:c r="D5" s="469"/>
      <x:c r="E5" s="469" t="str">
        <x:v>Sprint 1</x:v>
      </x:c>
      <x:c r="F5" s="469"/>
      <x:c r="G5" s="470" t="n">
        <x:v>46253</x:v>
      </x:c>
      <x:c r="H5" s="470" t="n">
        <x:v>46259</x:v>
      </x:c>
      <x:c r="I5" s="469"/>
      <x:c r="J5" s="469"/>
      <x:c r="K5" s="471" t="str">
        <x:v>Periodo / time-box Scrum</x:v>
      </x:c>
      <x:c r="L5"/>
      <x:c r="M5"/>
      <x:c r="N5"/>
      <x:c r="O5"/>
      <x:c r="P5"/>
      <x:c r="Q5"/>
      <x:c r="R5"/>
      <x:c r="S5"/>
      <x:c r="T5"/>
    </x:row>
    <x:row r="6" ht="30" hidden="0" customHeight="1">
      <x:c r="A6" s="476" t="n">
        <x:v>2</x:v>
      </x:c>
      <x:c r="B6" s="477" t="n">
        <x:v>2</x:v>
      </x:c>
      <x:c r="C6" s="477" t="str">
        <x:v>Gestión del proyecto</x:v>
      </x:c>
      <x:c r="D6" s="477"/>
      <x:c r="E6" s="477" t="str">
        <x:v>    Gestión del proyecto</x:v>
      </x:c>
      <x:c r="F6" s="477"/>
      <x:c r="G6" s="478" t="n">
        <x:v>46253</x:v>
      </x:c>
      <x:c r="H6" s="478" t="n">
        <x:v>46253</x:v>
      </x:c>
      <x:c r="I6" s="477"/>
      <x:c r="J6" s="477"/>
      <x:c r="K6" s="479" t="str">
        <x:v>Agrupa historias relacionadas</x:v>
      </x:c>
      <x:c r="L6"/>
      <x:c r="M6"/>
      <x:c r="N6"/>
      <x:c r="O6"/>
      <x:c r="P6"/>
      <x:c r="Q6"/>
      <x:c r="R6"/>
      <x:c r="S6"/>
      <x:c r="T6"/>
    </x:row>
    <x:row r="7" ht="30" hidden="0" customHeight="1">
      <x:c r="A7" s="484" t="n">
        <x:v>3</x:v>
      </x:c>
      <x:c r="B7" s="485" t="n">
        <x:v>3</x:v>
      </x:c>
      <x:c r="C7" s="485" t="str">
        <x:v>Gestión del proyecto</x:v>
      </x:c>
      <x:c r="D7" s="485" t="str">
        <x:v>Actividad de gestión</x:v>
      </x:c>
      <x:c r="E7" s="485" t="str">
        <x:v>        Historia: Actividad de gestión</x:v>
      </x:c>
      <x:c r="F7" s="485"/>
      <x:c r="G7" s="486" t="n">
        <x:v>46253</x:v>
      </x:c>
      <x:c r="H7" s="486" t="n">
        <x:v>46253</x:v>
      </x:c>
      <x:c r="I7" s="485"/>
      <x:c r="J7" s="485"/>
      <x:c r="K7" s="487" t="str">
        <x:v>Funcionalidad / resultado esperado</x:v>
      </x:c>
      <x:c r="L7"/>
      <x:c r="M7"/>
      <x:c r="N7"/>
      <x:c r="O7"/>
      <x:c r="P7"/>
      <x:c r="Q7"/>
      <x:c r="R7"/>
      <x:c r="S7"/>
      <x:c r="T7"/>
    </x:row>
    <x:row r="8" ht="30" hidden="0" customHeight="1">
      <x:c r="A8" s="448" t="n">
        <x:v>4</x:v>
      </x:c>
      <x:c r="B8" s="449" t="n">
        <x:v>4</x:v>
      </x:c>
      <x:c r="C8" s="449" t="str">
        <x:v>Gestión del proyecto</x:v>
      </x:c>
      <x:c r="D8" s="449" t="str">
        <x:v>Actividad de gestión</x:v>
      </x:c>
      <x:c r="E8" s="449" t="str">
        <x:v>            Kick off del proyecto y conformación del equipo</x:v>
      </x:c>
      <x:c r="F8" s="449" t="n">
        <x:v>1</x:v>
      </x:c>
      <x:c r="G8" s="450" t="n">
        <x:v>46253</x:v>
      </x:c>
      <x:c r="H8" s="450" t="n">
        <x:v>46253</x:v>
      </x:c>
      <x:c r="I8" s="449"/>
      <x:c r="J8" s="449" t="str">
        <x:v>Jefe de Proyecto</x:v>
      </x:c>
      <x:c r="K8" s="451" t="str">
        <x:v>Acta de inicio</x:v>
      </x:c>
      <x:c r="L8"/>
      <x:c r="M8"/>
      <x:c r="N8"/>
      <x:c r="O8"/>
      <x:c r="P8"/>
      <x:c r="Q8"/>
      <x:c r="R8"/>
      <x:c r="S8"/>
      <x:c r="T8"/>
    </x:row>
    <x:row r="9" ht="30" hidden="0" customHeight="1">
      <x:c r="A9" s="476" t="n">
        <x:v>5</x:v>
      </x:c>
      <x:c r="B9" s="477" t="n">
        <x:v>2</x:v>
      </x:c>
      <x:c r="C9" s="477" t="str">
        <x:v>Gestión y definición del producto</x:v>
      </x:c>
      <x:c r="D9" s="477"/>
      <x:c r="E9" s="477" t="str">
        <x:v>    Gestión y definición del producto</x:v>
      </x:c>
      <x:c r="F9" s="477"/>
      <x:c r="G9" s="478" t="n">
        <x:v>46253</x:v>
      </x:c>
      <x:c r="H9" s="478" t="n">
        <x:v>46259</x:v>
      </x:c>
      <x:c r="I9" s="477"/>
      <x:c r="J9" s="477"/>
      <x:c r="K9" s="479" t="str">
        <x:v>Agrupa historias relacionadas</x:v>
      </x:c>
      <x:c r="L9"/>
      <x:c r="M9"/>
      <x:c r="N9"/>
      <x:c r="O9"/>
      <x:c r="P9"/>
      <x:c r="Q9"/>
      <x:c r="R9"/>
      <x:c r="S9"/>
      <x:c r="T9"/>
    </x:row>
    <x:row r="10" ht="30" hidden="0" customHeight="1">
      <x:c r="A10" s="484" t="n">
        <x:v>6</x:v>
      </x:c>
      <x:c r="B10" s="485" t="n">
        <x:v>3</x:v>
      </x:c>
      <x:c r="C10" s="485" t="str">
        <x:v>Gestión y definición del producto</x:v>
      </x:c>
      <x:c r="D10" s="485" t="str">
        <x:v>Gestión del proyecto y requisitos</x:v>
      </x:c>
      <x:c r="E10" s="485" t="str">
        <x:v>        Historia: Gestión del proyecto y requisitos</x:v>
      </x:c>
      <x:c r="F10" s="485"/>
      <x:c r="G10" s="486" t="n">
        <x:v>46253</x:v>
      </x:c>
      <x:c r="H10" s="486" t="n">
        <x:v>46259</x:v>
      </x:c>
      <x:c r="I10" s="485"/>
      <x:c r="J10" s="485"/>
      <x:c r="K10" s="487" t="str">
        <x:v>Funcionalidad / resultado esperado</x:v>
      </x:c>
      <x:c r="L10"/>
      <x:c r="M10"/>
      <x:c r="N10"/>
      <x:c r="O10"/>
      <x:c r="P10"/>
      <x:c r="Q10"/>
      <x:c r="R10"/>
      <x:c r="S10"/>
      <x:c r="T10"/>
    </x:row>
    <x:row r="11" ht="30" hidden="0" customHeight="1">
      <x:c r="A11" s="448" t="n">
        <x:v>7</x:v>
      </x:c>
      <x:c r="B11" s="449" t="n">
        <x:v>4</x:v>
      </x:c>
      <x:c r="C11" s="449" t="str">
        <x:v>Gestión y definición del producto</x:v>
      </x:c>
      <x:c r="D11" s="449" t="str">
        <x:v>Gestión del proyecto y requisitos</x:v>
      </x:c>
      <x:c r="E11" s="449" t="str">
        <x:v>            Elaboración del Project Charter</x:v>
      </x:c>
      <x:c r="F11" s="449" t="n">
        <x:v>2</x:v>
      </x:c>
      <x:c r="G11" s="450" t="n">
        <x:v>46253</x:v>
      </x:c>
      <x:c r="H11" s="450" t="n">
        <x:v>46254</x:v>
      </x:c>
      <x:c r="I11" s="449" t="str">
        <x:v>4</x:v>
      </x:c>
      <x:c r="J11" s="449" t="str">
        <x:v>Jefe de Proyecto</x:v>
      </x:c>
      <x:c r="K11" s="451" t="str">
        <x:v>Project Charter v1</x:v>
      </x:c>
      <x:c r="L11"/>
      <x:c r="M11"/>
      <x:c r="N11"/>
      <x:c r="O11"/>
      <x:c r="P11"/>
      <x:c r="Q11"/>
      <x:c r="R11"/>
      <x:c r="S11"/>
      <x:c r="T11"/>
    </x:row>
    <x:row r="12" ht="30" hidden="0" customHeight="1">
      <x:c r="A12" s="448" t="n">
        <x:v>8</x:v>
      </x:c>
      <x:c r="B12" s="449" t="n">
        <x:v>4</x:v>
      </x:c>
      <x:c r="C12" s="449" t="str">
        <x:v>Gestión y definición del producto</x:v>
      </x:c>
      <x:c r="D12" s="449" t="str">
        <x:v>Gestión del proyecto y requisitos</x:v>
      </x:c>
      <x:c r="E12" s="449" t="str">
        <x:v>            Definición de objetivos, alcance y stakeholders</x:v>
      </x:c>
      <x:c r="F12" s="449" t="n">
        <x:v>1</x:v>
      </x:c>
      <x:c r="G12" s="450" t="n">
        <x:v>46254</x:v>
      </x:c>
      <x:c r="H12" s="450" t="n">
        <x:v>46254</x:v>
      </x:c>
      <x:c r="I12" s="449" t="str">
        <x:v>7</x:v>
      </x:c>
      <x:c r="J12" s="449" t="str">
        <x:v>Jefe de Proyecto</x:v>
      </x:c>
      <x:c r="K12" s="451" t="str">
        <x:v>Incluido en Charter</x:v>
      </x:c>
      <x:c r="L12"/>
      <x:c r="M12"/>
      <x:c r="N12"/>
      <x:c r="O12"/>
      <x:c r="P12"/>
      <x:c r="Q12"/>
      <x:c r="R12"/>
      <x:c r="S12"/>
      <x:c r="T12"/>
    </x:row>
    <x:row r="13" ht="30" hidden="0" customHeight="1">
      <x:c r="A13" s="448" t="n">
        <x:v>9</x:v>
      </x:c>
      <x:c r="B13" s="449" t="n">
        <x:v>4</x:v>
      </x:c>
      <x:c r="C13" s="449" t="str">
        <x:v>Gestión y definición del producto</x:v>
      </x:c>
      <x:c r="D13" s="449" t="str">
        <x:v>Gestión del proyecto y requisitos</x:v>
      </x:c>
      <x:c r="E13" s="449" t="str">
        <x:v>            Elaboración de cronograma preliminar en MS Project</x:v>
      </x:c>
      <x:c r="F13" s="449" t="n">
        <x:v>1</x:v>
      </x:c>
      <x:c r="G13" s="450" t="n">
        <x:v>46254</x:v>
      </x:c>
      <x:c r="H13" s="450" t="n">
        <x:v>46254</x:v>
      </x:c>
      <x:c r="I13" s="449" t="str">
        <x:v>7</x:v>
      </x:c>
      <x:c r="J13" s="449" t="str">
        <x:v>Jefe de Proyecto</x:v>
      </x:c>
      <x:c r="K13" s="451" t="str">
        <x:v>Cronograma v1</x:v>
      </x:c>
      <x:c r="L13"/>
      <x:c r="M13"/>
      <x:c r="N13"/>
      <x:c r="O13"/>
      <x:c r="P13"/>
      <x:c r="Q13"/>
      <x:c r="R13"/>
      <x:c r="S13"/>
      <x:c r="T13"/>
    </x:row>
    <x:row r="14" ht="30" hidden="0" customHeight="1">
      <x:c r="A14" s="448" t="n">
        <x:v>10</x:v>
      </x:c>
      <x:c r="B14" s="449" t="n">
        <x:v>4</x:v>
      </x:c>
      <x:c r="C14" s="449" t="str">
        <x:v>Gestión y definición del producto</x:v>
      </x:c>
      <x:c r="D14" s="449" t="str">
        <x:v>Gestión del proyecto y requisitos</x:v>
      </x:c>
      <x:c r="E14" s="449" t="str">
        <x:v>            Levantamiento de información en campo (Huata) - entrevistas a acopiadores y productores</x:v>
      </x:c>
      <x:c r="F14" s="449" t="n">
        <x:v>2</x:v>
      </x:c>
      <x:c r="G14" s="450" t="n">
        <x:v>46255</x:v>
      </x:c>
      <x:c r="H14" s="450" t="n">
        <x:v>46256</x:v>
      </x:c>
      <x:c r="I14" s="449" t="str">
        <x:v>8</x:v>
      </x:c>
      <x:c r="J14" s="449" t="str">
        <x:v>Analista Funcional</x:v>
      </x:c>
      <x:c r="K14" s="451" t="str">
        <x:v>Actas de entrevista</x:v>
      </x:c>
      <x:c r="L14"/>
      <x:c r="M14"/>
      <x:c r="N14"/>
      <x:c r="O14"/>
      <x:c r="P14"/>
      <x:c r="Q14"/>
      <x:c r="R14"/>
      <x:c r="S14"/>
      <x:c r="T14"/>
    </x:row>
    <x:row r="15" ht="30" customHeight="1">
      <x:c r="A15" s="448" t="n">
        <x:v>11</x:v>
      </x:c>
      <x:c r="B15" s="449" t="n">
        <x:v>4</x:v>
      </x:c>
      <x:c r="C15" s="449" t="str">
        <x:v>Gestión y definición del producto</x:v>
      </x:c>
      <x:c r="D15" s="449" t="str">
        <x:v>Gestión del proyecto y requisitos</x:v>
      </x:c>
      <x:c r="E15" s="449" t="str">
        <x:v>            Identificación de actores del sistema (Productor, Acopiador, Administrador, Planta, Chofer/Ruta)</x:v>
      </x:c>
      <x:c r="F15" s="449" t="n">
        <x:v>1</x:v>
      </x:c>
      <x:c r="G15" s="450" t="n">
        <x:v>46256</x:v>
      </x:c>
      <x:c r="H15" s="450" t="n">
        <x:v>46256</x:v>
      </x:c>
      <x:c r="I15" s="449" t="str">
        <x:v>10</x:v>
      </x:c>
      <x:c r="J15" s="449" t="str">
        <x:v>Analista Funcional</x:v>
      </x:c>
      <x:c r="K15" s="451" t="str">
        <x:v>Matriz de actores</x:v>
      </x:c>
    </x:row>
    <x:row r="16" ht="30" customHeight="1">
      <x:c r="A16" s="448" t="n">
        <x:v>12</x:v>
      </x:c>
      <x:c r="B16" s="449" t="n">
        <x:v>4</x:v>
      </x:c>
      <x:c r="C16" s="449" t="str">
        <x:v>Gestión y definición del producto</x:v>
      </x:c>
      <x:c r="D16" s="449" t="str">
        <x:v>Gestión del proyecto y requisitos</x:v>
      </x:c>
      <x:c r="E16" s="449" t="str">
        <x:v>            Elaboración de Requerimientos Funcionales (RF)</x:v>
      </x:c>
      <x:c r="F16" s="449" t="n">
        <x:v>1</x:v>
      </x:c>
      <x:c r="G16" s="450" t="n">
        <x:v>46257</x:v>
      </x:c>
      <x:c r="H16" s="450" t="n">
        <x:v>46257</x:v>
      </x:c>
      <x:c r="I16" s="449" t="str">
        <x:v>11</x:v>
      </x:c>
      <x:c r="J16" s="449" t="str">
        <x:v>Analista Funcional</x:v>
      </x:c>
      <x:c r="K16" s="451" t="str">
        <x:v>Documento RF</x:v>
      </x:c>
    </x:row>
    <x:row r="17" ht="30" customHeight="1">
      <x:c r="A17" s="448" t="n">
        <x:v>13</x:v>
      </x:c>
      <x:c r="B17" s="449" t="n">
        <x:v>4</x:v>
      </x:c>
      <x:c r="C17" s="449" t="str">
        <x:v>Gestión y definición del producto</x:v>
      </x:c>
      <x:c r="D17" s="449" t="str">
        <x:v>Gestión del proyecto y requisitos</x:v>
      </x:c>
      <x:c r="E17" s="449" t="str">
        <x:v>            Elaboración de Requerimientos No Funcionales (RNF)</x:v>
      </x:c>
      <x:c r="F17" s="449" t="n">
        <x:v>1</x:v>
      </x:c>
      <x:c r="G17" s="450" t="n">
        <x:v>46257</x:v>
      </x:c>
      <x:c r="H17" s="450" t="n">
        <x:v>46257</x:v>
      </x:c>
      <x:c r="I17" s="449" t="str">
        <x:v>11</x:v>
      </x:c>
      <x:c r="J17" s="449" t="str">
        <x:v>Analista Funcional</x:v>
      </x:c>
      <x:c r="K17" s="451" t="str">
        <x:v>Documento RNF</x:v>
      </x:c>
    </x:row>
    <x:row r="18" ht="30" customHeight="1">
      <x:c r="A18" s="448" t="n">
        <x:v>14</x:v>
      </x:c>
      <x:c r="B18" s="449" t="n">
        <x:v>4</x:v>
      </x:c>
      <x:c r="C18" s="449" t="str">
        <x:v>Gestión y definición del producto</x:v>
      </x:c>
      <x:c r="D18" s="449" t="str">
        <x:v>Gestión del proyecto y requisitos</x:v>
      </x:c>
      <x:c r="E18" s="449" t="str">
        <x:v>            Elaboración de Historias de Usuario / Casos de Uso (Product Backlog)</x:v>
      </x:c>
      <x:c r="F18" s="449" t="n">
        <x:v>1</x:v>
      </x:c>
      <x:c r="G18" s="450" t="n">
        <x:v>46258</x:v>
      </x:c>
      <x:c r="H18" s="450" t="n">
        <x:v>46258</x:v>
      </x:c>
      <x:c r="I18" s="449" t="str">
        <x:v>12,13</x:v>
      </x:c>
      <x:c r="J18" s="449" t="str">
        <x:v>Analista Funcional / Scrum Master</x:v>
      </x:c>
      <x:c r="K18" s="451" t="str">
        <x:v>Product Backlog inicial</x:v>
      </x:c>
    </x:row>
    <x:row r="19" ht="30" customHeight="1">
      <x:c r="A19" s="448" t="n">
        <x:v>15</x:v>
      </x:c>
      <x:c r="B19" s="449" t="n">
        <x:v>4</x:v>
      </x:c>
      <x:c r="C19" s="449" t="str">
        <x:v>Gestión y definición del producto</x:v>
      </x:c>
      <x:c r="D19" s="449" t="str">
        <x:v>Gestión del proyecto y requisitos</x:v>
      </x:c>
      <x:c r="E19" s="449" t="str">
        <x:v>            Priorización del Backlog (MoSCoW / valor de negocio)</x:v>
      </x:c>
      <x:c r="F19" s="449" t="n">
        <x:v>1</x:v>
      </x:c>
      <x:c r="G19" s="450" t="n">
        <x:v>46258</x:v>
      </x:c>
      <x:c r="H19" s="450" t="n">
        <x:v>46258</x:v>
      </x:c>
      <x:c r="I19" s="449" t="str">
        <x:v>14</x:v>
      </x:c>
      <x:c r="J19" s="449" t="str">
        <x:v>Product Owner</x:v>
      </x:c>
      <x:c r="K19" s="451" t="str">
        <x:v>Backlog priorizado</x:v>
      </x:c>
    </x:row>
    <x:row r="20" ht="30" customHeight="1">
      <x:c r="A20" s="448" t="n">
        <x:v>16</x:v>
      </x:c>
      <x:c r="B20" s="449" t="n">
        <x:v>4</x:v>
      </x:c>
      <x:c r="C20" s="449" t="str">
        <x:v>Gestión y definición del producto</x:v>
      </x:c>
      <x:c r="D20" s="449" t="str">
        <x:v>Gestión del proyecto y requisitos</x:v>
      </x:c>
      <x:c r="E20" s="449" t="str">
        <x:v>            Elaboración de Plan de Gestión del Proyecto (alcance, riesgos, comunicación)</x:v>
      </x:c>
      <x:c r="F20" s="449" t="n">
        <x:v>1</x:v>
      </x:c>
      <x:c r="G20" s="450" t="n">
        <x:v>46259</x:v>
      </x:c>
      <x:c r="H20" s="450" t="n">
        <x:v>46259</x:v>
      </x:c>
      <x:c r="I20" s="449" t="str">
        <x:v>9</x:v>
      </x:c>
      <x:c r="J20" s="449" t="str">
        <x:v>Jefe de Proyecto</x:v>
      </x:c>
      <x:c r="K20" s="451" t="str">
        <x:v>Plan de gestión</x:v>
      </x:c>
    </x:row>
    <x:row r="21" ht="30" customHeight="1">
      <x:c r="A21" s="448" t="n">
        <x:v>17</x:v>
      </x:c>
      <x:c r="B21" s="449" t="n">
        <x:v>4</x:v>
      </x:c>
      <x:c r="C21" s="449" t="str">
        <x:v>Gestión y definición del producto</x:v>
      </x:c>
      <x:c r="D21" s="449" t="str">
        <x:v>Gestión del proyecto y requisitos</x:v>
      </x:c>
      <x:c r="E21" s="449" t="str">
        <x:v>            Revisión y consolidación de documentos de la Sprint 1</x:v>
      </x:c>
      <x:c r="F21" s="449" t="n">
        <x:v>1</x:v>
      </x:c>
      <x:c r="G21" s="450" t="n">
        <x:v>46259</x:v>
      </x:c>
      <x:c r="H21" s="450" t="n">
        <x:v>46259</x:v>
      </x:c>
      <x:c r="I21" s="449" t="str">
        <x:v>15,16</x:v>
      </x:c>
      <x:c r="J21" s="449" t="str">
        <x:v>Equipo completo</x:v>
      </x:c>
      <x:c r="K21" s="451" t="str">
        <x:v>Documentos consolidados</x:v>
      </x:c>
    </x:row>
    <x:row r="22" ht="30" customHeight="1">
      <x:c r="A22" s="448" t="n">
        <x:v>18</x:v>
      </x:c>
      <x:c r="B22" s="449" t="n">
        <x:v>4</x:v>
      </x:c>
      <x:c r="C22" s="449" t="str">
        <x:v>Gestión y definición del producto</x:v>
      </x:c>
      <x:c r="D22" s="449" t="str">
        <x:v>Gestión del proyecto y requisitos</x:v>
      </x:c>
      <x:c r="E22" s="449" t="str">
        <x:v>            Sprint Review + Retrospectiva Sprint 1</x:v>
      </x:c>
      <x:c r="F22" s="449" t="n">
        <x:v>1</x:v>
      </x:c>
      <x:c r="G22" s="450" t="n">
        <x:v>46259</x:v>
      </x:c>
      <x:c r="H22" s="450" t="n">
        <x:v>46259</x:v>
      </x:c>
      <x:c r="I22" s="449" t="str">
        <x:v>17</x:v>
      </x:c>
      <x:c r="J22" s="449" t="str">
        <x:v>Scrum Master</x:v>
      </x:c>
      <x:c r="K22" s="451" t="str">
        <x:v>Acta de Sprint Review</x:v>
      </x:c>
    </x:row>
    <x:row r="23" ht="30" customHeight="1">
      <x:c r="A23" s="468" t="n">
        <x:v>19</x:v>
      </x:c>
      <x:c r="B23" s="469" t="n">
        <x:v>1</x:v>
      </x:c>
      <x:c r="C23" s="469"/>
      <x:c r="D23" s="469"/>
      <x:c r="E23" s="469" t="str">
        <x:v>Sprint 2</x:v>
      </x:c>
      <x:c r="F23" s="469"/>
      <x:c r="G23" s="470" t="n">
        <x:v>46260</x:v>
      </x:c>
      <x:c r="H23" s="470" t="n">
        <x:v>46266</x:v>
      </x:c>
      <x:c r="I23" s="469"/>
      <x:c r="J23" s="469"/>
      <x:c r="K23" s="471" t="str">
        <x:v>Periodo / time-box Scrum</x:v>
      </x:c>
    </x:row>
    <x:row r="24" ht="30" customHeight="1">
      <x:c r="A24" s="476" t="n">
        <x:v>20</x:v>
      </x:c>
      <x:c r="B24" s="477" t="n">
        <x:v>2</x:v>
      </x:c>
      <x:c r="C24" s="477" t="str">
        <x:v>Gestión y definición del producto</x:v>
      </x:c>
      <x:c r="D24" s="477"/>
      <x:c r="E24" s="477" t="str">
        <x:v>    Gestión y definición del producto</x:v>
      </x:c>
      <x:c r="F24" s="477"/>
      <x:c r="G24" s="478" t="n">
        <x:v>46260</x:v>
      </x:c>
      <x:c r="H24" s="478" t="n">
        <x:v>46266</x:v>
      </x:c>
      <x:c r="I24" s="477"/>
      <x:c r="J24" s="477"/>
      <x:c r="K24" s="479" t="str">
        <x:v>Agrupa historias relacionadas</x:v>
      </x:c>
    </x:row>
    <x:row r="25" ht="30" customHeight="1">
      <x:c r="A25" s="484" t="n">
        <x:v>21</x:v>
      </x:c>
      <x:c r="B25" s="485" t="n">
        <x:v>3</x:v>
      </x:c>
      <x:c r="C25" s="485" t="str">
        <x:v>Gestión y definición del producto</x:v>
      </x:c>
      <x:c r="D25" s="485" t="str">
        <x:v>Gestión del proyecto y requisitos</x:v>
      </x:c>
      <x:c r="E25" s="485" t="str">
        <x:v>        Historia: Gestión del proyecto y requisitos</x:v>
      </x:c>
      <x:c r="F25" s="485"/>
      <x:c r="G25" s="486" t="n">
        <x:v>46260</x:v>
      </x:c>
      <x:c r="H25" s="486" t="n">
        <x:v>46266</x:v>
      </x:c>
      <x:c r="I25" s="485"/>
      <x:c r="J25" s="485"/>
      <x:c r="K25" s="487" t="str">
        <x:v>Funcionalidad / resultado esperado</x:v>
      </x:c>
    </x:row>
    <x:row r="26" ht="30" customHeight="1">
      <x:c r="A26" s="448" t="n">
        <x:v>22</x:v>
      </x:c>
      <x:c r="B26" s="449" t="n">
        <x:v>4</x:v>
      </x:c>
      <x:c r="C26" s="449" t="str">
        <x:v>Gestión y definición del producto</x:v>
      </x:c>
      <x:c r="D26" s="449" t="str">
        <x:v>Gestión del proyecto y requisitos</x:v>
      </x:c>
      <x:c r="E26" s="449" t="str">
        <x:v>            Sprint Planning Sprint 2</x:v>
      </x:c>
      <x:c r="F26" s="449" t="n">
        <x:v>1</x:v>
      </x:c>
      <x:c r="G26" s="450" t="n">
        <x:v>46260</x:v>
      </x:c>
      <x:c r="H26" s="450" t="n">
        <x:v>46260</x:v>
      </x:c>
      <x:c r="I26" s="449" t="str">
        <x:v>18</x:v>
      </x:c>
      <x:c r="J26" s="449" t="str">
        <x:v>Scrum Master</x:v>
      </x:c>
      <x:c r="K26" s="451" t="str">
        <x:v>Sprint Backlog 2</x:v>
      </x:c>
    </x:row>
    <x:row r="27" ht="30" customHeight="1">
      <x:c r="A27" s="448" t="n">
        <x:v>23</x:v>
      </x:c>
      <x:c r="B27" s="449" t="n">
        <x:v>4</x:v>
      </x:c>
      <x:c r="C27" s="449" t="str">
        <x:v>Gestión y definición del producto</x:v>
      </x:c>
      <x:c r="D27" s="449" t="str">
        <x:v>Gestión del proyecto y requisitos</x:v>
      </x:c>
      <x:c r="E27" s="449" t="str">
        <x:v>            Presentación de requerimientos (RF/RNF) al cliente</x:v>
      </x:c>
      <x:c r="F27" s="449" t="n">
        <x:v>1</x:v>
      </x:c>
      <x:c r="G27" s="450" t="n">
        <x:v>46260</x:v>
      </x:c>
      <x:c r="H27" s="450" t="n">
        <x:v>46260</x:v>
      </x:c>
      <x:c r="I27" s="449" t="str">
        <x:v>22</x:v>
      </x:c>
      <x:c r="J27" s="449" t="str">
        <x:v>Analista Funcional</x:v>
      </x:c>
      <x:c r="K27" s="451" t="str">
        <x:v>Reunión de validación</x:v>
      </x:c>
    </x:row>
    <x:row r="28" ht="30" customHeight="1">
      <x:c r="A28" s="448" t="n">
        <x:v>24</x:v>
      </x:c>
      <x:c r="B28" s="449" t="n">
        <x:v>4</x:v>
      </x:c>
      <x:c r="C28" s="449" t="str">
        <x:v>Gestión y definición del producto</x:v>
      </x:c>
      <x:c r="D28" s="449" t="str">
        <x:v>Gestión del proyecto y requisitos</x:v>
      </x:c>
      <x:c r="E28" s="449" t="str">
        <x:v>            Levantamiento de observaciones y ajustes a requerimientos</x:v>
      </x:c>
      <x:c r="F28" s="449" t="n">
        <x:v>1</x:v>
      </x:c>
      <x:c r="G28" s="450" t="n">
        <x:v>46261</x:v>
      </x:c>
      <x:c r="H28" s="450" t="n">
        <x:v>46261</x:v>
      </x:c>
      <x:c r="I28" s="449" t="str">
        <x:v>23</x:v>
      </x:c>
      <x:c r="J28" s="449" t="str">
        <x:v>Analista Funcional</x:v>
      </x:c>
      <x:c r="K28" s="451" t="str">
        <x:v>RF/RNF v2</x:v>
      </x:c>
    </x:row>
    <x:row r="29" ht="30" customHeight="1">
      <x:c r="A29" s="448" t="n">
        <x:v>25</x:v>
      </x:c>
      <x:c r="B29" s="449" t="n">
        <x:v>4</x:v>
      </x:c>
      <x:c r="C29" s="449" t="str">
        <x:v>Gestión y definición del producto</x:v>
      </x:c>
      <x:c r="D29" s="449" t="str">
        <x:v>Gestión del proyecto y requisitos</x:v>
      </x:c>
      <x:c r="E29" s="449" t="str">
        <x:v>            Firma de Acta de Aprobación de Requerimientos [NOTA: reubicado al cierre de Sprint 2; ajustar si el '23' se refería a otra fecha]</x:v>
      </x:c>
      <x:c r="F29" s="449" t="n">
        <x:v>1</x:v>
      </x:c>
      <x:c r="G29" s="450" t="n">
        <x:v>46262</x:v>
      </x:c>
      <x:c r="H29" s="450" t="n">
        <x:v>46262</x:v>
      </x:c>
      <x:c r="I29" s="449" t="str">
        <x:v>24</x:v>
      </x:c>
      <x:c r="J29" s="449" t="str">
        <x:v>Jefe de Proyecto / Cliente</x:v>
      </x:c>
      <x:c r="K29" s="451" t="str">
        <x:v>Acta de aprobación de requerimientos</x:v>
      </x:c>
    </x:row>
    <x:row r="30" ht="30" customHeight="1">
      <x:c r="A30" s="448" t="n">
        <x:v>26</x:v>
      </x:c>
      <x:c r="B30" s="449" t="n">
        <x:v>4</x:v>
      </x:c>
      <x:c r="C30" s="449" t="str">
        <x:v>Gestión y definición del producto</x:v>
      </x:c>
      <x:c r="D30" s="449" t="str">
        <x:v>Gestión del proyecto y requisitos</x:v>
      </x:c>
      <x:c r="E30" s="449" t="str">
        <x:v>            Ajustes de prototipos según observaciones</x:v>
      </x:c>
      <x:c r="F30" s="449" t="n">
        <x:v>1</x:v>
      </x:c>
      <x:c r="G30" s="450" t="n">
        <x:v>46266</x:v>
      </x:c>
      <x:c r="H30" s="450" t="n">
        <x:v>46266</x:v>
      </x:c>
      <x:c r="I30" s="449" t="str">
        <x:v>33</x:v>
      </x:c>
      <x:c r="J30" s="449" t="str">
        <x:v>Diseñador UX/UI</x:v>
      </x:c>
      <x:c r="K30" s="451" t="str">
        <x:v>Prototipos v2</x:v>
      </x:c>
    </x:row>
    <x:row r="31" ht="30" customHeight="1">
      <x:c r="A31" s="448" t="n">
        <x:v>27</x:v>
      </x:c>
      <x:c r="B31" s="449" t="n">
        <x:v>4</x:v>
      </x:c>
      <x:c r="C31" s="449" t="str">
        <x:v>Gestión y definición del producto</x:v>
      </x:c>
      <x:c r="D31" s="449" t="str">
        <x:v>Gestión del proyecto y requisitos</x:v>
      </x:c>
      <x:c r="E31" s="449" t="str">
        <x:v>            Sprint Review + Retrospectiva Sprint 2</x:v>
      </x:c>
      <x:c r="F31" s="449" t="n">
        <x:v>1</x:v>
      </x:c>
      <x:c r="G31" s="450" t="n">
        <x:v>46266</x:v>
      </x:c>
      <x:c r="H31" s="450" t="n">
        <x:v>46266</x:v>
      </x:c>
      <x:c r="I31" s="449" t="str">
        <x:v>34</x:v>
      </x:c>
      <x:c r="J31" s="449" t="str">
        <x:v>Scrum Master</x:v>
      </x:c>
      <x:c r="K31" s="451" t="str">
        <x:v>Acta de Sprint Review</x:v>
      </x:c>
    </x:row>
    <x:row r="32" ht="30" customHeight="1">
      <x:c r="A32" s="476" t="n">
        <x:v>28</x:v>
      </x:c>
      <x:c r="B32" s="477" t="n">
        <x:v>2</x:v>
      </x:c>
      <x:c r="C32" s="477" t="str">
        <x:v>Experiencia de usuario (UX/UI)</x:v>
      </x:c>
      <x:c r="D32" s="477"/>
      <x:c r="E32" s="477" t="str">
        <x:v>    Experiencia de usuario (UX/UI)</x:v>
      </x:c>
      <x:c r="F32" s="477"/>
      <x:c r="G32" s="478" t="n">
        <x:v>46261</x:v>
      </x:c>
      <x:c r="H32" s="478" t="n">
        <x:v>46265</x:v>
      </x:c>
      <x:c r="I32" s="477"/>
      <x:c r="J32" s="477"/>
      <x:c r="K32" s="479" t="str">
        <x:v>Agrupa historias relacionadas</x:v>
      </x:c>
    </x:row>
    <x:row r="33" ht="30" customHeight="1">
      <x:c r="A33" s="484" t="n">
        <x:v>29</x:v>
      </x:c>
      <x:c r="B33" s="485" t="n">
        <x:v>3</x:v>
      </x:c>
      <x:c r="C33" s="485" t="str">
        <x:v>Experiencia de usuario (UX/UI)</x:v>
      </x:c>
      <x:c r="D33" s="485" t="str">
        <x:v>Diseño y validación de interfaces</x:v>
      </x:c>
      <x:c r="E33" s="485" t="str">
        <x:v>        Historia: Diseño y validación de interfaces</x:v>
      </x:c>
      <x:c r="F33" s="485"/>
      <x:c r="G33" s="486" t="n">
        <x:v>46261</x:v>
      </x:c>
      <x:c r="H33" s="486" t="n">
        <x:v>46265</x:v>
      </x:c>
      <x:c r="I33" s="485"/>
      <x:c r="J33" s="485"/>
      <x:c r="K33" s="487" t="str">
        <x:v>Funcionalidad / resultado esperado</x:v>
      </x:c>
    </x:row>
    <x:row r="34" ht="30" customHeight="1">
      <x:c r="A34" s="448" t="n">
        <x:v>30</x:v>
      </x:c>
      <x:c r="B34" s="449" t="n">
        <x:v>4</x:v>
      </x:c>
      <x:c r="C34" s="449" t="str">
        <x:v>Experiencia de usuario (UX/UI)</x:v>
      </x:c>
      <x:c r="D34" s="449" t="str">
        <x:v>Diseño y validación de interfaces</x:v>
      </x:c>
      <x:c r="E34" s="449" t="str">
        <x:v>            Diseño de wireframes de baja fidelidad (Web y Móvil)</x:v>
      </x:c>
      <x:c r="F34" s="449" t="n">
        <x:v>1</x:v>
      </x:c>
      <x:c r="G34" s="450" t="n">
        <x:v>46261</x:v>
      </x:c>
      <x:c r="H34" s="450" t="n">
        <x:v>46261</x:v>
      </x:c>
      <x:c r="I34" s="449" t="str">
        <x:v>22</x:v>
      </x:c>
      <x:c r="J34" s="449" t="str">
        <x:v>Diseñador UX/UI</x:v>
      </x:c>
      <x:c r="K34" s="451" t="str">
        <x:v>Wireframes</x:v>
      </x:c>
    </x:row>
    <x:row r="35" ht="30" customHeight="1">
      <x:c r="A35" s="448" t="n">
        <x:v>31</x:v>
      </x:c>
      <x:c r="B35" s="449" t="n">
        <x:v>4</x:v>
      </x:c>
      <x:c r="C35" s="449" t="str">
        <x:v>Experiencia de usuario (UX/UI)</x:v>
      </x:c>
      <x:c r="D35" s="449" t="str">
        <x:v>Diseño y validación de interfaces</x:v>
      </x:c>
      <x:c r="E35" s="449" t="str">
        <x:v>            Definición de guía de estilos / Design System (colores, tipografía, componentes)</x:v>
      </x:c>
      <x:c r="F35" s="449" t="n">
        <x:v>1</x:v>
      </x:c>
      <x:c r="G35" s="450" t="n">
        <x:v>46262</x:v>
      </x:c>
      <x:c r="H35" s="450" t="n">
        <x:v>46262</x:v>
      </x:c>
      <x:c r="I35" s="449" t="str">
        <x:v>26</x:v>
      </x:c>
      <x:c r="J35" s="449" t="str">
        <x:v>Diseñador UX/UI</x:v>
      </x:c>
      <x:c r="K35" s="451" t="str">
        <x:v>Design System</x:v>
      </x:c>
    </x:row>
    <x:row r="36" ht="30" customHeight="1">
      <x:c r="A36" s="448" t="n">
        <x:v>32</x:v>
      </x:c>
      <x:c r="B36" s="449" t="n">
        <x:v>4</x:v>
      </x:c>
      <x:c r="C36" s="449" t="str">
        <x:v>Experiencia de usuario (UX/UI)</x:v>
      </x:c>
      <x:c r="D36" s="449" t="str">
        <x:v>Diseño y validación de interfaces</x:v>
      </x:c>
      <x:c r="E36" s="449" t="str">
        <x:v>            Diseño de prototipo de alta fidelidad en Figma - Web</x:v>
      </x:c>
      <x:c r="F36" s="449" t="n">
        <x:v>2</x:v>
      </x:c>
      <x:c r="G36" s="450" t="n">
        <x:v>46263</x:v>
      </x:c>
      <x:c r="H36" s="450" t="n">
        <x:v>46264</x:v>
      </x:c>
      <x:c r="I36" s="449" t="str">
        <x:v>27</x:v>
      </x:c>
      <x:c r="J36" s="449" t="str">
        <x:v>Diseñador UX/UI</x:v>
      </x:c>
      <x:c r="K36" s="451" t="str">
        <x:v>Prototipo Figma Web</x:v>
      </x:c>
    </x:row>
    <x:row r="37" ht="30" customHeight="1">
      <x:c r="A37" s="448" t="n">
        <x:v>33</x:v>
      </x:c>
      <x:c r="B37" s="449" t="n">
        <x:v>4</x:v>
      </x:c>
      <x:c r="C37" s="449" t="str">
        <x:v>Experiencia de usuario (UX/UI)</x:v>
      </x:c>
      <x:c r="D37" s="449" t="str">
        <x:v>Diseño y validación de interfaces</x:v>
      </x:c>
      <x:c r="E37" s="449" t="str">
        <x:v>            Diseño de prototipo de alta fidelidad en Figma - Móvil (App Flutter)</x:v>
      </x:c>
      <x:c r="F37" s="449" t="n">
        <x:v>2</x:v>
      </x:c>
      <x:c r="G37" s="450" t="n">
        <x:v>46263</x:v>
      </x:c>
      <x:c r="H37" s="450" t="n">
        <x:v>46264</x:v>
      </x:c>
      <x:c r="I37" s="449" t="str">
        <x:v>27</x:v>
      </x:c>
      <x:c r="J37" s="449" t="str">
        <x:v>Diseñador UX/UI</x:v>
      </x:c>
      <x:c r="K37" s="451" t="str">
        <x:v>Prototipo Figma Móvil</x:v>
      </x:c>
    </x:row>
    <x:row r="38" ht="30" customHeight="1">
      <x:c r="A38" s="448" t="n">
        <x:v>34</x:v>
      </x:c>
      <x:c r="B38" s="449" t="n">
        <x:v>4</x:v>
      </x:c>
      <x:c r="C38" s="449" t="str">
        <x:v>Experiencia de usuario (UX/UI)</x:v>
      </x:c>
      <x:c r="D38" s="449" t="str">
        <x:v>Diseño y validación de interfaces</x:v>
      </x:c>
      <x:c r="E38" s="449" t="str">
        <x:v>            Maquetación del prototipo navegable en HTML/CSS (Web)</x:v>
      </x:c>
      <x:c r="F38" s="449" t="n">
        <x:v>1</x:v>
      </x:c>
      <x:c r="G38" s="450" t="n">
        <x:v>46265</x:v>
      </x:c>
      <x:c r="H38" s="450" t="n">
        <x:v>46265</x:v>
      </x:c>
      <x:c r="I38" s="449" t="str">
        <x:v>30</x:v>
      </x:c>
      <x:c r="J38" s="449" t="str">
        <x:v>Desarrollador Front-end</x:v>
      </x:c>
      <x:c r="K38" s="451" t="str">
        <x:v>Prototipo HTML</x:v>
      </x:c>
    </x:row>
    <x:row r="39" ht="30" customHeight="1">
      <x:c r="A39" s="448" t="n">
        <x:v>35</x:v>
      </x:c>
      <x:c r="B39" s="449" t="n">
        <x:v>4</x:v>
      </x:c>
      <x:c r="C39" s="449" t="str">
        <x:v>Experiencia de usuario (UX/UI)</x:v>
      </x:c>
      <x:c r="D39" s="449" t="str">
        <x:v>Diseño y validación de interfaces</x:v>
      </x:c>
      <x:c r="E39" s="449" t="str">
        <x:v>            Revisión de prototipos (Figma + HTML) con el cliente</x:v>
      </x:c>
      <x:c r="F39" s="449" t="n">
        <x:v>1</x:v>
      </x:c>
      <x:c r="G39" s="450" t="n">
        <x:v>46265</x:v>
      </x:c>
      <x:c r="H39" s="450" t="n">
        <x:v>46265</x:v>
      </x:c>
      <x:c r="I39" s="449" t="str">
        <x:v>31,32</x:v>
      </x:c>
      <x:c r="J39" s="449" t="str">
        <x:v>Product Owner / Cliente</x:v>
      </x:c>
      <x:c r="K39" s="451" t="str">
        <x:v>Feedback de prototipos</x:v>
      </x:c>
    </x:row>
    <x:row r="40" ht="30" customHeight="1">
      <x:c r="A40" s="468" t="n">
        <x:v>36</x:v>
      </x:c>
      <x:c r="B40" s="469" t="n">
        <x:v>1</x:v>
      </x:c>
      <x:c r="C40" s="469"/>
      <x:c r="D40" s="469"/>
      <x:c r="E40" s="469" t="str">
        <x:v>Sprint 3</x:v>
      </x:c>
      <x:c r="F40" s="469"/>
      <x:c r="G40" s="470" t="n">
        <x:v>46267</x:v>
      </x:c>
      <x:c r="H40" s="470" t="n">
        <x:v>46273</x:v>
      </x:c>
      <x:c r="I40" s="469"/>
      <x:c r="J40" s="469"/>
      <x:c r="K40" s="471" t="str">
        <x:v>Periodo / time-box Scrum</x:v>
      </x:c>
    </x:row>
    <x:row r="41" ht="30" customHeight="1">
      <x:c r="A41" s="476" t="n">
        <x:v>37</x:v>
      </x:c>
      <x:c r="B41" s="477" t="n">
        <x:v>2</x:v>
      </x:c>
      <x:c r="C41" s="477" t="str">
        <x:v>Gestión y definición del producto</x:v>
      </x:c>
      <x:c r="D41" s="477"/>
      <x:c r="E41" s="477" t="str">
        <x:v>    Gestión y definición del producto</x:v>
      </x:c>
      <x:c r="F41" s="477"/>
      <x:c r="G41" s="478" t="n">
        <x:v>46267</x:v>
      </x:c>
      <x:c r="H41" s="478" t="n">
        <x:v>46273</x:v>
      </x:c>
      <x:c r="I41" s="477"/>
      <x:c r="J41" s="477"/>
      <x:c r="K41" s="479" t="str">
        <x:v>Agrupa historias relacionadas</x:v>
      </x:c>
    </x:row>
    <x:row r="42" ht="30" customHeight="1">
      <x:c r="A42" s="484" t="n">
        <x:v>38</x:v>
      </x:c>
      <x:c r="B42" s="485" t="n">
        <x:v>3</x:v>
      </x:c>
      <x:c r="C42" s="485" t="str">
        <x:v>Gestión y definición del producto</x:v>
      </x:c>
      <x:c r="D42" s="485" t="str">
        <x:v>Gestión del proyecto y requisitos</x:v>
      </x:c>
      <x:c r="E42" s="485" t="str">
        <x:v>        Historia: Gestión del proyecto y requisitos</x:v>
      </x:c>
      <x:c r="F42" s="485"/>
      <x:c r="G42" s="486" t="n">
        <x:v>46267</x:v>
      </x:c>
      <x:c r="H42" s="486" t="n">
        <x:v>46273</x:v>
      </x:c>
      <x:c r="I42" s="485"/>
      <x:c r="J42" s="485"/>
      <x:c r="K42" s="487" t="str">
        <x:v>Funcionalidad / resultado esperado</x:v>
      </x:c>
    </x:row>
    <x:row r="43" ht="30" customHeight="1">
      <x:c r="A43" s="448" t="n">
        <x:v>39</x:v>
      </x:c>
      <x:c r="B43" s="449" t="n">
        <x:v>4</x:v>
      </x:c>
      <x:c r="C43" s="449" t="str">
        <x:v>Gestión y definición del producto</x:v>
      </x:c>
      <x:c r="D43" s="449" t="str">
        <x:v>Gestión del proyecto y requisitos</x:v>
      </x:c>
      <x:c r="E43" s="449" t="str">
        <x:v>            Sprint Planning Sprint 3</x:v>
      </x:c>
      <x:c r="F43" s="449" t="n">
        <x:v>1</x:v>
      </x:c>
      <x:c r="G43" s="450" t="n">
        <x:v>46267</x:v>
      </x:c>
      <x:c r="H43" s="450" t="n">
        <x:v>46267</x:v>
      </x:c>
      <x:c r="I43" s="449" t="str">
        <x:v>35</x:v>
      </x:c>
      <x:c r="J43" s="449" t="str">
        <x:v>Scrum Master</x:v>
      </x:c>
      <x:c r="K43" s="451" t="str">
        <x:v>Sprint Backlog 3</x:v>
      </x:c>
    </x:row>
    <x:row r="44" ht="30" customHeight="1">
      <x:c r="A44" s="448" t="n">
        <x:v>40</x:v>
      </x:c>
      <x:c r="B44" s="449" t="n">
        <x:v>4</x:v>
      </x:c>
      <x:c r="C44" s="449" t="str">
        <x:v>Gestión y definición del producto</x:v>
      </x:c>
      <x:c r="D44" s="449" t="str">
        <x:v>Gestión del proyecto y requisitos</x:v>
      </x:c>
      <x:c r="E44" s="449" t="str">
        <x:v>            Sprint Review + Retrospectiva Sprint 3</x:v>
      </x:c>
      <x:c r="F44" s="449" t="n">
        <x:v>1</x:v>
      </x:c>
      <x:c r="G44" s="450" t="n">
        <x:v>46273</x:v>
      </x:c>
      <x:c r="H44" s="450" t="n">
        <x:v>46273</x:v>
      </x:c>
      <x:c r="I44" s="449" t="str">
        <x:v>59</x:v>
      </x:c>
      <x:c r="J44" s="449" t="str">
        <x:v>Scrum Master</x:v>
      </x:c>
      <x:c r="K44" s="451" t="str">
        <x:v>Acta de Sprint Review</x:v>
      </x:c>
    </x:row>
    <x:row r="45" ht="30" customHeight="1">
      <x:c r="A45" s="476" t="n">
        <x:v>41</x:v>
      </x:c>
      <x:c r="B45" s="477" t="n">
        <x:v>2</x:v>
      </x:c>
      <x:c r="C45" s="477" t="str">
        <x:v>Experiencia de usuario (UX/UI)</x:v>
      </x:c>
      <x:c r="D45" s="477"/>
      <x:c r="E45" s="477" t="str">
        <x:v>    Experiencia de usuario (UX/UI)</x:v>
      </x:c>
      <x:c r="F45" s="477"/>
      <x:c r="G45" s="478" t="n">
        <x:v>46267</x:v>
      </x:c>
      <x:c r="H45" s="478" t="n">
        <x:v>46267</x:v>
      </x:c>
      <x:c r="I45" s="477"/>
      <x:c r="J45" s="477"/>
      <x:c r="K45" s="479" t="str">
        <x:v>Agrupa historias relacionadas</x:v>
      </x:c>
    </x:row>
    <x:row r="46" ht="30" customHeight="1">
      <x:c r="A46" s="484" t="n">
        <x:v>42</x:v>
      </x:c>
      <x:c r="B46" s="485" t="n">
        <x:v>3</x:v>
      </x:c>
      <x:c r="C46" s="485" t="str">
        <x:v>Experiencia de usuario (UX/UI)</x:v>
      </x:c>
      <x:c r="D46" s="485" t="str">
        <x:v>Diseño y validación de interfaces</x:v>
      </x:c>
      <x:c r="E46" s="485" t="str">
        <x:v>        Historia: Diseño y validación de interfaces</x:v>
      </x:c>
      <x:c r="F46" s="485"/>
      <x:c r="G46" s="486" t="n">
        <x:v>46267</x:v>
      </x:c>
      <x:c r="H46" s="486" t="n">
        <x:v>46267</x:v>
      </x:c>
      <x:c r="I46" s="485"/>
      <x:c r="J46" s="485"/>
      <x:c r="K46" s="487" t="str">
        <x:v>Funcionalidad / resultado esperado</x:v>
      </x:c>
    </x:row>
    <x:row r="47" ht="30" customHeight="1">
      <x:c r="A47" s="448" t="n">
        <x:v>43</x:v>
      </x:c>
      <x:c r="B47" s="449" t="n">
        <x:v>4</x:v>
      </x:c>
      <x:c r="C47" s="449" t="str">
        <x:v>Experiencia de usuario (UX/UI)</x:v>
      </x:c>
      <x:c r="D47" s="449" t="str">
        <x:v>Diseño y validación de interfaces</x:v>
      </x:c>
      <x:c r="E47" s="449" t="str">
        <x:v>            Firma / Aprobación final de prototipos (Figma + HTML)</x:v>
      </x:c>
      <x:c r="F47" s="449" t="n">
        <x:v>1</x:v>
      </x:c>
      <x:c r="G47" s="450" t="n">
        <x:v>46267</x:v>
      </x:c>
      <x:c r="H47" s="450" t="n">
        <x:v>46267</x:v>
      </x:c>
      <x:c r="I47" s="449" t="str">
        <x:v>39</x:v>
      </x:c>
      <x:c r="J47" s="449" t="str">
        <x:v>Jefe de Proyecto / Cliente</x:v>
      </x:c>
      <x:c r="K47" s="451" t="str">
        <x:v>Acta de aprobación de prototipos</x:v>
      </x:c>
    </x:row>
    <x:row r="48" ht="30" customHeight="1">
      <x:c r="A48" s="476" t="n">
        <x:v>44</x:v>
      </x:c>
      <x:c r="B48" s="477" t="n">
        <x:v>2</x:v>
      </x:c>
      <x:c r="C48" s="477" t="str">
        <x:v>Plataforma y arquitectura técnica</x:v>
      </x:c>
      <x:c r="D48" s="477"/>
      <x:c r="E48" s="477" t="str">
        <x:v>    Plataforma y arquitectura técnica</x:v>
      </x:c>
      <x:c r="F48" s="477"/>
      <x:c r="G48" s="478" t="n">
        <x:v>46267</x:v>
      </x:c>
      <x:c r="H48" s="478" t="n">
        <x:v>46271</x:v>
      </x:c>
      <x:c r="I48" s="477"/>
      <x:c r="J48" s="477"/>
      <x:c r="K48" s="479" t="str">
        <x:v>Agrupa historias relacionadas</x:v>
      </x:c>
    </x:row>
    <x:row r="49" ht="30" customHeight="1">
      <x:c r="A49" s="484" t="n">
        <x:v>45</x:v>
      </x:c>
      <x:c r="B49" s="485" t="n">
        <x:v>3</x:v>
      </x:c>
      <x:c r="C49" s="485" t="str">
        <x:v>Plataforma y arquitectura técnica</x:v>
      </x:c>
      <x:c r="D49" s="485" t="str">
        <x:v>Preparación de arquitectura y entornos</x:v>
      </x:c>
      <x:c r="E49" s="485" t="str">
        <x:v>        Historia: Preparación de arquitectura y entornos</x:v>
      </x:c>
      <x:c r="F49" s="485"/>
      <x:c r="G49" s="486" t="n">
        <x:v>46267</x:v>
      </x:c>
      <x:c r="H49" s="486" t="n">
        <x:v>46271</x:v>
      </x:c>
      <x:c r="I49" s="485"/>
      <x:c r="J49" s="485"/>
      <x:c r="K49" s="487" t="str">
        <x:v>Funcionalidad / resultado esperado</x:v>
      </x:c>
    </x:row>
    <x:row r="50" ht="30" customHeight="1">
      <x:c r="A50" s="448" t="n">
        <x:v>46</x:v>
      </x:c>
      <x:c r="B50" s="449" t="n">
        <x:v>4</x:v>
      </x:c>
      <x:c r="C50" s="449" t="str">
        <x:v>Plataforma y arquitectura técnica</x:v>
      </x:c>
      <x:c r="D50" s="449" t="str">
        <x:v>Preparación de arquitectura y entornos</x:v>
      </x:c>
      <x:c r="E50" s="449" t="str">
        <x:v>            Diseño de la arquitectura del sistema (cliente-servidor, API REST)</x:v>
      </x:c>
      <x:c r="F50" s="449" t="n">
        <x:v>1</x:v>
      </x:c>
      <x:c r="G50" s="450" t="n">
        <x:v>46267</x:v>
      </x:c>
      <x:c r="H50" s="450" t="n">
        <x:v>46267</x:v>
      </x:c>
      <x:c r="I50" s="449" t="str">
        <x:v>39</x:v>
      </x:c>
      <x:c r="J50" s="449" t="str">
        <x:v>Arquitecto de Software</x:v>
      </x:c>
      <x:c r="K50" s="451" t="str">
        <x:v>Documento de arquitectura</x:v>
      </x:c>
    </x:row>
    <x:row r="51" ht="30" customHeight="1">
      <x:c r="A51" s="448" t="n">
        <x:v>47</x:v>
      </x:c>
      <x:c r="B51" s="449" t="n">
        <x:v>4</x:v>
      </x:c>
      <x:c r="C51" s="449" t="str">
        <x:v>Plataforma y arquitectura técnica</x:v>
      </x:c>
      <x:c r="D51" s="449" t="str">
        <x:v>Preparación de arquitectura y entornos</x:v>
      </x:c>
      <x:c r="E51" s="449" t="str">
        <x:v>            Diseño del modelo de datos (Modelo Entidad-Relación)</x:v>
      </x:c>
      <x:c r="F51" s="449" t="n">
        <x:v>1</x:v>
      </x:c>
      <x:c r="G51" s="450" t="n">
        <x:v>46268</x:v>
      </x:c>
      <x:c r="H51" s="450" t="n">
        <x:v>46268</x:v>
      </x:c>
      <x:c r="I51" s="449" t="str">
        <x:v>43</x:v>
      </x:c>
      <x:c r="J51" s="449" t="str">
        <x:v>Arquitecto de Software</x:v>
      </x:c>
      <x:c r="K51" s="451" t="str">
        <x:v>Modelo E-R</x:v>
      </x:c>
    </x:row>
    <x:row r="52" ht="30" customHeight="1">
      <x:c r="A52" s="448" t="n">
        <x:v>48</x:v>
      </x:c>
      <x:c r="B52" s="449" t="n">
        <x:v>4</x:v>
      </x:c>
      <x:c r="C52" s="449" t="str">
        <x:v>Plataforma y arquitectura técnica</x:v>
      </x:c>
      <x:c r="D52" s="449" t="str">
        <x:v>Preparación de arquitectura y entornos</x:v>
      </x:c>
      <x:c r="E52" s="449" t="str">
        <x:v>            Creación de la base de datos en PostgreSQL (esquema inicial)</x:v>
      </x:c>
      <x:c r="F52" s="449" t="n">
        <x:v>1</x:v>
      </x:c>
      <x:c r="G52" s="450" t="n">
        <x:v>46269</x:v>
      </x:c>
      <x:c r="H52" s="450" t="n">
        <x:v>46269</x:v>
      </x:c>
      <x:c r="I52" s="449" t="str">
        <x:v>46</x:v>
      </x:c>
      <x:c r="J52" s="449" t="str">
        <x:v>Desarrollador Backend</x:v>
      </x:c>
      <x:c r="K52" s="451" t="str">
        <x:v>BD PostgreSQL creada</x:v>
      </x:c>
    </x:row>
    <x:row r="53" ht="30" customHeight="1">
      <x:c r="A53" s="448" t="n">
        <x:v>49</x:v>
      </x:c>
      <x:c r="B53" s="449" t="n">
        <x:v>4</x:v>
      </x:c>
      <x:c r="C53" s="449" t="str">
        <x:v>Plataforma y arquitectura técnica</x:v>
      </x:c>
      <x:c r="D53" s="449" t="str">
        <x:v>Preparación de arquitectura y entornos</x:v>
      </x:c>
      <x:c r="E53" s="449" t="str">
        <x:v>            Configuración de repositorio Git y estrategia de ramas (GitFlow)</x:v>
      </x:c>
      <x:c r="F53" s="449" t="n">
        <x:v>1</x:v>
      </x:c>
      <x:c r="G53" s="450" t="n">
        <x:v>46268</x:v>
      </x:c>
      <x:c r="H53" s="450" t="n">
        <x:v>46268</x:v>
      </x:c>
      <x:c r="I53" s="449" t="str">
        <x:v>39</x:v>
      </x:c>
      <x:c r="J53" s="449" t="str">
        <x:v>Líder Técnico</x:v>
      </x:c>
      <x:c r="K53" s="451" t="str">
        <x:v>Repositorio configurado</x:v>
      </x:c>
    </x:row>
    <x:row r="54" ht="30" customHeight="1">
      <x:c r="A54" s="448" t="n">
        <x:v>50</x:v>
      </x:c>
      <x:c r="B54" s="449" t="n">
        <x:v>4</x:v>
      </x:c>
      <x:c r="C54" s="449" t="str">
        <x:v>Plataforma y arquitectura técnica</x:v>
      </x:c>
      <x:c r="D54" s="449" t="str">
        <x:v>Preparación de arquitectura y entornos</x:v>
      </x:c>
      <x:c r="E54" s="449" t="str">
        <x:v>            Configuración de entorno backend (Java 21, Spring Boot 3.x, Maven)</x:v>
      </x:c>
      <x:c r="F54" s="449" t="n">
        <x:v>1</x:v>
      </x:c>
      <x:c r="G54" s="450" t="n">
        <x:v>46268</x:v>
      </x:c>
      <x:c r="H54" s="450" t="n">
        <x:v>46268</x:v>
      </x:c>
      <x:c r="I54" s="449" t="str">
        <x:v>48</x:v>
      </x:c>
      <x:c r="J54" s="449" t="str">
        <x:v>Desarrollador Backend</x:v>
      </x:c>
      <x:c r="K54" s="451" t="str">
        <x:v>Proyecto base Spring Boot</x:v>
      </x:c>
    </x:row>
    <x:row r="55" ht="30" customHeight="1">
      <x:c r="A55" s="448" t="n">
        <x:v>51</x:v>
      </x:c>
      <x:c r="B55" s="449" t="n">
        <x:v>4</x:v>
      </x:c>
      <x:c r="C55" s="449" t="str">
        <x:v>Plataforma y arquitectura técnica</x:v>
      </x:c>
      <x:c r="D55" s="449" t="str">
        <x:v>Preparación de arquitectura y entornos</x:v>
      </x:c>
      <x:c r="E55" s="449" t="str">
        <x:v>            Configuración de entorno frontend Angular</x:v>
      </x:c>
      <x:c r="F55" s="449" t="n">
        <x:v>1</x:v>
      </x:c>
      <x:c r="G55" s="450" t="n">
        <x:v>46268</x:v>
      </x:c>
      <x:c r="H55" s="450" t="n">
        <x:v>46268</x:v>
      </x:c>
      <x:c r="I55" s="449" t="str">
        <x:v>48</x:v>
      </x:c>
      <x:c r="J55" s="449" t="str">
        <x:v>Desarrollador Front-end</x:v>
      </x:c>
      <x:c r="K55" s="451" t="str">
        <x:v>Proyecto base Angular</x:v>
      </x:c>
    </x:row>
    <x:row r="56" ht="30" customHeight="1">
      <x:c r="A56" s="448" t="n">
        <x:v>52</x:v>
      </x:c>
      <x:c r="B56" s="449" t="n">
        <x:v>4</x:v>
      </x:c>
      <x:c r="C56" s="449" t="str">
        <x:v>Plataforma y arquitectura técnica</x:v>
      </x:c>
      <x:c r="D56" s="449" t="str">
        <x:v>Preparación de arquitectura y entornos</x:v>
      </x:c>
      <x:c r="E56" s="449" t="str">
        <x:v>            Configuración de entorno móvil Flutter (SDK, emuladores, estructura del proyecto)</x:v>
      </x:c>
      <x:c r="F56" s="449" t="n">
        <x:v>1</x:v>
      </x:c>
      <x:c r="G56" s="450" t="n">
        <x:v>46268</x:v>
      </x:c>
      <x:c r="H56" s="450" t="n">
        <x:v>46268</x:v>
      </x:c>
      <x:c r="I56" s="449" t="str">
        <x:v>48</x:v>
      </x:c>
      <x:c r="J56" s="449" t="str">
        <x:v>Desarrollador Móvil</x:v>
      </x:c>
      <x:c r="K56" s="451" t="str">
        <x:v>Proyecto base Flutter</x:v>
      </x:c>
    </x:row>
    <x:row r="57" ht="30" customHeight="1">
      <x:c r="A57" s="448" t="n">
        <x:v>53</x:v>
      </x:c>
      <x:c r="B57" s="449" t="n">
        <x:v>4</x:v>
      </x:c>
      <x:c r="C57" s="449" t="str">
        <x:v>Plataforma y arquitectura técnica</x:v>
      </x:c>
      <x:c r="D57" s="449" t="str">
        <x:v>Preparación de arquitectura y entornos</x:v>
      </x:c>
      <x:c r="E57" s="449" t="str">
        <x:v>            Configuración de seguridad: autenticación y autorización (Spring Security + JWT)</x:v>
      </x:c>
      <x:c r="F57" s="449" t="n">
        <x:v>1</x:v>
      </x:c>
      <x:c r="G57" s="450" t="n">
        <x:v>46269</x:v>
      </x:c>
      <x:c r="H57" s="450" t="n">
        <x:v>46269</x:v>
      </x:c>
      <x:c r="I57" s="449" t="str">
        <x:v>49</x:v>
      </x:c>
      <x:c r="J57" s="449" t="str">
        <x:v>Desarrollador Backend</x:v>
      </x:c>
      <x:c r="K57" s="451" t="str">
        <x:v>Módulo de seguridad base</x:v>
      </x:c>
    </x:row>
    <x:row r="58" ht="30" customHeight="1">
      <x:c r="A58" s="448" t="n">
        <x:v>54</x:v>
      </x:c>
      <x:c r="B58" s="449" t="n">
        <x:v>4</x:v>
      </x:c>
      <x:c r="C58" s="449" t="str">
        <x:v>Plataforma y arquitectura técnica</x:v>
      </x:c>
      <x:c r="D58" s="449" t="str">
        <x:v>Preparación de arquitectura y entornos</x:v>
      </x:c>
      <x:c r="E58" s="449" t="str">
        <x:v>            Configuración de integración continua (CI) básica</x:v>
      </x:c>
      <x:c r="F58" s="449" t="n">
        <x:v>1</x:v>
      </x:c>
      <x:c r="G58" s="450" t="n">
        <x:v>46269</x:v>
      </x:c>
      <x:c r="H58" s="450" t="n">
        <x:v>46269</x:v>
      </x:c>
      <x:c r="I58" s="449" t="str">
        <x:v>48</x:v>
      </x:c>
      <x:c r="J58" s="449" t="str">
        <x:v>Líder Técnico</x:v>
      </x:c>
      <x:c r="K58" s="451" t="str">
        <x:v>Pipeline CI</x:v>
      </x:c>
    </x:row>
    <x:row r="59" ht="30" customHeight="1">
      <x:c r="A59" s="448" t="n">
        <x:v>55</x:v>
      </x:c>
      <x:c r="B59" s="449" t="n">
        <x:v>4</x:v>
      </x:c>
      <x:c r="C59" s="449" t="str">
        <x:v>Plataforma y arquitectura técnica</x:v>
      </x:c>
      <x:c r="D59" s="449" t="str">
        <x:v>Preparación de arquitectura y entornos</x:v>
      </x:c>
      <x:c r="E59" s="449" t="str">
        <x:v>            Desarrollo Web: Pantalla de Login (Angular)</x:v>
      </x:c>
      <x:c r="F59" s="449" t="n">
        <x:v>1</x:v>
      </x:c>
      <x:c r="G59" s="450" t="n">
        <x:v>46271</x:v>
      </x:c>
      <x:c r="H59" s="450" t="n">
        <x:v>46271</x:v>
      </x:c>
      <x:c r="I59" s="449" t="str">
        <x:v>50,54</x:v>
      </x:c>
      <x:c r="J59" s="449" t="str">
        <x:v>Desarrollador Front-end</x:v>
      </x:c>
      <x:c r="K59" s="451" t="str">
        <x:v>Pantalla de login web</x:v>
      </x:c>
    </x:row>
    <x:row r="60" ht="30" customHeight="1">
      <x:c r="A60" s="448" t="n">
        <x:v>56</x:v>
      </x:c>
      <x:c r="B60" s="449" t="n">
        <x:v>4</x:v>
      </x:c>
      <x:c r="C60" s="449" t="str">
        <x:v>Plataforma y arquitectura técnica</x:v>
      </x:c>
      <x:c r="D60" s="449" t="str">
        <x:v>Preparación de arquitectura y entornos</x:v>
      </x:c>
      <x:c r="E60" s="449" t="str">
        <x:v>            Desarrollo Móvil: Pantalla de Login (Flutter)</x:v>
      </x:c>
      <x:c r="F60" s="449" t="n">
        <x:v>1</x:v>
      </x:c>
      <x:c r="G60" s="450" t="n">
        <x:v>46271</x:v>
      </x:c>
      <x:c r="H60" s="450" t="n">
        <x:v>46271</x:v>
      </x:c>
      <x:c r="I60" s="449" t="str">
        <x:v>51,54</x:v>
      </x:c>
      <x:c r="J60" s="449" t="str">
        <x:v>Desarrollador Móvil</x:v>
      </x:c>
      <x:c r="K60" s="451" t="str">
        <x:v>Pantalla de login móvil</x:v>
      </x:c>
    </x:row>
    <x:row r="61" ht="30" customHeight="1">
      <x:c r="A61" s="476" t="n">
        <x:v>57</x:v>
      </x:c>
      <x:c r="B61" s="477" t="n">
        <x:v>2</x:v>
      </x:c>
      <x:c r="C61" s="477" t="str">
        <x:v>Autenticación y usuarios</x:v>
      </x:c>
      <x:c r="D61" s="477"/>
      <x:c r="E61" s="477" t="str">
        <x:v>    Autenticación y usuarios</x:v>
      </x:c>
      <x:c r="F61" s="477"/>
      <x:c r="G61" s="478" t="n">
        <x:v>46270</x:v>
      </x:c>
      <x:c r="H61" s="478" t="n">
        <x:v>46272</x:v>
      </x:c>
      <x:c r="I61" s="477"/>
      <x:c r="J61" s="477"/>
      <x:c r="K61" s="479" t="str">
        <x:v>Agrupa historias relacionadas</x:v>
      </x:c>
    </x:row>
    <x:row r="62" ht="30" customHeight="1">
      <x:c r="A62" s="484" t="n">
        <x:v>58</x:v>
      </x:c>
      <x:c r="B62" s="485" t="n">
        <x:v>3</x:v>
      </x:c>
      <x:c r="C62" s="485" t="str">
        <x:v>Autenticación y usuarios</x:v>
      </x:c>
      <x:c r="D62" s="485" t="str">
        <x:v>Autenticación e inicio de sesión</x:v>
      </x:c>
      <x:c r="E62" s="485" t="str">
        <x:v>        Historia: Autenticación e inicio de sesión</x:v>
      </x:c>
      <x:c r="F62" s="485"/>
      <x:c r="G62" s="486" t="n">
        <x:v>46270</x:v>
      </x:c>
      <x:c r="H62" s="486" t="n">
        <x:v>46272</x:v>
      </x:c>
      <x:c r="I62" s="485"/>
      <x:c r="J62" s="485"/>
      <x:c r="K62" s="487" t="str">
        <x:v>Funcionalidad / resultado esperado</x:v>
      </x:c>
    </x:row>
    <x:row r="63" ht="30" customHeight="1">
      <x:c r="A63" s="448" t="n">
        <x:v>59</x:v>
      </x:c>
      <x:c r="B63" s="449" t="n">
        <x:v>4</x:v>
      </x:c>
      <x:c r="C63" s="449" t="str">
        <x:v>Autenticación y usuarios</x:v>
      </x:c>
      <x:c r="D63" s="449" t="str">
        <x:v>Autenticación e inicio de sesión</x:v>
      </x:c>
      <x:c r="E63" s="449" t="str">
        <x:v>            Desarrollo Backend: Módulo de Autenticación (login, roles, JWT)</x:v>
      </x:c>
      <x:c r="F63" s="449" t="n">
        <x:v>2</x:v>
      </x:c>
      <x:c r="G63" s="450" t="n">
        <x:v>46270</x:v>
      </x:c>
      <x:c r="H63" s="450" t="n">
        <x:v>46271</x:v>
      </x:c>
      <x:c r="I63" s="449" t="str">
        <x:v>52</x:v>
      </x:c>
      <x:c r="J63" s="449" t="str">
        <x:v>Desarrollador Backend</x:v>
      </x:c>
      <x:c r="K63" s="451" t="str">
        <x:v>API de autenticación</x:v>
      </x:c>
    </x:row>
    <x:row r="64" ht="30" customHeight="1">
      <x:c r="A64" s="448" t="n">
        <x:v>60</x:v>
      </x:c>
      <x:c r="B64" s="449" t="n">
        <x:v>4</x:v>
      </x:c>
      <x:c r="C64" s="449" t="str">
        <x:v>Autenticación y usuarios</x:v>
      </x:c>
      <x:c r="D64" s="449" t="str">
        <x:v>Autenticación e inicio de sesión</x:v>
      </x:c>
      <x:c r="E64" s="449" t="str">
        <x:v>            Pruebas de integración del módulo de autenticación</x:v>
      </x:c>
      <x:c r="F64" s="449" t="n">
        <x:v>1</x:v>
      </x:c>
      <x:c r="G64" s="450" t="n">
        <x:v>46272</x:v>
      </x:c>
      <x:c r="H64" s="450" t="n">
        <x:v>46272</x:v>
      </x:c>
      <x:c r="I64" s="449" t="str">
        <x:v>55,56</x:v>
      </x:c>
      <x:c r="J64" s="449" t="str">
        <x:v>QA Tester</x:v>
      </x:c>
      <x:c r="K64" s="451" t="str">
        <x:v>Reporte de pruebas</x:v>
      </x:c>
    </x:row>
    <x:row r="65" ht="30" customHeight="1">
      <x:c r="A65" s="468" t="n">
        <x:v>61</x:v>
      </x:c>
      <x:c r="B65" s="469" t="n">
        <x:v>1</x:v>
      </x:c>
      <x:c r="C65" s="469"/>
      <x:c r="D65" s="469"/>
      <x:c r="E65" s="469" t="str">
        <x:v>Sprint 4</x:v>
      </x:c>
      <x:c r="F65" s="469"/>
      <x:c r="G65" s="470" t="n">
        <x:v>46274</x:v>
      </x:c>
      <x:c r="H65" s="470" t="n">
        <x:v>46280</x:v>
      </x:c>
      <x:c r="I65" s="469"/>
      <x:c r="J65" s="469"/>
      <x:c r="K65" s="471" t="str">
        <x:v>Periodo / time-box Scrum</x:v>
      </x:c>
    </x:row>
    <x:row r="66" ht="30" customHeight="1">
      <x:c r="A66" s="476" t="n">
        <x:v>62</x:v>
      </x:c>
      <x:c r="B66" s="477" t="n">
        <x:v>2</x:v>
      </x:c>
      <x:c r="C66" s="477" t="str">
        <x:v>Gestión y definición del producto</x:v>
      </x:c>
      <x:c r="D66" s="477"/>
      <x:c r="E66" s="477" t="str">
        <x:v>    Gestión y definición del producto</x:v>
      </x:c>
      <x:c r="F66" s="477"/>
      <x:c r="G66" s="478" t="n">
        <x:v>46274</x:v>
      </x:c>
      <x:c r="H66" s="478" t="n">
        <x:v>46280</x:v>
      </x:c>
      <x:c r="I66" s="477"/>
      <x:c r="J66" s="477"/>
      <x:c r="K66" s="479" t="str">
        <x:v>Agrupa historias relacionadas</x:v>
      </x:c>
    </x:row>
    <x:row r="67" ht="30" customHeight="1">
      <x:c r="A67" s="484" t="n">
        <x:v>63</x:v>
      </x:c>
      <x:c r="B67" s="485" t="n">
        <x:v>3</x:v>
      </x:c>
      <x:c r="C67" s="485" t="str">
        <x:v>Gestión y definición del producto</x:v>
      </x:c>
      <x:c r="D67" s="485" t="str">
        <x:v>Gestión del proyecto y requisitos</x:v>
      </x:c>
      <x:c r="E67" s="485" t="str">
        <x:v>        Historia: Gestión del proyecto y requisitos</x:v>
      </x:c>
      <x:c r="F67" s="485"/>
      <x:c r="G67" s="486" t="n">
        <x:v>46274</x:v>
      </x:c>
      <x:c r="H67" s="486" t="n">
        <x:v>46280</x:v>
      </x:c>
      <x:c r="I67" s="485"/>
      <x:c r="J67" s="485"/>
      <x:c r="K67" s="487" t="str">
        <x:v>Funcionalidad / resultado esperado</x:v>
      </x:c>
    </x:row>
    <x:row r="68" ht="30" customHeight="1">
      <x:c r="A68" s="448" t="n">
        <x:v>64</x:v>
      </x:c>
      <x:c r="B68" s="449" t="n">
        <x:v>4</x:v>
      </x:c>
      <x:c r="C68" s="449" t="str">
        <x:v>Gestión y definición del producto</x:v>
      </x:c>
      <x:c r="D68" s="449" t="str">
        <x:v>Gestión del proyecto y requisitos</x:v>
      </x:c>
      <x:c r="E68" s="449" t="str">
        <x:v>            Sprint Planning Sprint 4</x:v>
      </x:c>
      <x:c r="F68" s="449" t="n">
        <x:v>1</x:v>
      </x:c>
      <x:c r="G68" s="450" t="n">
        <x:v>46274</x:v>
      </x:c>
      <x:c r="H68" s="450" t="n">
        <x:v>46274</x:v>
      </x:c>
      <x:c r="I68" s="449" t="str">
        <x:v>60</x:v>
      </x:c>
      <x:c r="J68" s="449" t="str">
        <x:v>Scrum Master</x:v>
      </x:c>
      <x:c r="K68" s="451" t="str">
        <x:v>Sprint Backlog 4</x:v>
      </x:c>
    </x:row>
    <x:row r="69" ht="30" customHeight="1">
      <x:c r="A69" s="448" t="n">
        <x:v>65</x:v>
      </x:c>
      <x:c r="B69" s="449" t="n">
        <x:v>4</x:v>
      </x:c>
      <x:c r="C69" s="449" t="str">
        <x:v>Gestión y definición del producto</x:v>
      </x:c>
      <x:c r="D69" s="449" t="str">
        <x:v>Gestión del proyecto y requisitos</x:v>
      </x:c>
      <x:c r="E69" s="449" t="str">
        <x:v>            Sprint Review + Retrospectiva Sprint 4</x:v>
      </x:c>
      <x:c r="F69" s="449" t="n">
        <x:v>1</x:v>
      </x:c>
      <x:c r="G69" s="450" t="n">
        <x:v>46280</x:v>
      </x:c>
      <x:c r="H69" s="450" t="n">
        <x:v>46280</x:v>
      </x:c>
      <x:c r="I69" s="449" t="str">
        <x:v>74,75,76</x:v>
      </x:c>
      <x:c r="J69" s="449" t="str">
        <x:v>Scrum Master</x:v>
      </x:c>
      <x:c r="K69" s="451" t="str">
        <x:v>Acta de Sprint Review</x:v>
      </x:c>
    </x:row>
    <x:row r="70" ht="30" customHeight="1">
      <x:c r="A70" s="476" t="n">
        <x:v>66</x:v>
      </x:c>
      <x:c r="B70" s="477" t="n">
        <x:v>2</x:v>
      </x:c>
      <x:c r="C70" s="477" t="str">
        <x:v>Gestión operativa</x:v>
      </x:c>
      <x:c r="D70" s="477"/>
      <x:c r="E70" s="477" t="str">
        <x:v>    Gestión operativa</x:v>
      </x:c>
      <x:c r="F70" s="477"/>
      <x:c r="G70" s="478" t="n">
        <x:v>46274</x:v>
      </x:c>
      <x:c r="H70" s="478" t="n">
        <x:v>46279</x:v>
      </x:c>
      <x:c r="I70" s="477"/>
      <x:c r="J70" s="477"/>
      <x:c r="K70" s="479" t="str">
        <x:v>Agrupa historias relacionadas</x:v>
      </x:c>
    </x:row>
    <x:row r="71" ht="30" customHeight="1">
      <x:c r="A71" s="484" t="n">
        <x:v>67</x:v>
      </x:c>
      <x:c r="B71" s="485" t="n">
        <x:v>3</x:v>
      </x:c>
      <x:c r="C71" s="485" t="str">
        <x:v>Gestión operativa</x:v>
      </x:c>
      <x:c r="D71" s="485" t="str">
        <x:v>Gestión de productores, acopiadores, rutas y centros</x:v>
      </x:c>
      <x:c r="E71" s="485" t="str">
        <x:v>        Historia: Gestión de productores, acopiadores, rutas y centros</x:v>
      </x:c>
      <x:c r="F71" s="485"/>
      <x:c r="G71" s="486" t="n">
        <x:v>46274</x:v>
      </x:c>
      <x:c r="H71" s="486" t="n">
        <x:v>46279</x:v>
      </x:c>
      <x:c r="I71" s="485"/>
      <x:c r="J71" s="485"/>
      <x:c r="K71" s="487" t="str">
        <x:v>Funcionalidad / resultado esperado</x:v>
      </x:c>
    </x:row>
    <x:row r="72" ht="30" customHeight="1">
      <x:c r="A72" s="448" t="n">
        <x:v>68</x:v>
      </x:c>
      <x:c r="B72" s="449" t="n">
        <x:v>4</x:v>
      </x:c>
      <x:c r="C72" s="449" t="str">
        <x:v>Gestión operativa</x:v>
      </x:c>
      <x:c r="D72" s="449" t="str">
        <x:v>Gestión de productores, acopiadores, rutas y centros</x:v>
      </x:c>
      <x:c r="E72" s="449" t="str">
        <x:v>            Backend: CRUD de Productores (API REST)</x:v>
      </x:c>
      <x:c r="F72" s="449" t="n">
        <x:v>2</x:v>
      </x:c>
      <x:c r="G72" s="450" t="n">
        <x:v>46274</x:v>
      </x:c>
      <x:c r="H72" s="450" t="n">
        <x:v>46275</x:v>
      </x:c>
      <x:c r="I72" s="449" t="str">
        <x:v>64</x:v>
      </x:c>
      <x:c r="J72" s="449" t="str">
        <x:v>Desarrollador Backend</x:v>
      </x:c>
      <x:c r="K72" s="451" t="str">
        <x:v>API Productores</x:v>
      </x:c>
    </x:row>
    <x:row r="73" ht="30" customHeight="1">
      <x:c r="A73" s="448" t="n">
        <x:v>69</x:v>
      </x:c>
      <x:c r="B73" s="449" t="n">
        <x:v>4</x:v>
      </x:c>
      <x:c r="C73" s="449" t="str">
        <x:v>Gestión operativa</x:v>
      </x:c>
      <x:c r="D73" s="449" t="str">
        <x:v>Gestión de productores, acopiadores, rutas y centros</x:v>
      </x:c>
      <x:c r="E73" s="449" t="str">
        <x:v>            Backend: CRUD de Acopiadores y Rutas</x:v>
      </x:c>
      <x:c r="F73" s="449" t="n">
        <x:v>2</x:v>
      </x:c>
      <x:c r="G73" s="450" t="n">
        <x:v>46275</x:v>
      </x:c>
      <x:c r="H73" s="450" t="n">
        <x:v>46276</x:v>
      </x:c>
      <x:c r="I73" s="449" t="str">
        <x:v>64</x:v>
      </x:c>
      <x:c r="J73" s="449" t="str">
        <x:v>Desarrollador Backend</x:v>
      </x:c>
      <x:c r="K73" s="451" t="str">
        <x:v>API Acopiadores/Rutas</x:v>
      </x:c>
    </x:row>
    <x:row r="74" ht="30" customHeight="1">
      <x:c r="A74" s="448" t="n">
        <x:v>70</x:v>
      </x:c>
      <x:c r="B74" s="449" t="n">
        <x:v>4</x:v>
      </x:c>
      <x:c r="C74" s="449" t="str">
        <x:v>Gestión operativa</x:v>
      </x:c>
      <x:c r="D74" s="449" t="str">
        <x:v>Gestión de productores, acopiadores, rutas y centros</x:v>
      </x:c>
      <x:c r="E74" s="449" t="str">
        <x:v>            Backend: CRUD de Centros de Acopio</x:v>
      </x:c>
      <x:c r="F74" s="449" t="n">
        <x:v>1</x:v>
      </x:c>
      <x:c r="G74" s="450" t="n">
        <x:v>46276</x:v>
      </x:c>
      <x:c r="H74" s="450" t="n">
        <x:v>46276</x:v>
      </x:c>
      <x:c r="I74" s="449" t="str">
        <x:v>64</x:v>
      </x:c>
      <x:c r="J74" s="449" t="str">
        <x:v>Desarrollador Backend</x:v>
      </x:c>
      <x:c r="K74" s="451" t="str">
        <x:v>API Centros de Acopio</x:v>
      </x:c>
    </x:row>
    <x:row r="75" ht="30" customHeight="1">
      <x:c r="A75" s="448" t="n">
        <x:v>71</x:v>
      </x:c>
      <x:c r="B75" s="449" t="n">
        <x:v>4</x:v>
      </x:c>
      <x:c r="C75" s="449" t="str">
        <x:v>Gestión operativa</x:v>
      </x:c>
      <x:c r="D75" s="449" t="str">
        <x:v>Gestión de productores, acopiadores, rutas y centros</x:v>
      </x:c>
      <x:c r="E75" s="449" t="str">
        <x:v>            Web: Módulo de gestión de Productores (listar, crear, editar, eliminar)</x:v>
      </x:c>
      <x:c r="F75" s="449" t="n">
        <x:v>2</x:v>
      </x:c>
      <x:c r="G75" s="450" t="n">
        <x:v>46276</x:v>
      </x:c>
      <x:c r="H75" s="450" t="n">
        <x:v>46277</x:v>
      </x:c>
      <x:c r="I75" s="449" t="str">
        <x:v>65</x:v>
      </x:c>
      <x:c r="J75" s="449" t="str">
        <x:v>Desarrollador Front-end</x:v>
      </x:c>
      <x:c r="K75" s="451" t="str">
        <x:v>Pantallas de Productores</x:v>
      </x:c>
    </x:row>
    <x:row r="76" ht="30" customHeight="1">
      <x:c r="A76" s="448" t="n">
        <x:v>72</x:v>
      </x:c>
      <x:c r="B76" s="449" t="n">
        <x:v>4</x:v>
      </x:c>
      <x:c r="C76" s="449" t="str">
        <x:v>Gestión operativa</x:v>
      </x:c>
      <x:c r="D76" s="449" t="str">
        <x:v>Gestión de productores, acopiadores, rutas y centros</x:v>
      </x:c>
      <x:c r="E76" s="449" t="str">
        <x:v>            Web: Módulo de gestión de Rutas y Centros de Acopio</x:v>
      </x:c>
      <x:c r="F76" s="449" t="n">
        <x:v>2</x:v>
      </x:c>
      <x:c r="G76" s="450" t="n">
        <x:v>46277</x:v>
      </x:c>
      <x:c r="H76" s="450" t="n">
        <x:v>46278</x:v>
      </x:c>
      <x:c r="I76" s="449" t="str">
        <x:v>68,69</x:v>
      </x:c>
      <x:c r="J76" s="449" t="str">
        <x:v>Desarrollador Front-end</x:v>
      </x:c>
      <x:c r="K76" s="451" t="str">
        <x:v>Pantallas de Rutas</x:v>
      </x:c>
    </x:row>
    <x:row r="77" ht="30" customHeight="1">
      <x:c r="A77" s="448" t="n">
        <x:v>73</x:v>
      </x:c>
      <x:c r="B77" s="449" t="n">
        <x:v>4</x:v>
      </x:c>
      <x:c r="C77" s="449" t="str">
        <x:v>Gestión operativa</x:v>
      </x:c>
      <x:c r="D77" s="449" t="str">
        <x:v>Gestión de productores, acopiadores, rutas y centros</x:v>
      </x:c>
      <x:c r="E77" s="449" t="str">
        <x:v>            Móvil: Módulo de consulta de productores asignados</x:v>
      </x:c>
      <x:c r="F77" s="449" t="n">
        <x:v>2</x:v>
      </x:c>
      <x:c r="G77" s="450" t="n">
        <x:v>46276</x:v>
      </x:c>
      <x:c r="H77" s="450" t="n">
        <x:v>46277</x:v>
      </x:c>
      <x:c r="I77" s="449" t="str">
        <x:v>65</x:v>
      </x:c>
      <x:c r="J77" s="449" t="str">
        <x:v>Desarrollador Móvil</x:v>
      </x:c>
      <x:c r="K77" s="451" t="str">
        <x:v>Pantalla de Productores móvil</x:v>
      </x:c>
    </x:row>
    <x:row r="78" ht="30" customHeight="1">
      <x:c r="A78" s="448" t="n">
        <x:v>74</x:v>
      </x:c>
      <x:c r="B78" s="449" t="n">
        <x:v>4</x:v>
      </x:c>
      <x:c r="C78" s="449" t="str">
        <x:v>Gestión operativa</x:v>
      </x:c>
      <x:c r="D78" s="449" t="str">
        <x:v>Gestión de productores, acopiadores, rutas y centros</x:v>
      </x:c>
      <x:c r="E78" s="449" t="str">
        <x:v>            Móvil: Módulo de gestión de ruta del día (acopiador)</x:v>
      </x:c>
      <x:c r="F78" s="449" t="n">
        <x:v>2</x:v>
      </x:c>
      <x:c r="G78" s="450" t="n">
        <x:v>46277</x:v>
      </x:c>
      <x:c r="H78" s="450" t="n">
        <x:v>46278</x:v>
      </x:c>
      <x:c r="I78" s="449" t="str">
        <x:v>68</x:v>
      </x:c>
      <x:c r="J78" s="449" t="str">
        <x:v>Desarrollador Móvil</x:v>
      </x:c>
      <x:c r="K78" s="451" t="str">
        <x:v>Pantalla de Ruta del día</x:v>
      </x:c>
    </x:row>
    <x:row r="79" ht="30" customHeight="1">
      <x:c r="A79" s="448" t="n">
        <x:v>75</x:v>
      </x:c>
      <x:c r="B79" s="449" t="n">
        <x:v>4</x:v>
      </x:c>
      <x:c r="C79" s="449" t="str">
        <x:v>Gestión operativa</x:v>
      </x:c>
      <x:c r="D79" s="449" t="str">
        <x:v>Gestión de productores, acopiadores, rutas y centros</x:v>
      </x:c>
      <x:c r="E79" s="449" t="str">
        <x:v>            Pruebas unitarias backend (JUnit) - módulo Productores/Rutas</x:v>
      </x:c>
      <x:c r="F79" s="449" t="n">
        <x:v>1</x:v>
      </x:c>
      <x:c r="G79" s="450" t="n">
        <x:v>46279</x:v>
      </x:c>
      <x:c r="H79" s="450" t="n">
        <x:v>46279</x:v>
      </x:c>
      <x:c r="I79" s="449" t="str">
        <x:v>70,71</x:v>
      </x:c>
      <x:c r="J79" s="449" t="str">
        <x:v>Desarrollador Backend</x:v>
      </x:c>
      <x:c r="K79" s="451" t="str">
        <x:v>Reporte de pruebas unitarias</x:v>
      </x:c>
    </x:row>
    <x:row r="80" ht="30" customHeight="1">
      <x:c r="A80" s="448" t="n">
        <x:v>76</x:v>
      </x:c>
      <x:c r="B80" s="449" t="n">
        <x:v>4</x:v>
      </x:c>
      <x:c r="C80" s="449" t="str">
        <x:v>Gestión operativa</x:v>
      </x:c>
      <x:c r="D80" s="449" t="str">
        <x:v>Gestión de productores, acopiadores, rutas y centros</x:v>
      </x:c>
      <x:c r="E80" s="449" t="str">
        <x:v>            Pruebas funcionales módulo Productores (Web y Móvil)</x:v>
      </x:c>
      <x:c r="F80" s="449" t="n">
        <x:v>1</x:v>
      </x:c>
      <x:c r="G80" s="450" t="n">
        <x:v>46279</x:v>
      </x:c>
      <x:c r="H80" s="450" t="n">
        <x:v>46279</x:v>
      </x:c>
      <x:c r="I80" s="449" t="str">
        <x:v>72,73</x:v>
      </x:c>
      <x:c r="J80" s="449" t="str">
        <x:v>QA Tester</x:v>
      </x:c>
      <x:c r="K80" s="451" t="str">
        <x:v>Reporte de pruebas funcionales</x:v>
      </x:c>
    </x:row>
    <x:row r="81" ht="30" customHeight="1">
      <x:c r="A81" s="476" t="n">
        <x:v>77</x:v>
      </x:c>
      <x:c r="B81" s="477" t="n">
        <x:v>2</x:v>
      </x:c>
      <x:c r="C81" s="477" t="str">
        <x:v>Documentación</x:v>
      </x:c>
      <x:c r="D81" s="477"/>
      <x:c r="E81" s="477" t="str">
        <x:v>    Documentación</x:v>
      </x:c>
      <x:c r="F81" s="477"/>
      <x:c r="G81" s="478" t="n">
        <x:v>46279</x:v>
      </x:c>
      <x:c r="H81" s="478" t="n">
        <x:v>46279</x:v>
      </x:c>
      <x:c r="I81" s="477"/>
      <x:c r="J81" s="477"/>
      <x:c r="K81" s="479" t="str">
        <x:v>Agrupa historias relacionadas</x:v>
      </x:c>
    </x:row>
    <x:row r="82" ht="30" customHeight="1">
      <x:c r="A82" s="484" t="n">
        <x:v>78</x:v>
      </x:c>
      <x:c r="B82" s="485" t="n">
        <x:v>3</x:v>
      </x:c>
      <x:c r="C82" s="485" t="str">
        <x:v>Documentación</x:v>
      </x:c>
      <x:c r="D82" s="485" t="str">
        <x:v>Documentación técnica y de usuario</x:v>
      </x:c>
      <x:c r="E82" s="485" t="str">
        <x:v>        Historia: Documentación técnica y de usuario</x:v>
      </x:c>
      <x:c r="F82" s="485"/>
      <x:c r="G82" s="486" t="n">
        <x:v>46279</x:v>
      </x:c>
      <x:c r="H82" s="486" t="n">
        <x:v>46279</x:v>
      </x:c>
      <x:c r="I82" s="485"/>
      <x:c r="J82" s="485"/>
      <x:c r="K82" s="487" t="str">
        <x:v>Funcionalidad / resultado esperado</x:v>
      </x:c>
    </x:row>
    <x:row r="83" ht="30" customHeight="1">
      <x:c r="A83" s="448" t="n">
        <x:v>79</x:v>
      </x:c>
      <x:c r="B83" s="449" t="n">
        <x:v>4</x:v>
      </x:c>
      <x:c r="C83" s="449" t="str">
        <x:v>Documentación</x:v>
      </x:c>
      <x:c r="D83" s="449" t="str">
        <x:v>Documentación técnica y de usuario</x:v>
      </x:c>
      <x:c r="E83" s="449" t="str">
        <x:v>            Documentación técnica de API (Swagger / OpenAPI)</x:v>
      </x:c>
      <x:c r="F83" s="449" t="n">
        <x:v>1</x:v>
      </x:c>
      <x:c r="G83" s="450" t="n">
        <x:v>46279</x:v>
      </x:c>
      <x:c r="H83" s="450" t="n">
        <x:v>46279</x:v>
      </x:c>
      <x:c r="I83" s="449" t="str">
        <x:v>69</x:v>
      </x:c>
      <x:c r="J83" s="449" t="str">
        <x:v>Desarrollador Backend</x:v>
      </x:c>
      <x:c r="K83" s="451" t="str">
        <x:v>Documentación Swagger</x:v>
      </x:c>
    </x:row>
    <x:row r="84" ht="30" customHeight="1">
      <x:c r="A84" s="468" t="n">
        <x:v>80</x:v>
      </x:c>
      <x:c r="B84" s="469" t="n">
        <x:v>1</x:v>
      </x:c>
      <x:c r="C84" s="469"/>
      <x:c r="D84" s="469"/>
      <x:c r="E84" s="469" t="str">
        <x:v>Sprint 5</x:v>
      </x:c>
      <x:c r="F84" s="469"/>
      <x:c r="G84" s="470" t="n">
        <x:v>46281</x:v>
      </x:c>
      <x:c r="H84" s="470" t="n">
        <x:v>46287</x:v>
      </x:c>
      <x:c r="I84" s="469"/>
      <x:c r="J84" s="469"/>
      <x:c r="K84" s="471" t="str">
        <x:v>Periodo / time-box Scrum</x:v>
      </x:c>
    </x:row>
    <x:row r="85" ht="30" customHeight="1">
      <x:c r="A85" s="476" t="n">
        <x:v>81</x:v>
      </x:c>
      <x:c r="B85" s="477" t="n">
        <x:v>2</x:v>
      </x:c>
      <x:c r="C85" s="477" t="str">
        <x:v>Gestión y definición del producto</x:v>
      </x:c>
      <x:c r="D85" s="477"/>
      <x:c r="E85" s="477" t="str">
        <x:v>    Gestión y definición del producto</x:v>
      </x:c>
      <x:c r="F85" s="477"/>
      <x:c r="G85" s="478" t="n">
        <x:v>46281</x:v>
      </x:c>
      <x:c r="H85" s="478" t="n">
        <x:v>46287</x:v>
      </x:c>
      <x:c r="I85" s="477"/>
      <x:c r="J85" s="477"/>
      <x:c r="K85" s="479" t="str">
        <x:v>Agrupa historias relacionadas</x:v>
      </x:c>
    </x:row>
    <x:row r="86" ht="30" customHeight="1">
      <x:c r="A86" s="484" t="n">
        <x:v>82</x:v>
      </x:c>
      <x:c r="B86" s="485" t="n">
        <x:v>3</x:v>
      </x:c>
      <x:c r="C86" s="485" t="str">
        <x:v>Gestión y definición del producto</x:v>
      </x:c>
      <x:c r="D86" s="485" t="str">
        <x:v>Gestión del proyecto y requisitos</x:v>
      </x:c>
      <x:c r="E86" s="485" t="str">
        <x:v>        Historia: Gestión del proyecto y requisitos</x:v>
      </x:c>
      <x:c r="F86" s="485"/>
      <x:c r="G86" s="486" t="n">
        <x:v>46281</x:v>
      </x:c>
      <x:c r="H86" s="486" t="n">
        <x:v>46287</x:v>
      </x:c>
      <x:c r="I86" s="485"/>
      <x:c r="J86" s="485"/>
      <x:c r="K86" s="487" t="str">
        <x:v>Funcionalidad / resultado esperado</x:v>
      </x:c>
    </x:row>
    <x:row r="87" ht="30" customHeight="1">
      <x:c r="A87" s="448" t="n">
        <x:v>83</x:v>
      </x:c>
      <x:c r="B87" s="449" t="n">
        <x:v>4</x:v>
      </x:c>
      <x:c r="C87" s="449" t="str">
        <x:v>Gestión y definición del producto</x:v>
      </x:c>
      <x:c r="D87" s="449" t="str">
        <x:v>Gestión del proyecto y requisitos</x:v>
      </x:c>
      <x:c r="E87" s="449" t="str">
        <x:v>            Sprint Planning Sprint 5</x:v>
      </x:c>
      <x:c r="F87" s="449" t="n">
        <x:v>1</x:v>
      </x:c>
      <x:c r="G87" s="450" t="n">
        <x:v>46281</x:v>
      </x:c>
      <x:c r="H87" s="450" t="n">
        <x:v>46281</x:v>
      </x:c>
      <x:c r="I87" s="449" t="str">
        <x:v>79</x:v>
      </x:c>
      <x:c r="J87" s="449" t="str">
        <x:v>Scrum Master</x:v>
      </x:c>
      <x:c r="K87" s="451" t="str">
        <x:v>Sprint Backlog 5</x:v>
      </x:c>
    </x:row>
    <x:row r="88" ht="30" customHeight="1">
      <x:c r="A88" s="448" t="n">
        <x:v>84</x:v>
      </x:c>
      <x:c r="B88" s="449" t="n">
        <x:v>4</x:v>
      </x:c>
      <x:c r="C88" s="449" t="str">
        <x:v>Gestión y definición del producto</x:v>
      </x:c>
      <x:c r="D88" s="449" t="str">
        <x:v>Gestión del proyecto y requisitos</x:v>
      </x:c>
      <x:c r="E88" s="449" t="str">
        <x:v>            Sprint Review + Retrospectiva Sprint 5</x:v>
      </x:c>
      <x:c r="F88" s="449" t="n">
        <x:v>1</x:v>
      </x:c>
      <x:c r="G88" s="450" t="n">
        <x:v>46287</x:v>
      </x:c>
      <x:c r="H88" s="450" t="n">
        <x:v>46287</x:v>
      </x:c>
      <x:c r="I88" s="449" t="str">
        <x:v>96</x:v>
      </x:c>
      <x:c r="J88" s="449" t="str">
        <x:v>Scrum Master</x:v>
      </x:c>
      <x:c r="K88" s="451" t="str">
        <x:v>Acta de Sprint Review</x:v>
      </x:c>
    </x:row>
    <x:row r="89" ht="30" customHeight="1">
      <x:c r="A89" s="476" t="n">
        <x:v>85</x:v>
      </x:c>
      <x:c r="B89" s="477" t="n">
        <x:v>2</x:v>
      </x:c>
      <x:c r="C89" s="477" t="str">
        <x:v>Gestión operativa</x:v>
      </x:c>
      <x:c r="D89" s="477"/>
      <x:c r="E89" s="477" t="str">
        <x:v>    Gestión operativa</x:v>
      </x:c>
      <x:c r="F89" s="477"/>
      <x:c r="G89" s="478" t="n">
        <x:v>46281</x:v>
      </x:c>
      <x:c r="H89" s="478" t="n">
        <x:v>46285</x:v>
      </x:c>
      <x:c r="I89" s="477"/>
      <x:c r="J89" s="477"/>
      <x:c r="K89" s="479" t="str">
        <x:v>Agrupa historias relacionadas</x:v>
      </x:c>
    </x:row>
    <x:row r="90" ht="30" customHeight="1">
      <x:c r="A90" s="484" t="n">
        <x:v>86</x:v>
      </x:c>
      <x:c r="B90" s="485" t="n">
        <x:v>3</x:v>
      </x:c>
      <x:c r="C90" s="485" t="str">
        <x:v>Gestión operativa</x:v>
      </x:c>
      <x:c r="D90" s="485" t="str">
        <x:v>Gestión de productores, acopiadores, rutas y centros</x:v>
      </x:c>
      <x:c r="E90" s="485" t="str">
        <x:v>        Historia: Gestión de productores, acopiadores, rutas y centros</x:v>
      </x:c>
      <x:c r="F90" s="485"/>
      <x:c r="G90" s="486" t="n">
        <x:v>46281</x:v>
      </x:c>
      <x:c r="H90" s="486" t="n">
        <x:v>46285</x:v>
      </x:c>
      <x:c r="I90" s="485"/>
      <x:c r="J90" s="485"/>
      <x:c r="K90" s="487" t="str">
        <x:v>Funcionalidad / resultado esperado</x:v>
      </x:c>
    </x:row>
    <x:row r="91" ht="30" customHeight="1">
      <x:c r="A91" s="448" t="n">
        <x:v>87</x:v>
      </x:c>
      <x:c r="B91" s="449" t="n">
        <x:v>4</x:v>
      </x:c>
      <x:c r="C91" s="449" t="str">
        <x:v>Gestión operativa</x:v>
      </x:c>
      <x:c r="D91" s="449" t="str">
        <x:v>Gestión de productores, acopiadores, rutas y centros</x:v>
      </x:c>
      <x:c r="E91" s="449" t="str">
        <x:v>            Backend: API de Registro de Recojo de Leche (cantidad, calidad, fecha, productor)</x:v>
      </x:c>
      <x:c r="F91" s="449" t="n">
        <x:v>2</x:v>
      </x:c>
      <x:c r="G91" s="450" t="n">
        <x:v>46281</x:v>
      </x:c>
      <x:c r="H91" s="450" t="n">
        <x:v>46282</x:v>
      </x:c>
      <x:c r="I91" s="449" t="str">
        <x:v>83</x:v>
      </x:c>
      <x:c r="J91" s="449" t="str">
        <x:v>Desarrollador Backend</x:v>
      </x:c>
      <x:c r="K91" s="451" t="str">
        <x:v>API Recojo de Leche</x:v>
      </x:c>
    </x:row>
    <x:row r="92" ht="30" customHeight="1">
      <x:c r="A92" s="448" t="n">
        <x:v>88</x:v>
      </x:c>
      <x:c r="B92" s="449" t="n">
        <x:v>4</x:v>
      </x:c>
      <x:c r="C92" s="449" t="str">
        <x:v>Gestión operativa</x:v>
      </x:c>
      <x:c r="D92" s="449" t="str">
        <x:v>Gestión de productores, acopiadores, rutas y centros</x:v>
      </x:c>
      <x:c r="E92" s="449" t="str">
        <x:v>            Web: Módulo de consulta de liquidaciones por productor/fecha</x:v>
      </x:c>
      <x:c r="F92" s="449" t="n">
        <x:v>1</x:v>
      </x:c>
      <x:c r="G92" s="450" t="n">
        <x:v>46285</x:v>
      </x:c>
      <x:c r="H92" s="450" t="n">
        <x:v>46285</x:v>
      </x:c>
      <x:c r="I92" s="449" t="str">
        <x:v>88</x:v>
      </x:c>
      <x:c r="J92" s="449" t="str">
        <x:v>Desarrollador Front-end</x:v>
      </x:c>
      <x:c r="K92" s="451" t="str">
        <x:v>Pantalla de Liquidaciones</x:v>
      </x:c>
    </x:row>
    <x:row r="93" ht="30" customHeight="1">
      <x:c r="A93" s="476" t="n">
        <x:v>89</x:v>
      </x:c>
      <x:c r="B93" s="477" t="n">
        <x:v>2</x:v>
      </x:c>
      <x:c r="C93" s="477" t="str">
        <x:v>Recolección y liquidación de leche</x:v>
      </x:c>
      <x:c r="D93" s="477"/>
      <x:c r="E93" s="477" t="str">
        <x:v>    Recolección y liquidación de leche</x:v>
      </x:c>
      <x:c r="F93" s="477"/>
      <x:c r="G93" s="478" t="n">
        <x:v>46282</x:v>
      </x:c>
      <x:c r="H93" s="478" t="n">
        <x:v>46286</x:v>
      </x:c>
      <x:c r="I93" s="477"/>
      <x:c r="J93" s="477"/>
      <x:c r="K93" s="479" t="str">
        <x:v>Agrupa historias relacionadas</x:v>
      </x:c>
    </x:row>
    <x:row r="94" ht="30" customHeight="1">
      <x:c r="A94" s="484" t="n">
        <x:v>90</x:v>
      </x:c>
      <x:c r="B94" s="485" t="n">
        <x:v>3</x:v>
      </x:c>
      <x:c r="C94" s="485" t="str">
        <x:v>Recolección y liquidación de leche</x:v>
      </x:c>
      <x:c r="D94" s="485" t="str">
        <x:v>Registro de recojos, calidad y liquidaciones</x:v>
      </x:c>
      <x:c r="E94" s="485" t="str">
        <x:v>        Historia: Registro de recojos, calidad y liquidaciones</x:v>
      </x:c>
      <x:c r="F94" s="485"/>
      <x:c r="G94" s="486" t="n">
        <x:v>46282</x:v>
      </x:c>
      <x:c r="H94" s="486" t="n">
        <x:v>46286</x:v>
      </x:c>
      <x:c r="I94" s="485"/>
      <x:c r="J94" s="485"/>
      <x:c r="K94" s="487" t="str">
        <x:v>Funcionalidad / resultado esperado</x:v>
      </x:c>
    </x:row>
    <x:row r="95" ht="30" customHeight="1">
      <x:c r="A95" s="448" t="n">
        <x:v>91</x:v>
      </x:c>
      <x:c r="B95" s="449" t="n">
        <x:v>4</x:v>
      </x:c>
      <x:c r="C95" s="449" t="str">
        <x:v>Recolección y liquidación de leche</x:v>
      </x:c>
      <x:c r="D95" s="449" t="str">
        <x:v>Registro de recojos, calidad y liquidaciones</x:v>
      </x:c>
      <x:c r="E95" s="449" t="str">
        <x:v>            Backend: Registro de parámetros de calidad (densidad, acidez, temperatura, etc.)</x:v>
      </x:c>
      <x:c r="F95" s="449" t="n">
        <x:v>1</x:v>
      </x:c>
      <x:c r="G95" s="450" t="n">
        <x:v>46282</x:v>
      </x:c>
      <x:c r="H95" s="450" t="n">
        <x:v>46282</x:v>
      </x:c>
      <x:c r="I95" s="449" t="str">
        <x:v>84</x:v>
      </x:c>
      <x:c r="J95" s="449" t="str">
        <x:v>Desarrollador Backend</x:v>
      </x:c>
      <x:c r="K95" s="451" t="str">
        <x:v>API Control de Calidad</x:v>
      </x:c>
    </x:row>
    <x:row r="96" ht="30" customHeight="1">
      <x:c r="A96" s="448" t="n">
        <x:v>92</x:v>
      </x:c>
      <x:c r="B96" s="449" t="n">
        <x:v>4</x:v>
      </x:c>
      <x:c r="C96" s="449" t="str">
        <x:v>Recolección y liquidación de leche</x:v>
      </x:c>
      <x:c r="D96" s="449" t="str">
        <x:v>Registro de recojos, calidad y liquidaciones</x:v>
      </x:c>
      <x:c r="E96" s="449" t="str">
        <x:v>            Backend: Cálculo de pago / liquidación por litros acopiados</x:v>
      </x:c>
      <x:c r="F96" s="449" t="n">
        <x:v>2</x:v>
      </x:c>
      <x:c r="G96" s="450" t="n">
        <x:v>46283</x:v>
      </x:c>
      <x:c r="H96" s="450" t="n">
        <x:v>46284</x:v>
      </x:c>
      <x:c r="I96" s="449" t="str">
        <x:v>84</x:v>
      </x:c>
      <x:c r="J96" s="449" t="str">
        <x:v>Desarrollador Backend</x:v>
      </x:c>
      <x:c r="K96" s="451" t="str">
        <x:v>API de Liquidaciones</x:v>
      </x:c>
    </x:row>
    <x:row r="97" ht="30" customHeight="1">
      <x:c r="A97" s="448" t="n">
        <x:v>93</x:v>
      </x:c>
      <x:c r="B97" s="449" t="n">
        <x:v>4</x:v>
      </x:c>
      <x:c r="C97" s="449" t="str">
        <x:v>Recolección y liquidación de leche</x:v>
      </x:c>
      <x:c r="D97" s="449" t="str">
        <x:v>Registro de recojos, calidad y liquidaciones</x:v>
      </x:c>
      <x:c r="E97" s="449" t="str">
        <x:v>            Web: Módulo de registro y consulta de recojos de leche</x:v>
      </x:c>
      <x:c r="F97" s="449" t="n">
        <x:v>2</x:v>
      </x:c>
      <x:c r="G97" s="450" t="n">
        <x:v>46283</x:v>
      </x:c>
      <x:c r="H97" s="450" t="n">
        <x:v>46284</x:v>
      </x:c>
      <x:c r="I97" s="449" t="str">
        <x:v>84</x:v>
      </x:c>
      <x:c r="J97" s="449" t="str">
        <x:v>Desarrollador Front-end</x:v>
      </x:c>
      <x:c r="K97" s="451" t="str">
        <x:v>Pantallas de Recojo (Web)</x:v>
      </x:c>
    </x:row>
    <x:row r="98" ht="30" customHeight="1">
      <x:c r="A98" s="448" t="n">
        <x:v>94</x:v>
      </x:c>
      <x:c r="B98" s="449" t="n">
        <x:v>4</x:v>
      </x:c>
      <x:c r="C98" s="449" t="str">
        <x:v>Recolección y liquidación de leche</x:v>
      </x:c>
      <x:c r="D98" s="449" t="str">
        <x:v>Registro de recojos, calidad y liquidaciones</x:v>
      </x:c>
      <x:c r="E98" s="449" t="str">
        <x:v>            Móvil: Pantalla de registro de recojo de leche (offline-first)</x:v>
      </x:c>
      <x:c r="F98" s="449" t="n">
        <x:v>2</x:v>
      </x:c>
      <x:c r="G98" s="450" t="n">
        <x:v>46283</x:v>
      </x:c>
      <x:c r="H98" s="450" t="n">
        <x:v>46284</x:v>
      </x:c>
      <x:c r="I98" s="449" t="str">
        <x:v>84</x:v>
      </x:c>
      <x:c r="J98" s="449" t="str">
        <x:v>Desarrollador Móvil</x:v>
      </x:c>
      <x:c r="K98" s="451" t="str">
        <x:v>Pantalla de Registro móvil</x:v>
      </x:c>
    </x:row>
    <x:row r="99" ht="30" customHeight="1">
      <x:c r="A99" s="448" t="n">
        <x:v>95</x:v>
      </x:c>
      <x:c r="B99" s="449" t="n">
        <x:v>4</x:v>
      </x:c>
      <x:c r="C99" s="449" t="str">
        <x:v>Recolección y liquidación de leche</x:v>
      </x:c>
      <x:c r="D99" s="449" t="str">
        <x:v>Registro de recojos, calidad y liquidaciones</x:v>
      </x:c>
      <x:c r="E99" s="449" t="str">
        <x:v>            Móvil: Almacenamiento local (SQLite) y sincronización online/offline</x:v>
      </x:c>
      <x:c r="F99" s="449" t="n">
        <x:v>2</x:v>
      </x:c>
      <x:c r="G99" s="450" t="n">
        <x:v>46284</x:v>
      </x:c>
      <x:c r="H99" s="450" t="n">
        <x:v>46285</x:v>
      </x:c>
      <x:c r="I99" s="449" t="str">
        <x:v>93</x:v>
      </x:c>
      <x:c r="J99" s="449" t="str">
        <x:v>Desarrollador Móvil</x:v>
      </x:c>
      <x:c r="K99" s="451" t="str">
        <x:v>Módulo de sincronización</x:v>
      </x:c>
    </x:row>
    <x:row r="100" ht="30" customHeight="1">
      <x:c r="A100" s="448" t="n">
        <x:v>96</x:v>
      </x:c>
      <x:c r="B100" s="449" t="n">
        <x:v>4</x:v>
      </x:c>
      <x:c r="C100" s="449" t="str">
        <x:v>Recolección y liquidación de leche</x:v>
      </x:c>
      <x:c r="D100" s="449" t="str">
        <x:v>Registro de recojos, calidad y liquidaciones</x:v>
      </x:c>
      <x:c r="E100" s="449" t="str">
        <x:v>            Pruebas unitarias e integración del módulo de Recojo (Backend/Web/Móvil)</x:v>
      </x:c>
      <x:c r="F100" s="449" t="n">
        <x:v>1</x:v>
      </x:c>
      <x:c r="G100" s="450" t="n">
        <x:v>46286</x:v>
      </x:c>
      <x:c r="H100" s="450" t="n">
        <x:v>46286</x:v>
      </x:c>
      <x:c r="I100" s="449" t="str">
        <x:v>91,92,94,95</x:v>
      </x:c>
      <x:c r="J100" s="449" t="str">
        <x:v>QA Tester</x:v>
      </x:c>
      <x:c r="K100" s="451" t="str">
        <x:v>Reporte de pruebas</x:v>
      </x:c>
    </x:row>
    <x:row r="101" ht="30" customHeight="1">
      <x:c r="A101" s="476" t="n">
        <x:v>97</x:v>
      </x:c>
      <x:c r="B101" s="477" t="n">
        <x:v>2</x:v>
      </x:c>
      <x:c r="C101" s="477" t="str">
        <x:v>Plataforma y arquitectura técnica</x:v>
      </x:c>
      <x:c r="D101" s="477"/>
      <x:c r="E101" s="477" t="str">
        <x:v>    Plataforma y arquitectura técnica</x:v>
      </x:c>
      <x:c r="F101" s="477"/>
      <x:c r="G101" s="478" t="n">
        <x:v>46286</x:v>
      </x:c>
      <x:c r="H101" s="478" t="n">
        <x:v>46286</x:v>
      </x:c>
      <x:c r="I101" s="477"/>
      <x:c r="J101" s="477"/>
      <x:c r="K101" s="479" t="str">
        <x:v>Agrupa historias relacionadas</x:v>
      </x:c>
    </x:row>
    <x:row r="102" ht="30" customHeight="1">
      <x:c r="A102" s="484" t="n">
        <x:v>98</x:v>
      </x:c>
      <x:c r="B102" s="485" t="n">
        <x:v>3</x:v>
      </x:c>
      <x:c r="C102" s="485" t="str">
        <x:v>Plataforma y arquitectura técnica</x:v>
      </x:c>
      <x:c r="D102" s="485" t="str">
        <x:v>Preparación de arquitectura y entornos</x:v>
      </x:c>
      <x:c r="E102" s="485" t="str">
        <x:v>        Historia: Preparación de arquitectura y entornos</x:v>
      </x:c>
      <x:c r="F102" s="485"/>
      <x:c r="G102" s="486" t="n">
        <x:v>46286</x:v>
      </x:c>
      <x:c r="H102" s="486" t="n">
        <x:v>46286</x:v>
      </x:c>
      <x:c r="I102" s="485"/>
      <x:c r="J102" s="485"/>
      <x:c r="K102" s="487" t="str">
        <x:v>Funcionalidad / resultado esperado</x:v>
      </x:c>
    </x:row>
    <x:row r="103" ht="30" customHeight="1">
      <x:c r="A103" s="448" t="n">
        <x:v>99</x:v>
      </x:c>
      <x:c r="B103" s="449" t="n">
        <x:v>4</x:v>
      </x:c>
      <x:c r="C103" s="449" t="str">
        <x:v>Plataforma y arquitectura técnica</x:v>
      </x:c>
      <x:c r="D103" s="449" t="str">
        <x:v>Preparación de arquitectura y entornos</x:v>
      </x:c>
      <x:c r="E103" s="449" t="str">
        <x:v>            Móvil: Captura de evidencia (firma digital / foto) por recojo</x:v>
      </x:c>
      <x:c r="F103" s="449" t="n">
        <x:v>1</x:v>
      </x:c>
      <x:c r="G103" s="450" t="n">
        <x:v>46286</x:v>
      </x:c>
      <x:c r="H103" s="450" t="n">
        <x:v>46286</x:v>
      </x:c>
      <x:c r="I103" s="449" t="str">
        <x:v>93</x:v>
      </x:c>
      <x:c r="J103" s="449" t="str">
        <x:v>Desarrollador Móvil</x:v>
      </x:c>
      <x:c r="K103" s="451" t="str">
        <x:v>Módulo de evidencias</x:v>
      </x:c>
    </x:row>
    <x:row r="104" ht="30" customHeight="1">
      <x:c r="A104" s="468" t="n">
        <x:v>100</x:v>
      </x:c>
      <x:c r="B104" s="469" t="n">
        <x:v>1</x:v>
      </x:c>
      <x:c r="C104" s="469"/>
      <x:c r="D104" s="469"/>
      <x:c r="E104" s="469" t="str">
        <x:v>Sprint 6</x:v>
      </x:c>
      <x:c r="F104" s="469"/>
      <x:c r="G104" s="470" t="n">
        <x:v>46288</x:v>
      </x:c>
      <x:c r="H104" s="470" t="n">
        <x:v>46294</x:v>
      </x:c>
      <x:c r="I104" s="469"/>
      <x:c r="J104" s="469"/>
      <x:c r="K104" s="471" t="str">
        <x:v>Periodo / time-box Scrum</x:v>
      </x:c>
    </x:row>
    <x:row r="105" ht="30" customHeight="1">
      <x:c r="A105" s="476" t="n">
        <x:v>101</x:v>
      </x:c>
      <x:c r="B105" s="477" t="n">
        <x:v>2</x:v>
      </x:c>
      <x:c r="C105" s="477" t="str">
        <x:v>Gestión y definición del producto</x:v>
      </x:c>
      <x:c r="D105" s="477"/>
      <x:c r="E105" s="477" t="str">
        <x:v>    Gestión y definición del producto</x:v>
      </x:c>
      <x:c r="F105" s="477"/>
      <x:c r="G105" s="478" t="n">
        <x:v>46288</x:v>
      </x:c>
      <x:c r="H105" s="478" t="n">
        <x:v>46294</x:v>
      </x:c>
      <x:c r="I105" s="477"/>
      <x:c r="J105" s="477"/>
      <x:c r="K105" s="479" t="str">
        <x:v>Agrupa historias relacionadas</x:v>
      </x:c>
    </x:row>
    <x:row r="106" ht="30" customHeight="1">
      <x:c r="A106" s="484" t="n">
        <x:v>102</x:v>
      </x:c>
      <x:c r="B106" s="485" t="n">
        <x:v>3</x:v>
      </x:c>
      <x:c r="C106" s="485" t="str">
        <x:v>Gestión y definición del producto</x:v>
      </x:c>
      <x:c r="D106" s="485" t="str">
        <x:v>Gestión del proyecto y requisitos</x:v>
      </x:c>
      <x:c r="E106" s="485" t="str">
        <x:v>        Historia: Gestión del proyecto y requisitos</x:v>
      </x:c>
      <x:c r="F106" s="485"/>
      <x:c r="G106" s="486" t="n">
        <x:v>46288</x:v>
      </x:c>
      <x:c r="H106" s="486" t="n">
        <x:v>46294</x:v>
      </x:c>
      <x:c r="I106" s="485"/>
      <x:c r="J106" s="485"/>
      <x:c r="K106" s="487" t="str">
        <x:v>Funcionalidad / resultado esperado</x:v>
      </x:c>
    </x:row>
    <x:row r="107" ht="30" customHeight="1">
      <x:c r="A107" s="448" t="n">
        <x:v>103</x:v>
      </x:c>
      <x:c r="B107" s="449" t="n">
        <x:v>4</x:v>
      </x:c>
      <x:c r="C107" s="449" t="str">
        <x:v>Gestión y definición del producto</x:v>
      </x:c>
      <x:c r="D107" s="449" t="str">
        <x:v>Gestión del proyecto y requisitos</x:v>
      </x:c>
      <x:c r="E107" s="449" t="str">
        <x:v>            Sprint Planning Sprint 6</x:v>
      </x:c>
      <x:c r="F107" s="449" t="n">
        <x:v>1</x:v>
      </x:c>
      <x:c r="G107" s="450" t="n">
        <x:v>46288</x:v>
      </x:c>
      <x:c r="H107" s="450" t="n">
        <x:v>46288</x:v>
      </x:c>
      <x:c r="I107" s="449" t="str">
        <x:v>99</x:v>
      </x:c>
      <x:c r="J107" s="449" t="str">
        <x:v>Scrum Master</x:v>
      </x:c>
      <x:c r="K107" s="451" t="str">
        <x:v>Sprint Backlog 6</x:v>
      </x:c>
    </x:row>
    <x:row r="108" ht="30" customHeight="1">
      <x:c r="A108" s="448" t="n">
        <x:v>104</x:v>
      </x:c>
      <x:c r="B108" s="449" t="n">
        <x:v>4</x:v>
      </x:c>
      <x:c r="C108" s="449" t="str">
        <x:v>Gestión y definición del producto</x:v>
      </x:c>
      <x:c r="D108" s="449" t="str">
        <x:v>Gestión del proyecto y requisitos</x:v>
      </x:c>
      <x:c r="E108" s="449" t="str">
        <x:v>            Sprint Review + Retrospectiva Sprint 6</x:v>
      </x:c>
      <x:c r="F108" s="449" t="n">
        <x:v>1</x:v>
      </x:c>
      <x:c r="G108" s="450" t="n">
        <x:v>46294</x:v>
      </x:c>
      <x:c r="H108" s="450" t="n">
        <x:v>46294</x:v>
      </x:c>
      <x:c r="I108" s="449" t="str">
        <x:v>120</x:v>
      </x:c>
      <x:c r="J108" s="449" t="str">
        <x:v>Scrum Master</x:v>
      </x:c>
      <x:c r="K108" s="451" t="str">
        <x:v>Acta de Sprint Review</x:v>
      </x:c>
    </x:row>
    <x:row r="109" ht="30" customHeight="1">
      <x:c r="A109" s="476" t="n">
        <x:v>105</x:v>
      </x:c>
      <x:c r="B109" s="477" t="n">
        <x:v>2</x:v>
      </x:c>
      <x:c r="C109" s="477" t="str">
        <x:v>Gestión operativa</x:v>
      </x:c>
      <x:c r="D109" s="477"/>
      <x:c r="E109" s="477" t="str">
        <x:v>    Gestión operativa</x:v>
      </x:c>
      <x:c r="F109" s="477"/>
      <x:c r="G109" s="478" t="n">
        <x:v>46288</x:v>
      </x:c>
      <x:c r="H109" s="478" t="n">
        <x:v>46289</x:v>
      </x:c>
      <x:c r="I109" s="477"/>
      <x:c r="J109" s="477"/>
      <x:c r="K109" s="479" t="str">
        <x:v>Agrupa historias relacionadas</x:v>
      </x:c>
    </x:row>
    <x:row r="110" ht="30" customHeight="1">
      <x:c r="A110" s="484" t="n">
        <x:v>106</x:v>
      </x:c>
      <x:c r="B110" s="485" t="n">
        <x:v>3</x:v>
      </x:c>
      <x:c r="C110" s="485" t="str">
        <x:v>Gestión operativa</x:v>
      </x:c>
      <x:c r="D110" s="485" t="str">
        <x:v>Gestión de productores, acopiadores, rutas y centros</x:v>
      </x:c>
      <x:c r="E110" s="485" t="str">
        <x:v>        Historia: Gestión de productores, acopiadores, rutas y centros</x:v>
      </x:c>
      <x:c r="F110" s="485"/>
      <x:c r="G110" s="486" t="n">
        <x:v>46288</x:v>
      </x:c>
      <x:c r="H110" s="486" t="n">
        <x:v>46289</x:v>
      </x:c>
      <x:c r="I110" s="485"/>
      <x:c r="J110" s="485"/>
      <x:c r="K110" s="487" t="str">
        <x:v>Funcionalidad / resultado esperado</x:v>
      </x:c>
    </x:row>
    <x:row r="111" ht="30" customHeight="1">
      <x:c r="A111" s="448" t="n">
        <x:v>107</x:v>
      </x:c>
      <x:c r="B111" s="449" t="n">
        <x:v>4</x:v>
      </x:c>
      <x:c r="C111" s="449" t="str">
        <x:v>Gestión operativa</x:v>
      </x:c>
      <x:c r="D111" s="449" t="str">
        <x:v>Gestión de productores, acopiadores, rutas y centros</x:v>
      </x:c>
      <x:c r="E111" s="449" t="str">
        <x:v>            Backend: Módulo de reportes gerenciales (producción total, por ruta, por productor)</x:v>
      </x:c>
      <x:c r="F111" s="449" t="n">
        <x:v>2</x:v>
      </x:c>
      <x:c r="G111" s="450" t="n">
        <x:v>46288</x:v>
      </x:c>
      <x:c r="H111" s="450" t="n">
        <x:v>46289</x:v>
      </x:c>
      <x:c r="I111" s="449" t="str">
        <x:v>103</x:v>
      </x:c>
      <x:c r="J111" s="449" t="str">
        <x:v>Desarrollador Backend</x:v>
      </x:c>
      <x:c r="K111" s="451" t="str">
        <x:v>API de Reportes</x:v>
      </x:c>
    </x:row>
    <x:row r="112" ht="30" customHeight="1">
      <x:c r="A112" s="476" t="n">
        <x:v>108</x:v>
      </x:c>
      <x:c r="B112" s="477" t="n">
        <x:v>2</x:v>
      </x:c>
      <x:c r="C112" s="477" t="str">
        <x:v>Reportes y administración</x:v>
      </x:c>
      <x:c r="D112" s="477"/>
      <x:c r="E112" s="477" t="str">
        <x:v>    Reportes y administración</x:v>
      </x:c>
      <x:c r="F112" s="477"/>
      <x:c r="G112" s="478" t="n">
        <x:v>46289</x:v>
      </x:c>
      <x:c r="H112" s="478" t="n">
        <x:v>46292</x:v>
      </x:c>
      <x:c r="I112" s="477"/>
      <x:c r="J112" s="477"/>
      <x:c r="K112" s="479" t="str">
        <x:v>Agrupa historias relacionadas</x:v>
      </x:c>
    </x:row>
    <x:row r="113" ht="30" customHeight="1">
      <x:c r="A113" s="484" t="n">
        <x:v>109</x:v>
      </x:c>
      <x:c r="B113" s="485" t="n">
        <x:v>3</x:v>
      </x:c>
      <x:c r="C113" s="485" t="str">
        <x:v>Reportes y administración</x:v>
      </x:c>
      <x:c r="D113" s="485" t="str">
        <x:v>Reportes, notificaciones y administración</x:v>
      </x:c>
      <x:c r="E113" s="485" t="str">
        <x:v>        Historia: Reportes, notificaciones y administración</x:v>
      </x:c>
      <x:c r="F113" s="485"/>
      <x:c r="G113" s="486" t="n">
        <x:v>46289</x:v>
      </x:c>
      <x:c r="H113" s="486" t="n">
        <x:v>46292</x:v>
      </x:c>
      <x:c r="I113" s="485"/>
      <x:c r="J113" s="485"/>
      <x:c r="K113" s="487" t="str">
        <x:v>Funcionalidad / resultado esperado</x:v>
      </x:c>
    </x:row>
    <x:row r="114" ht="30" customHeight="1">
      <x:c r="A114" s="448" t="n">
        <x:v>110</x:v>
      </x:c>
      <x:c r="B114" s="449" t="n">
        <x:v>4</x:v>
      </x:c>
      <x:c r="C114" s="449" t="str">
        <x:v>Reportes y administración</x:v>
      </x:c>
      <x:c r="D114" s="449" t="str">
        <x:v>Reportes, notificaciones y administración</x:v>
      </x:c>
      <x:c r="E114" s="449" t="str">
        <x:v>            Backend: Módulo de notificaciones (email / push)</x:v>
      </x:c>
      <x:c r="F114" s="449" t="n">
        <x:v>1</x:v>
      </x:c>
      <x:c r="G114" s="450" t="n">
        <x:v>46289</x:v>
      </x:c>
      <x:c r="H114" s="450" t="n">
        <x:v>46289</x:v>
      </x:c>
      <x:c r="I114" s="449" t="str">
        <x:v>103</x:v>
      </x:c>
      <x:c r="J114" s="449" t="str">
        <x:v>Desarrollador Backend</x:v>
      </x:c>
      <x:c r="K114" s="451" t="str">
        <x:v>API de Notificaciones</x:v>
      </x:c>
    </x:row>
    <x:row r="115" ht="30" customHeight="1">
      <x:c r="A115" s="448" t="n">
        <x:v>111</x:v>
      </x:c>
      <x:c r="B115" s="449" t="n">
        <x:v>4</x:v>
      </x:c>
      <x:c r="C115" s="449" t="str">
        <x:v>Reportes y administración</x:v>
      </x:c>
      <x:c r="D115" s="449" t="str">
        <x:v>Reportes, notificaciones y administración</x:v>
      </x:c>
      <x:c r="E115" s="449" t="str">
        <x:v>            Web: Dashboard de reportes con gráficos (producción, tendencias)</x:v>
      </x:c>
      <x:c r="F115" s="449" t="n">
        <x:v>2</x:v>
      </x:c>
      <x:c r="G115" s="450" t="n">
        <x:v>46290</x:v>
      </x:c>
      <x:c r="H115" s="450" t="n">
        <x:v>46291</x:v>
      </x:c>
      <x:c r="I115" s="449" t="str">
        <x:v>104</x:v>
      </x:c>
      <x:c r="J115" s="449" t="str">
        <x:v>Desarrollador Front-end</x:v>
      </x:c>
      <x:c r="K115" s="451" t="str">
        <x:v>Dashboard Web</x:v>
      </x:c>
    </x:row>
    <x:row r="116" ht="30" customHeight="1">
      <x:c r="A116" s="448" t="n">
        <x:v>112</x:v>
      </x:c>
      <x:c r="B116" s="449" t="n">
        <x:v>4</x:v>
      </x:c>
      <x:c r="C116" s="449" t="str">
        <x:v>Reportes y administración</x:v>
      </x:c>
      <x:c r="D116" s="449" t="str">
        <x:v>Reportes, notificaciones y administración</x:v>
      </x:c>
      <x:c r="E116" s="449" t="str">
        <x:v>            Web: Módulo de administración de usuarios y roles</x:v>
      </x:c>
      <x:c r="F116" s="449" t="n">
        <x:v>1</x:v>
      </x:c>
      <x:c r="G116" s="450" t="n">
        <x:v>46291</x:v>
      </x:c>
      <x:c r="H116" s="450" t="n">
        <x:v>46291</x:v>
      </x:c>
      <x:c r="I116" s="449" t="str">
        <x:v>54</x:v>
      </x:c>
      <x:c r="J116" s="449" t="str">
        <x:v>Desarrollador Front-end</x:v>
      </x:c>
      <x:c r="K116" s="451" t="str">
        <x:v>Pantalla de Usuarios y Roles</x:v>
      </x:c>
    </x:row>
    <x:row r="117" ht="30" customHeight="1">
      <x:c r="A117" s="448" t="n">
        <x:v>113</x:v>
      </x:c>
      <x:c r="B117" s="449" t="n">
        <x:v>4</x:v>
      </x:c>
      <x:c r="C117" s="449" t="str">
        <x:v>Reportes y administración</x:v>
      </x:c>
      <x:c r="D117" s="449" t="str">
        <x:v>Reportes, notificaciones y administración</x:v>
      </x:c>
      <x:c r="E117" s="449" t="str">
        <x:v>            Móvil: Notificaciones push (Firebase Cloud Messaging)</x:v>
      </x:c>
      <x:c r="F117" s="449" t="n">
        <x:v>1</x:v>
      </x:c>
      <x:c r="G117" s="450" t="n">
        <x:v>46290</x:v>
      </x:c>
      <x:c r="H117" s="450" t="n">
        <x:v>46290</x:v>
      </x:c>
      <x:c r="I117" s="449" t="str">
        <x:v>107</x:v>
      </x:c>
      <x:c r="J117" s="449" t="str">
        <x:v>Desarrollador Móvil</x:v>
      </x:c>
      <x:c r="K117" s="451" t="str">
        <x:v>Notificaciones móvil</x:v>
      </x:c>
    </x:row>
    <x:row r="118" ht="30" customHeight="1">
      <x:c r="A118" s="448" t="n">
        <x:v>114</x:v>
      </x:c>
      <x:c r="B118" s="449" t="n">
        <x:v>4</x:v>
      </x:c>
      <x:c r="C118" s="449" t="str">
        <x:v>Reportes y administración</x:v>
      </x:c>
      <x:c r="D118" s="449" t="str">
        <x:v>Reportes, notificaciones y administración</x:v>
      </x:c>
      <x:c r="E118" s="449" t="str">
        <x:v>            Pruebas unitarias módulo de Reportes y Notificaciones</x:v>
      </x:c>
      <x:c r="F118" s="449" t="n">
        <x:v>1</x:v>
      </x:c>
      <x:c r="G118" s="450" t="n">
        <x:v>46292</x:v>
      </x:c>
      <x:c r="H118" s="450" t="n">
        <x:v>46292</x:v>
      </x:c>
      <x:c r="I118" s="449" t="str">
        <x:v>110,112</x:v>
      </x:c>
      <x:c r="J118" s="449" t="str">
        <x:v>QA Tester</x:v>
      </x:c>
      <x:c r="K118" s="451" t="str">
        <x:v>Reporte de pruebas</x:v>
      </x:c>
    </x:row>
    <x:row r="119" ht="30" customHeight="1">
      <x:c r="A119" s="476" t="n">
        <x:v>115</x:v>
      </x:c>
      <x:c r="B119" s="477" t="n">
        <x:v>2</x:v>
      </x:c>
      <x:c r="C119" s="477" t="str">
        <x:v>Recolección y liquidación de leche</x:v>
      </x:c>
      <x:c r="D119" s="477"/>
      <x:c r="E119" s="477" t="str">
        <x:v>    Recolección y liquidación de leche</x:v>
      </x:c>
      <x:c r="F119" s="477"/>
      <x:c r="G119" s="478" t="n">
        <x:v>46290</x:v>
      </x:c>
      <x:c r="H119" s="478" t="n">
        <x:v>46291</x:v>
      </x:c>
      <x:c r="I119" s="477"/>
      <x:c r="J119" s="477"/>
      <x:c r="K119" s="479" t="str">
        <x:v>Agrupa historias relacionadas</x:v>
      </x:c>
    </x:row>
    <x:row r="120" ht="30" customHeight="1">
      <x:c r="A120" s="484" t="n">
        <x:v>116</x:v>
      </x:c>
      <x:c r="B120" s="485" t="n">
        <x:v>3</x:v>
      </x:c>
      <x:c r="C120" s="485" t="str">
        <x:v>Recolección y liquidación de leche</x:v>
      </x:c>
      <x:c r="D120" s="485" t="str">
        <x:v>Registro de recojos, calidad y liquidaciones</x:v>
      </x:c>
      <x:c r="E120" s="485" t="str">
        <x:v>        Historia: Registro de recojos, calidad y liquidaciones</x:v>
      </x:c>
      <x:c r="F120" s="485"/>
      <x:c r="G120" s="486" t="n">
        <x:v>46290</x:v>
      </x:c>
      <x:c r="H120" s="486" t="n">
        <x:v>46291</x:v>
      </x:c>
      <x:c r="I120" s="485"/>
      <x:c r="J120" s="485"/>
      <x:c r="K120" s="487" t="str">
        <x:v>Funcionalidad / resultado esperado</x:v>
      </x:c>
    </x:row>
    <x:row r="121" ht="30" customHeight="1">
      <x:c r="A121" s="448" t="n">
        <x:v>117</x:v>
      </x:c>
      <x:c r="B121" s="449" t="n">
        <x:v>4</x:v>
      </x:c>
      <x:c r="C121" s="449" t="str">
        <x:v>Recolección y liquidación de leche</x:v>
      </x:c>
      <x:c r="D121" s="449" t="str">
        <x:v>Registro de recojos, calidad y liquidaciones</x:v>
      </x:c>
      <x:c r="E121" s="449" t="str">
        <x:v>            Móvil: Pantalla de historial de recojos y reportes personales</x:v>
      </x:c>
      <x:c r="F121" s="449" t="n">
        <x:v>2</x:v>
      </x:c>
      <x:c r="G121" s="450" t="n">
        <x:v>46290</x:v>
      </x:c>
      <x:c r="H121" s="450" t="n">
        <x:v>46291</x:v>
      </x:c>
      <x:c r="I121" s="449" t="str">
        <x:v>94</x:v>
      </x:c>
      <x:c r="J121" s="449" t="str">
        <x:v>Desarrollador Móvil</x:v>
      </x:c>
      <x:c r="K121" s="451" t="str">
        <x:v>Pantalla de Historial</x:v>
      </x:c>
    </x:row>
    <x:row r="122" ht="30" customHeight="1">
      <x:c r="A122" s="476" t="n">
        <x:v>118</x:v>
      </x:c>
      <x:c r="B122" s="477" t="n">
        <x:v>2</x:v>
      </x:c>
      <x:c r="C122" s="477" t="str">
        <x:v>Experiencia de usuario (UX/UI)</x:v>
      </x:c>
      <x:c r="D122" s="477"/>
      <x:c r="E122" s="477" t="str">
        <x:v>    Experiencia de usuario (UX/UI)</x:v>
      </x:c>
      <x:c r="F122" s="477"/>
      <x:c r="G122" s="478" t="n">
        <x:v>46292</x:v>
      </x:c>
      <x:c r="H122" s="478" t="n">
        <x:v>46292</x:v>
      </x:c>
      <x:c r="I122" s="477"/>
      <x:c r="J122" s="477"/>
      <x:c r="K122" s="479" t="str">
        <x:v>Agrupa historias relacionadas</x:v>
      </x:c>
    </x:row>
    <x:row r="123" ht="30" customHeight="1">
      <x:c r="A123" s="484" t="n">
        <x:v>119</x:v>
      </x:c>
      <x:c r="B123" s="485" t="n">
        <x:v>3</x:v>
      </x:c>
      <x:c r="C123" s="485" t="str">
        <x:v>Experiencia de usuario (UX/UI)</x:v>
      </x:c>
      <x:c r="D123" s="485" t="str">
        <x:v>Diseño y validación de interfaces</x:v>
      </x:c>
      <x:c r="E123" s="485" t="str">
        <x:v>        Historia: Diseño y validación de interfaces</x:v>
      </x:c>
      <x:c r="F123" s="485"/>
      <x:c r="G123" s="486" t="n">
        <x:v>46292</x:v>
      </x:c>
      <x:c r="H123" s="486" t="n">
        <x:v>46292</x:v>
      </x:c>
      <x:c r="I123" s="485"/>
      <x:c r="J123" s="485"/>
      <x:c r="K123" s="487" t="str">
        <x:v>Funcionalidad / resultado esperado</x:v>
      </x:c>
    </x:row>
    <x:row r="124" ht="30" customHeight="1">
      <x:c r="A124" s="448" t="n">
        <x:v>120</x:v>
      </x:c>
      <x:c r="B124" s="449" t="n">
        <x:v>4</x:v>
      </x:c>
      <x:c r="C124" s="449" t="str">
        <x:v>Experiencia de usuario (UX/UI)</x:v>
      </x:c>
      <x:c r="D124" s="449" t="str">
        <x:v>Diseño y validación de interfaces</x:v>
      </x:c>
      <x:c r="E124" s="449" t="str">
        <x:v>            Ajustes de UI/UX según pruebas internas (Web y Móvil)</x:v>
      </x:c>
      <x:c r="F124" s="449" t="n">
        <x:v>1</x:v>
      </x:c>
      <x:c r="G124" s="450" t="n">
        <x:v>46292</x:v>
      </x:c>
      <x:c r="H124" s="450" t="n">
        <x:v>46292</x:v>
      </x:c>
      <x:c r="I124" s="449" t="str">
        <x:v>110,111,112,113</x:v>
      </x:c>
      <x:c r="J124" s="449" t="str">
        <x:v>Diseñador UX/UI</x:v>
      </x:c>
      <x:c r="K124" s="451" t="str">
        <x:v>Ajustes aplicados</x:v>
      </x:c>
    </x:row>
    <x:row r="125" ht="30" customHeight="1">
      <x:c r="A125" s="476" t="n">
        <x:v>121</x:v>
      </x:c>
      <x:c r="B125" s="477" t="n">
        <x:v>2</x:v>
      </x:c>
      <x:c r="C125" s="477" t="str">
        <x:v>Gestión del proyecto</x:v>
      </x:c>
      <x:c r="D125" s="477"/>
      <x:c r="E125" s="477" t="str">
        <x:v>    Gestión del proyecto</x:v>
      </x:c>
      <x:c r="F125" s="477"/>
      <x:c r="G125" s="478" t="n">
        <x:v>46293</x:v>
      </x:c>
      <x:c r="H125" s="478" t="n">
        <x:v>46293</x:v>
      </x:c>
      <x:c r="I125" s="477"/>
      <x:c r="J125" s="477"/>
      <x:c r="K125" s="479" t="str">
        <x:v>Agrupa historias relacionadas</x:v>
      </x:c>
    </x:row>
    <x:row r="126" ht="30" customHeight="1">
      <x:c r="A126" s="484" t="n">
        <x:v>122</x:v>
      </x:c>
      <x:c r="B126" s="485" t="n">
        <x:v>3</x:v>
      </x:c>
      <x:c r="C126" s="485" t="str">
        <x:v>Gestión del proyecto</x:v>
      </x:c>
      <x:c r="D126" s="485" t="str">
        <x:v>Actividad de gestión</x:v>
      </x:c>
      <x:c r="E126" s="485" t="str">
        <x:v>        Historia: Actividad de gestión</x:v>
      </x:c>
      <x:c r="F126" s="485"/>
      <x:c r="G126" s="486" t="n">
        <x:v>46293</x:v>
      </x:c>
      <x:c r="H126" s="486" t="n">
        <x:v>46293</x:v>
      </x:c>
      <x:c r="I126" s="485"/>
      <x:c r="J126" s="485"/>
      <x:c r="K126" s="487" t="str">
        <x:v>Funcionalidad / resultado esperado</x:v>
      </x:c>
    </x:row>
    <x:row r="127" ht="30" customHeight="1">
      <x:c r="A127" s="448" t="n">
        <x:v>123</x:v>
      </x:c>
      <x:c r="B127" s="449" t="n">
        <x:v>4</x:v>
      </x:c>
      <x:c r="C127" s="449" t="str">
        <x:v>Gestión del proyecto</x:v>
      </x:c>
      <x:c r="D127" s="449" t="str">
        <x:v>Actividad de gestión</x:v>
      </x:c>
      <x:c r="E127" s="449" t="str">
        <x:v>            Congelamiento de funcionalidades (Feature Freeze)</x:v>
      </x:c>
      <x:c r="F127" s="449" t="n">
        <x:v>1</x:v>
      </x:c>
      <x:c r="G127" s="450" t="n">
        <x:v>46293</x:v>
      </x:c>
      <x:c r="H127" s="450" t="n">
        <x:v>46293</x:v>
      </x:c>
      <x:c r="I127" s="449" t="str">
        <x:v>114,117</x:v>
      </x:c>
      <x:c r="J127" s="449" t="str">
        <x:v>Jefe de Proyecto</x:v>
      </x:c>
      <x:c r="K127" s="451" t="str">
        <x:v>Alcance funcional cerrado</x:v>
      </x:c>
    </x:row>
    <x:row r="128" ht="30" customHeight="1">
      <x:c r="A128" s="468" t="n">
        <x:v>124</x:v>
      </x:c>
      <x:c r="B128" s="469" t="n">
        <x:v>1</x:v>
      </x:c>
      <x:c r="C128" s="469"/>
      <x:c r="D128" s="469"/>
      <x:c r="E128" s="469" t="str">
        <x:v>Sprint 7</x:v>
      </x:c>
      <x:c r="F128" s="469"/>
      <x:c r="G128" s="470" t="n">
        <x:v>46295</x:v>
      </x:c>
      <x:c r="H128" s="470" t="n">
        <x:v>46301</x:v>
      </x:c>
      <x:c r="I128" s="469"/>
      <x:c r="J128" s="469"/>
      <x:c r="K128" s="471" t="str">
        <x:v>Periodo / time-box Scrum</x:v>
      </x:c>
    </x:row>
    <x:row r="129" ht="30" customHeight="1">
      <x:c r="A129" s="476" t="n">
        <x:v>125</x:v>
      </x:c>
      <x:c r="B129" s="477" t="n">
        <x:v>2</x:v>
      </x:c>
      <x:c r="C129" s="477" t="str">
        <x:v>Gestión y definición del producto</x:v>
      </x:c>
      <x:c r="D129" s="477"/>
      <x:c r="E129" s="477" t="str">
        <x:v>    Gestión y definición del producto</x:v>
      </x:c>
      <x:c r="F129" s="477"/>
      <x:c r="G129" s="478" t="n">
        <x:v>46295</x:v>
      </x:c>
      <x:c r="H129" s="478" t="n">
        <x:v>46301</x:v>
      </x:c>
      <x:c r="I129" s="477"/>
      <x:c r="J129" s="477"/>
      <x:c r="K129" s="479" t="str">
        <x:v>Agrupa historias relacionadas</x:v>
      </x:c>
    </x:row>
    <x:row r="130" ht="30" customHeight="1">
      <x:c r="A130" s="484" t="n">
        <x:v>126</x:v>
      </x:c>
      <x:c r="B130" s="485" t="n">
        <x:v>3</x:v>
      </x:c>
      <x:c r="C130" s="485" t="str">
        <x:v>Gestión y definición del producto</x:v>
      </x:c>
      <x:c r="D130" s="485" t="str">
        <x:v>Gestión del proyecto y requisitos</x:v>
      </x:c>
      <x:c r="E130" s="485" t="str">
        <x:v>        Historia: Gestión del proyecto y requisitos</x:v>
      </x:c>
      <x:c r="F130" s="485"/>
      <x:c r="G130" s="486" t="n">
        <x:v>46295</x:v>
      </x:c>
      <x:c r="H130" s="486" t="n">
        <x:v>46301</x:v>
      </x:c>
      <x:c r="I130" s="485"/>
      <x:c r="J130" s="485"/>
      <x:c r="K130" s="487" t="str">
        <x:v>Funcionalidad / resultado esperado</x:v>
      </x:c>
    </x:row>
    <x:row r="131" ht="30" customHeight="1">
      <x:c r="A131" s="448" t="n">
        <x:v>127</x:v>
      </x:c>
      <x:c r="B131" s="449" t="n">
        <x:v>4</x:v>
      </x:c>
      <x:c r="C131" s="449" t="str">
        <x:v>Gestión y definición del producto</x:v>
      </x:c>
      <x:c r="D131" s="449" t="str">
        <x:v>Gestión del proyecto y requisitos</x:v>
      </x:c>
      <x:c r="E131" s="449" t="str">
        <x:v>            Sprint Planning Sprint 7 (Sprint de Estabilización / QA)</x:v>
      </x:c>
      <x:c r="F131" s="449" t="n">
        <x:v>1</x:v>
      </x:c>
      <x:c r="G131" s="450" t="n">
        <x:v>46295</x:v>
      </x:c>
      <x:c r="H131" s="450" t="n">
        <x:v>46295</x:v>
      </x:c>
      <x:c r="I131" s="449" t="str">
        <x:v>123</x:v>
      </x:c>
      <x:c r="J131" s="449" t="str">
        <x:v>Scrum Master</x:v>
      </x:c>
      <x:c r="K131" s="451" t="str">
        <x:v>Sprint Backlog 7</x:v>
      </x:c>
    </x:row>
    <x:row r="132" ht="30" customHeight="1">
      <x:c r="A132" s="448" t="n">
        <x:v>128</x:v>
      </x:c>
      <x:c r="B132" s="449" t="n">
        <x:v>4</x:v>
      </x:c>
      <x:c r="C132" s="449" t="str">
        <x:v>Gestión y definición del producto</x:v>
      </x:c>
      <x:c r="D132" s="449" t="str">
        <x:v>Gestión del proyecto y requisitos</x:v>
      </x:c>
      <x:c r="E132" s="449" t="str">
        <x:v>            Registro y priorización de incidencias/bugs detectados</x:v>
      </x:c>
      <x:c r="F132" s="449" t="n">
        <x:v>1</x:v>
      </x:c>
      <x:c r="G132" s="450" t="n">
        <x:v>46298</x:v>
      </x:c>
      <x:c r="H132" s="450" t="n">
        <x:v>46298</x:v>
      </x:c>
      <x:c r="I132" s="449" t="str">
        <x:v>135</x:v>
      </x:c>
      <x:c r="J132" s="449" t="str">
        <x:v>QA Tester</x:v>
      </x:c>
      <x:c r="K132" s="451" t="str">
        <x:v>Backlog de bugs</x:v>
      </x:c>
    </x:row>
    <x:row r="133" ht="30" customHeight="1">
      <x:c r="A133" s="448" t="n">
        <x:v>129</x:v>
      </x:c>
      <x:c r="B133" s="449" t="n">
        <x:v>4</x:v>
      </x:c>
      <x:c r="C133" s="449" t="str">
        <x:v>Gestión y definición del producto</x:v>
      </x:c>
      <x:c r="D133" s="449" t="str">
        <x:v>Gestión del proyecto y requisitos</x:v>
      </x:c>
      <x:c r="E133" s="449" t="str">
        <x:v>            Sprint Review + Retrospectiva Sprint 7</x:v>
      </x:c>
      <x:c r="F133" s="449" t="n">
        <x:v>1</x:v>
      </x:c>
      <x:c r="G133" s="450" t="n">
        <x:v>46301</x:v>
      </x:c>
      <x:c r="H133" s="450" t="n">
        <x:v>46301</x:v>
      </x:c>
      <x:c r="I133" s="449" t="str">
        <x:v>138,141,144</x:v>
      </x:c>
      <x:c r="J133" s="449" t="str">
        <x:v>Scrum Master</x:v>
      </x:c>
      <x:c r="K133" s="451" t="str">
        <x:v>Acta de Sprint Review</x:v>
      </x:c>
    </x:row>
    <x:row r="134" ht="30" customHeight="1">
      <x:c r="A134" s="476" t="n">
        <x:v>130</x:v>
      </x:c>
      <x:c r="B134" s="477" t="n">
        <x:v>2</x:v>
      </x:c>
      <x:c r="C134" s="477" t="str">
        <x:v>Calidad y estabilización</x:v>
      </x:c>
      <x:c r="D134" s="477"/>
      <x:c r="E134" s="477" t="str">
        <x:v>    Calidad y estabilización</x:v>
      </x:c>
      <x:c r="F134" s="477"/>
      <x:c r="G134" s="478" t="n">
        <x:v>46295</x:v>
      </x:c>
      <x:c r="H134" s="478" t="n">
        <x:v>46300</x:v>
      </x:c>
      <x:c r="I134" s="477"/>
      <x:c r="J134" s="477"/>
      <x:c r="K134" s="479" t="str">
        <x:v>Agrupa historias relacionadas</x:v>
      </x:c>
    </x:row>
    <x:row r="135" ht="30" customHeight="1">
      <x:c r="A135" s="484" t="n">
        <x:v>131</x:v>
      </x:c>
      <x:c r="B135" s="485" t="n">
        <x:v>3</x:v>
      </x:c>
      <x:c r="C135" s="485" t="str">
        <x:v>Calidad y estabilización</x:v>
      </x:c>
      <x:c r="D135" s="485" t="str">
        <x:v>Pruebas, aceptación y corrección de incidencias</x:v>
      </x:c>
      <x:c r="E135" s="485" t="str">
        <x:v>        Historia: Pruebas, aceptación y corrección de incidencias</x:v>
      </x:c>
      <x:c r="F135" s="485"/>
      <x:c r="G135" s="486" t="n">
        <x:v>46295</x:v>
      </x:c>
      <x:c r="H135" s="486" t="n">
        <x:v>46300</x:v>
      </x:c>
      <x:c r="I135" s="485"/>
      <x:c r="J135" s="485"/>
      <x:c r="K135" s="487" t="str">
        <x:v>Funcionalidad / resultado esperado</x:v>
      </x:c>
    </x:row>
    <x:row r="136" ht="30" customHeight="1">
      <x:c r="A136" s="448" t="n">
        <x:v>132</x:v>
      </x:c>
      <x:c r="B136" s="449" t="n">
        <x:v>4</x:v>
      </x:c>
      <x:c r="C136" s="449" t="str">
        <x:v>Calidad y estabilización</x:v>
      </x:c>
      <x:c r="D136" s="449" t="str">
        <x:v>Pruebas, aceptación y corrección de incidencias</x:v>
      </x:c>
      <x:c r="E136" s="449" t="str">
        <x:v>            Elaboración del Plan de Pruebas y Casos de Prueba (basados en RF)</x:v>
      </x:c>
      <x:c r="F136" s="449" t="n">
        <x:v>1</x:v>
      </x:c>
      <x:c r="G136" s="450" t="n">
        <x:v>46295</x:v>
      </x:c>
      <x:c r="H136" s="450" t="n">
        <x:v>46295</x:v>
      </x:c>
      <x:c r="I136" s="449" t="str">
        <x:v>127</x:v>
      </x:c>
      <x:c r="J136" s="449" t="str">
        <x:v>QA Tester</x:v>
      </x:c>
      <x:c r="K136" s="451" t="str">
        <x:v>Plan de pruebas</x:v>
      </x:c>
    </x:row>
    <x:row r="137" ht="30" customHeight="1">
      <x:c r="A137" s="448" t="n">
        <x:v>133</x:v>
      </x:c>
      <x:c r="B137" s="449" t="n">
        <x:v>4</x:v>
      </x:c>
      <x:c r="C137" s="449" t="str">
        <x:v>Calidad y estabilización</x:v>
      </x:c>
      <x:c r="D137" s="449" t="str">
        <x:v>Pruebas, aceptación y corrección de incidencias</x:v>
      </x:c>
      <x:c r="E137" s="449" t="str">
        <x:v>            Pruebas de integración Backend - Web (end to end)</x:v>
      </x:c>
      <x:c r="F137" s="449" t="n">
        <x:v>1</x:v>
      </x:c>
      <x:c r="G137" s="450" t="n">
        <x:v>46296</x:v>
      </x:c>
      <x:c r="H137" s="450" t="n">
        <x:v>46296</x:v>
      </x:c>
      <x:c r="I137" s="449" t="str">
        <x:v>128</x:v>
      </x:c>
      <x:c r="J137" s="449" t="str">
        <x:v>QA Tester</x:v>
      </x:c>
      <x:c r="K137" s="451" t="str">
        <x:v>Reporte de integración Web</x:v>
      </x:c>
    </x:row>
    <x:row r="138" ht="30" customHeight="1">
      <x:c r="A138" s="448" t="n">
        <x:v>134</x:v>
      </x:c>
      <x:c r="B138" s="449" t="n">
        <x:v>4</x:v>
      </x:c>
      <x:c r="C138" s="449" t="str">
        <x:v>Calidad y estabilización</x:v>
      </x:c>
      <x:c r="D138" s="449" t="str">
        <x:v>Pruebas, aceptación y corrección de incidencias</x:v>
      </x:c>
      <x:c r="E138" s="449" t="str">
        <x:v>            Pruebas de integración Backend - Móvil (end to end, incluye sync offline)</x:v>
      </x:c>
      <x:c r="F138" s="449" t="n">
        <x:v>1</x:v>
      </x:c>
      <x:c r="G138" s="450" t="n">
        <x:v>46296</x:v>
      </x:c>
      <x:c r="H138" s="450" t="n">
        <x:v>46296</x:v>
      </x:c>
      <x:c r="I138" s="449" t="str">
        <x:v>128</x:v>
      </x:c>
      <x:c r="J138" s="449" t="str">
        <x:v>QA Tester</x:v>
      </x:c>
      <x:c r="K138" s="451" t="str">
        <x:v>Reporte de integración Móvil</x:v>
      </x:c>
    </x:row>
    <x:row r="139" ht="30" customHeight="1">
      <x:c r="A139" s="448" t="n">
        <x:v>135</x:v>
      </x:c>
      <x:c r="B139" s="449" t="n">
        <x:v>4</x:v>
      </x:c>
      <x:c r="C139" s="449" t="str">
        <x:v>Calidad y estabilización</x:v>
      </x:c>
      <x:c r="D139" s="449" t="str">
        <x:v>Pruebas, aceptación y corrección de incidencias</x:v>
      </x:c>
      <x:c r="E139" s="449" t="str">
        <x:v>            Pruebas funcionales completas (todos los módulos)</x:v>
      </x:c>
      <x:c r="F139" s="449" t="n">
        <x:v>1</x:v>
      </x:c>
      <x:c r="G139" s="450" t="n">
        <x:v>46297</x:v>
      </x:c>
      <x:c r="H139" s="450" t="n">
        <x:v>46297</x:v>
      </x:c>
      <x:c r="I139" s="449" t="str">
        <x:v>129,132</x:v>
      </x:c>
      <x:c r="J139" s="449" t="str">
        <x:v>QA Tester</x:v>
      </x:c>
      <x:c r="K139" s="451" t="str">
        <x:v>Reporte de pruebas funcionales</x:v>
      </x:c>
    </x:row>
    <x:row r="140" ht="30" customHeight="1">
      <x:c r="A140" s="448" t="n">
        <x:v>136</x:v>
      </x:c>
      <x:c r="B140" s="449" t="n">
        <x:v>4</x:v>
      </x:c>
      <x:c r="C140" s="449" t="str">
        <x:v>Calidad y estabilización</x:v>
      </x:c>
      <x:c r="D140" s="449" t="str">
        <x:v>Pruebas, aceptación y corrección de incidencias</x:v>
      </x:c>
      <x:c r="E140" s="449" t="str">
        <x:v>            Pruebas de aceptación de usuario (UAT) con usuarios reales en Huata</x:v>
      </x:c>
      <x:c r="F140" s="449" t="n">
        <x:v>1</x:v>
      </x:c>
      <x:c r="G140" s="450" t="n">
        <x:v>46298</x:v>
      </x:c>
      <x:c r="H140" s="450" t="n">
        <x:v>46298</x:v>
      </x:c>
      <x:c r="I140" s="449" t="str">
        <x:v>133,134</x:v>
      </x:c>
      <x:c r="J140" s="449" t="str">
        <x:v>Product Owner / Usuarios finales</x:v>
      </x:c>
      <x:c r="K140" s="451" t="str">
        <x:v>Acta de UAT</x:v>
      </x:c>
    </x:row>
    <x:row r="141" ht="30" customHeight="1">
      <x:c r="A141" s="448" t="n">
        <x:v>137</x:v>
      </x:c>
      <x:c r="B141" s="449" t="n">
        <x:v>4</x:v>
      </x:c>
      <x:c r="C141" s="449" t="str">
        <x:v>Calidad y estabilización</x:v>
      </x:c>
      <x:c r="D141" s="449" t="str">
        <x:v>Pruebas, aceptación y corrección de incidencias</x:v>
      </x:c>
      <x:c r="E141" s="449" t="str">
        <x:v>            Corrección de bugs críticos y altos</x:v>
      </x:c>
      <x:c r="F141" s="449" t="n">
        <x:v>2</x:v>
      </x:c>
      <x:c r="G141" s="450" t="n">
        <x:v>46299</x:v>
      </x:c>
      <x:c r="H141" s="450" t="n">
        <x:v>46300</x:v>
      </x:c>
      <x:c r="I141" s="449" t="str">
        <x:v>136</x:v>
      </x:c>
      <x:c r="J141" s="449" t="str">
        <x:v>Equipo de Desarrollo</x:v>
      </x:c>
      <x:c r="K141" s="451" t="str">
        <x:v>Bugs corregidos</x:v>
      </x:c>
    </x:row>
    <x:row r="142" ht="30" customHeight="1">
      <x:c r="A142" s="448" t="n">
        <x:v>138</x:v>
      </x:c>
      <x:c r="B142" s="449" t="n">
        <x:v>4</x:v>
      </x:c>
      <x:c r="C142" s="449" t="str">
        <x:v>Calidad y estabilización</x:v>
      </x:c>
      <x:c r="D142" s="449" t="str">
        <x:v>Pruebas, aceptación y corrección de incidencias</x:v>
      </x:c>
      <x:c r="E142" s="449" t="str">
        <x:v>            Pruebas de regresión</x:v>
      </x:c>
      <x:c r="F142" s="449" t="n">
        <x:v>1</x:v>
      </x:c>
      <x:c r="G142" s="450" t="n">
        <x:v>46300</x:v>
      </x:c>
      <x:c r="H142" s="450" t="n">
        <x:v>46300</x:v>
      </x:c>
      <x:c r="I142" s="449" t="str">
        <x:v>137</x:v>
      </x:c>
      <x:c r="J142" s="449" t="str">
        <x:v>QA Tester</x:v>
      </x:c>
      <x:c r="K142" s="451" t="str">
        <x:v>Reporte de regresión</x:v>
      </x:c>
    </x:row>
    <x:row r="143" ht="30" customHeight="1">
      <x:c r="A143" s="476" t="n">
        <x:v>139</x:v>
      </x:c>
      <x:c r="B143" s="477" t="n">
        <x:v>2</x:v>
      </x:c>
      <x:c r="C143" s="477" t="str">
        <x:v>Plataforma y arquitectura técnica</x:v>
      </x:c>
      <x:c r="D143" s="477"/>
      <x:c r="E143" s="477" t="str">
        <x:v>    Plataforma y arquitectura técnica</x:v>
      </x:c>
      <x:c r="F143" s="477"/>
      <x:c r="G143" s="478" t="n">
        <x:v>46297</x:v>
      </x:c>
      <x:c r="H143" s="478" t="n">
        <x:v>46297</x:v>
      </x:c>
      <x:c r="I143" s="477"/>
      <x:c r="J143" s="477"/>
      <x:c r="K143" s="479" t="str">
        <x:v>Agrupa historias relacionadas</x:v>
      </x:c>
    </x:row>
    <x:row r="144" ht="30" customHeight="1">
      <x:c r="A144" s="484" t="n">
        <x:v>140</x:v>
      </x:c>
      <x:c r="B144" s="485" t="n">
        <x:v>3</x:v>
      </x:c>
      <x:c r="C144" s="485" t="str">
        <x:v>Plataforma y arquitectura técnica</x:v>
      </x:c>
      <x:c r="D144" s="485" t="str">
        <x:v>Preparación de arquitectura y entornos</x:v>
      </x:c>
      <x:c r="E144" s="485" t="str">
        <x:v>        Historia: Preparación de arquitectura y entornos</x:v>
      </x:c>
      <x:c r="F144" s="485"/>
      <x:c r="G144" s="486" t="n">
        <x:v>46297</x:v>
      </x:c>
      <x:c r="H144" s="486" t="n">
        <x:v>46297</x:v>
      </x:c>
      <x:c r="I144" s="485"/>
      <x:c r="J144" s="485"/>
      <x:c r="K144" s="487" t="str">
        <x:v>Funcionalidad / resultado esperado</x:v>
      </x:c>
    </x:row>
    <x:row r="145" ht="30" customHeight="1">
      <x:c r="A145" s="448" t="n">
        <x:v>141</x:v>
      </x:c>
      <x:c r="B145" s="449" t="n">
        <x:v>4</x:v>
      </x:c>
      <x:c r="C145" s="449" t="str">
        <x:v>Plataforma y arquitectura técnica</x:v>
      </x:c>
      <x:c r="D145" s="449" t="str">
        <x:v>Preparación de arquitectura y entornos</x:v>
      </x:c>
      <x:c r="E145" s="449" t="str">
        <x:v>            Pruebas no funcionales (rendimiento, seguridad, usabilidad)</x:v>
      </x:c>
      <x:c r="F145" s="449" t="n">
        <x:v>1</x:v>
      </x:c>
      <x:c r="G145" s="450" t="n">
        <x:v>46297</x:v>
      </x:c>
      <x:c r="H145" s="450" t="n">
        <x:v>46297</x:v>
      </x:c>
      <x:c r="I145" s="449" t="str">
        <x:v>129,132</x:v>
      </x:c>
      <x:c r="J145" s="449" t="str">
        <x:v>QA Tester</x:v>
      </x:c>
      <x:c r="K145" s="451" t="str">
        <x:v>Reporte de pruebas no funcionales</x:v>
      </x:c>
    </x:row>
    <x:row r="146" ht="30" customHeight="1">
      <x:c r="A146" s="476" t="n">
        <x:v>142</x:v>
      </x:c>
      <x:c r="B146" s="477" t="n">
        <x:v>2</x:v>
      </x:c>
      <x:c r="C146" s="477" t="str">
        <x:v>Documentación</x:v>
      </x:c>
      <x:c r="D146" s="477"/>
      <x:c r="E146" s="477" t="str">
        <x:v>    Documentación</x:v>
      </x:c>
      <x:c r="F146" s="477"/>
      <x:c r="G146" s="478" t="n">
        <x:v>46299</x:v>
      </x:c>
      <x:c r="H146" s="478" t="n">
        <x:v>46299</x:v>
      </x:c>
      <x:c r="I146" s="477"/>
      <x:c r="J146" s="477"/>
      <x:c r="K146" s="479" t="str">
        <x:v>Agrupa historias relacionadas</x:v>
      </x:c>
    </x:row>
    <x:row r="147" ht="30" customHeight="1">
      <x:c r="A147" s="484" t="n">
        <x:v>143</x:v>
      </x:c>
      <x:c r="B147" s="485" t="n">
        <x:v>3</x:v>
      </x:c>
      <x:c r="C147" s="485" t="str">
        <x:v>Documentación</x:v>
      </x:c>
      <x:c r="D147" s="485" t="str">
        <x:v>Documentación técnica y de usuario</x:v>
      </x:c>
      <x:c r="E147" s="485" t="str">
        <x:v>        Historia: Documentación técnica y de usuario</x:v>
      </x:c>
      <x:c r="F147" s="485"/>
      <x:c r="G147" s="486" t="n">
        <x:v>46299</x:v>
      </x:c>
      <x:c r="H147" s="486" t="n">
        <x:v>46299</x:v>
      </x:c>
      <x:c r="I147" s="485"/>
      <x:c r="J147" s="485"/>
      <x:c r="K147" s="487" t="str">
        <x:v>Funcionalidad / resultado esperado</x:v>
      </x:c>
    </x:row>
    <x:row r="148" ht="30" customHeight="1">
      <x:c r="A148" s="448" t="n">
        <x:v>144</x:v>
      </x:c>
      <x:c r="B148" s="449" t="n">
        <x:v>4</x:v>
      </x:c>
      <x:c r="C148" s="449" t="str">
        <x:v>Documentación</x:v>
      </x:c>
      <x:c r="D148" s="449" t="str">
        <x:v>Documentación técnica y de usuario</x:v>
      </x:c>
      <x:c r="E148" s="449" t="str">
        <x:v>            Elaboración del Manual de Usuario (Web y Móvil)</x:v>
      </x:c>
      <x:c r="F148" s="449" t="n">
        <x:v>1</x:v>
      </x:c>
      <x:c r="G148" s="450" t="n">
        <x:v>46299</x:v>
      </x:c>
      <x:c r="H148" s="450" t="n">
        <x:v>46299</x:v>
      </x:c>
      <x:c r="I148" s="449" t="str">
        <x:v>133</x:v>
      </x:c>
      <x:c r="J148" s="449" t="str">
        <x:v>Analista Funcional</x:v>
      </x:c>
      <x:c r="K148" s="451" t="str">
        <x:v>Manual de usuario</x:v>
      </x:c>
    </x:row>
    <x:row r="149" ht="30" customHeight="1">
      <x:c r="A149" s="448" t="n">
        <x:v>145</x:v>
      </x:c>
      <x:c r="B149" s="449" t="n">
        <x:v>4</x:v>
      </x:c>
      <x:c r="C149" s="449" t="str">
        <x:v>Documentación</x:v>
      </x:c>
      <x:c r="D149" s="449" t="str">
        <x:v>Documentación técnica y de usuario</x:v>
      </x:c>
      <x:c r="E149" s="449" t="str">
        <x:v>            Elaboración del Manual Técnico / Documento de instalación</x:v>
      </x:c>
      <x:c r="F149" s="449" t="n">
        <x:v>1</x:v>
      </x:c>
      <x:c r="G149" s="450" t="n">
        <x:v>46299</x:v>
      </x:c>
      <x:c r="H149" s="450" t="n">
        <x:v>46299</x:v>
      </x:c>
      <x:c r="I149" s="449" t="str">
        <x:v>137</x:v>
      </x:c>
      <x:c r="J149" s="449" t="str">
        <x:v>Líder Técnico</x:v>
      </x:c>
      <x:c r="K149" s="451" t="str">
        <x:v>Manual técnico</x:v>
      </x:c>
    </x:row>
    <x:row r="150" ht="30" customHeight="1">
      <x:c r="A150" s="468" t="n">
        <x:v>146</x:v>
      </x:c>
      <x:c r="B150" s="469" t="n">
        <x:v>1</x:v>
      </x:c>
      <x:c r="C150" s="469"/>
      <x:c r="D150" s="469"/>
      <x:c r="E150" s="469" t="str">
        <x:v>Sprint 8</x:v>
      </x:c>
      <x:c r="F150" s="469"/>
      <x:c r="G150" s="470" t="n">
        <x:v>46302</x:v>
      </x:c>
      <x:c r="H150" s="470" t="n">
        <x:v>46308</x:v>
      </x:c>
      <x:c r="I150" s="469"/>
      <x:c r="J150" s="469"/>
      <x:c r="K150" s="471" t="str">
        <x:v>Periodo / time-box Scrum</x:v>
      </x:c>
    </x:row>
    <x:row r="151" ht="30" customHeight="1">
      <x:c r="A151" s="476" t="n">
        <x:v>147</x:v>
      </x:c>
      <x:c r="B151" s="477" t="n">
        <x:v>2</x:v>
      </x:c>
      <x:c r="C151" s="477" t="str">
        <x:v>Gestión y definición del producto</x:v>
      </x:c>
      <x:c r="D151" s="477"/>
      <x:c r="E151" s="477" t="str">
        <x:v>    Gestión y definición del producto</x:v>
      </x:c>
      <x:c r="F151" s="477"/>
      <x:c r="G151" s="478" t="n">
        <x:v>46302</x:v>
      </x:c>
      <x:c r="H151" s="478" t="n">
        <x:v>46308</x:v>
      </x:c>
      <x:c r="I151" s="477"/>
      <x:c r="J151" s="477"/>
      <x:c r="K151" s="479" t="str">
        <x:v>Agrupa historias relacionadas</x:v>
      </x:c>
    </x:row>
    <x:row r="152" ht="30" customHeight="1">
      <x:c r="A152" s="484" t="n">
        <x:v>148</x:v>
      </x:c>
      <x:c r="B152" s="485" t="n">
        <x:v>3</x:v>
      </x:c>
      <x:c r="C152" s="485" t="str">
        <x:v>Gestión y definición del producto</x:v>
      </x:c>
      <x:c r="D152" s="485" t="str">
        <x:v>Gestión del proyecto y requisitos</x:v>
      </x:c>
      <x:c r="E152" s="485" t="str">
        <x:v>        Historia: Gestión del proyecto y requisitos</x:v>
      </x:c>
      <x:c r="F152" s="485"/>
      <x:c r="G152" s="486" t="n">
        <x:v>46302</x:v>
      </x:c>
      <x:c r="H152" s="486" t="n">
        <x:v>46308</x:v>
      </x:c>
      <x:c r="I152" s="485"/>
      <x:c r="J152" s="485"/>
      <x:c r="K152" s="487" t="str">
        <x:v>Funcionalidad / resultado esperado</x:v>
      </x:c>
    </x:row>
    <x:row r="153" ht="30" customHeight="1">
      <x:c r="A153" s="448" t="n">
        <x:v>149</x:v>
      </x:c>
      <x:c r="B153" s="449" t="n">
        <x:v>4</x:v>
      </x:c>
      <x:c r="C153" s="449" t="str">
        <x:v>Gestión y definición del producto</x:v>
      </x:c>
      <x:c r="D153" s="449" t="str">
        <x:v>Gestión del proyecto y requisitos</x:v>
      </x:c>
      <x:c r="E153" s="449" t="str">
        <x:v>            Sprint Planning Sprint 8 (Despliegue y Capacitación)</x:v>
      </x:c>
      <x:c r="F153" s="449" t="n">
        <x:v>1</x:v>
      </x:c>
      <x:c r="G153" s="450" t="n">
        <x:v>46302</x:v>
      </x:c>
      <x:c r="H153" s="450" t="n">
        <x:v>46302</x:v>
      </x:c>
      <x:c r="I153" s="449" t="str">
        <x:v>145</x:v>
      </x:c>
      <x:c r="J153" s="449" t="str">
        <x:v>Scrum Master</x:v>
      </x:c>
      <x:c r="K153" s="451" t="str">
        <x:v>Sprint Backlog 8</x:v>
      </x:c>
    </x:row>
    <x:row r="154" ht="30" customHeight="1">
      <x:c r="A154" s="448" t="n">
        <x:v>150</x:v>
      </x:c>
      <x:c r="B154" s="449" t="n">
        <x:v>4</x:v>
      </x:c>
      <x:c r="C154" s="449" t="str">
        <x:v>Gestión y definición del producto</x:v>
      </x:c>
      <x:c r="D154" s="449" t="str">
        <x:v>Gestión del proyecto y requisitos</x:v>
      </x:c>
      <x:c r="E154" s="449" t="str">
        <x:v>            Sprint Review + Retrospectiva Sprint 8</x:v>
      </x:c>
      <x:c r="F154" s="449" t="n">
        <x:v>1</x:v>
      </x:c>
      <x:c r="G154" s="450" t="n">
        <x:v>46308</x:v>
      </x:c>
      <x:c r="H154" s="450" t="n">
        <x:v>46308</x:v>
      </x:c>
      <x:c r="I154" s="449" t="str">
        <x:v>169</x:v>
      </x:c>
      <x:c r="J154" s="449" t="str">
        <x:v>Scrum Master</x:v>
      </x:c>
      <x:c r="K154" s="451" t="str">
        <x:v>Acta de Sprint Review</x:v>
      </x:c>
    </x:row>
    <x:row r="155" ht="30" customHeight="1">
      <x:c r="A155" s="476" t="n">
        <x:v>151</x:v>
      </x:c>
      <x:c r="B155" s="477" t="n">
        <x:v>2</x:v>
      </x:c>
      <x:c r="C155" s="477" t="str">
        <x:v>Puesta en producción</x:v>
      </x:c>
      <x:c r="D155" s="477"/>
      <x:c r="E155" s="477" t="str">
        <x:v>    Puesta en producción</x:v>
      </x:c>
      <x:c r="F155" s="477"/>
      <x:c r="G155" s="478" t="n">
        <x:v>46302</x:v>
      </x:c>
      <x:c r="H155" s="478" t="n">
        <x:v>46303</x:v>
      </x:c>
      <x:c r="I155" s="477"/>
      <x:c r="J155" s="477"/>
      <x:c r="K155" s="479" t="str">
        <x:v>Agrupa historias relacionadas</x:v>
      </x:c>
    </x:row>
    <x:row r="156" ht="30" customHeight="1">
      <x:c r="A156" s="484" t="n">
        <x:v>152</x:v>
      </x:c>
      <x:c r="B156" s="485" t="n">
        <x:v>3</x:v>
      </x:c>
      <x:c r="C156" s="485" t="str">
        <x:v>Puesta en producción</x:v>
      </x:c>
      <x:c r="D156" s="485" t="str">
        <x:v>Despliegue y validación en producción</x:v>
      </x:c>
      <x:c r="E156" s="485" t="str">
        <x:v>        Historia: Despliegue y validación en producción</x:v>
      </x:c>
      <x:c r="F156" s="485"/>
      <x:c r="G156" s="486" t="n">
        <x:v>46302</x:v>
      </x:c>
      <x:c r="H156" s="486" t="n">
        <x:v>46303</x:v>
      </x:c>
      <x:c r="I156" s="485"/>
      <x:c r="J156" s="485"/>
      <x:c r="K156" s="487" t="str">
        <x:v>Funcionalidad / resultado esperado</x:v>
      </x:c>
    </x:row>
    <x:row r="157" ht="30" customHeight="1">
      <x:c r="A157" s="448" t="n">
        <x:v>153</x:v>
      </x:c>
      <x:c r="B157" s="449" t="n">
        <x:v>4</x:v>
      </x:c>
      <x:c r="C157" s="449" t="str">
        <x:v>Puesta en producción</x:v>
      </x:c>
      <x:c r="D157" s="449" t="str">
        <x:v>Despliegue y validación en producción</x:v>
      </x:c>
      <x:c r="E157" s="449" t="str">
        <x:v>            Preparación del entorno de producción (servidor, dominio, certificado SSL)</x:v>
      </x:c>
      <x:c r="F157" s="449" t="n">
        <x:v>1</x:v>
      </x:c>
      <x:c r="G157" s="450" t="n">
        <x:v>46302</x:v>
      </x:c>
      <x:c r="H157" s="450" t="n">
        <x:v>46302</x:v>
      </x:c>
      <x:c r="I157" s="449" t="str">
        <x:v>149</x:v>
      </x:c>
      <x:c r="J157" s="449" t="str">
        <x:v>Líder Técnico</x:v>
      </x:c>
      <x:c r="K157" s="451" t="str">
        <x:v>Entorno de producción listo</x:v>
      </x:c>
    </x:row>
    <x:row r="158" ht="30" customHeight="1">
      <x:c r="A158" s="448" t="n">
        <x:v>154</x:v>
      </x:c>
      <x:c r="B158" s="449" t="n">
        <x:v>4</x:v>
      </x:c>
      <x:c r="C158" s="449" t="str">
        <x:v>Puesta en producción</x:v>
      </x:c>
      <x:c r="D158" s="449" t="str">
        <x:v>Despliegue y validación en producción</x:v>
      </x:c>
      <x:c r="E158" s="449" t="str">
        <x:v>            Despliegue del Backend en producción</x:v>
      </x:c>
      <x:c r="F158" s="449" t="n">
        <x:v>1</x:v>
      </x:c>
      <x:c r="G158" s="450" t="n">
        <x:v>46303</x:v>
      </x:c>
      <x:c r="H158" s="450" t="n">
        <x:v>46303</x:v>
      </x:c>
      <x:c r="I158" s="449" t="str">
        <x:v>150,138</x:v>
      </x:c>
      <x:c r="J158" s="449" t="str">
        <x:v>Desarrollador Backend</x:v>
      </x:c>
      <x:c r="K158" s="451" t="str">
        <x:v>Backend en producción</x:v>
      </x:c>
    </x:row>
    <x:row r="159" ht="30" customHeight="1">
      <x:c r="A159" s="448" t="n">
        <x:v>155</x:v>
      </x:c>
      <x:c r="B159" s="449" t="n">
        <x:v>4</x:v>
      </x:c>
      <x:c r="C159" s="449" t="str">
        <x:v>Puesta en producción</x:v>
      </x:c>
      <x:c r="D159" s="449" t="str">
        <x:v>Despliegue y validación en producción</x:v>
      </x:c>
      <x:c r="E159" s="449" t="str">
        <x:v>            Despliegue del Frontend Web en producción</x:v>
      </x:c>
      <x:c r="F159" s="449" t="n">
        <x:v>1</x:v>
      </x:c>
      <x:c r="G159" s="450" t="n">
        <x:v>46303</x:v>
      </x:c>
      <x:c r="H159" s="450" t="n">
        <x:v>46303</x:v>
      </x:c>
      <x:c r="I159" s="449" t="str">
        <x:v>153</x:v>
      </x:c>
      <x:c r="J159" s="449" t="str">
        <x:v>Desarrollador Front-end</x:v>
      </x:c>
      <x:c r="K159" s="451" t="str">
        <x:v>Web en producción</x:v>
      </x:c>
    </x:row>
    <x:row r="160" ht="30" customHeight="1">
      <x:c r="A160" s="476" t="n">
        <x:v>156</x:v>
      </x:c>
      <x:c r="B160" s="477" t="n">
        <x:v>2</x:v>
      </x:c>
      <x:c r="C160" s="477" t="str">
        <x:v>Gestión del proyecto</x:v>
      </x:c>
      <x:c r="D160" s="477"/>
      <x:c r="E160" s="477" t="str">
        <x:v>    Gestión del proyecto</x:v>
      </x:c>
      <x:c r="F160" s="477"/>
      <x:c r="G160" s="478" t="n">
        <x:v>46303</x:v>
      </x:c>
      <x:c r="H160" s="478" t="n">
        <x:v>46303</x:v>
      </x:c>
      <x:c r="I160" s="477"/>
      <x:c r="J160" s="477"/>
      <x:c r="K160" s="479" t="str">
        <x:v>Agrupa historias relacionadas</x:v>
      </x:c>
    </x:row>
    <x:row r="161" ht="30" customHeight="1">
      <x:c r="A161" s="484" t="n">
        <x:v>157</x:v>
      </x:c>
      <x:c r="B161" s="485" t="n">
        <x:v>3</x:v>
      </x:c>
      <x:c r="C161" s="485" t="str">
        <x:v>Gestión del proyecto</x:v>
      </x:c>
      <x:c r="D161" s="485" t="str">
        <x:v>Actividad de gestión</x:v>
      </x:c>
      <x:c r="E161" s="485" t="str">
        <x:v>        Historia: Actividad de gestión</x:v>
      </x:c>
      <x:c r="F161" s="485"/>
      <x:c r="G161" s="486" t="n">
        <x:v>46303</x:v>
      </x:c>
      <x:c r="H161" s="486" t="n">
        <x:v>46303</x:v>
      </x:c>
      <x:c r="I161" s="485"/>
      <x:c r="J161" s="485"/>
      <x:c r="K161" s="487" t="str">
        <x:v>Funcionalidad / resultado esperado</x:v>
      </x:c>
    </x:row>
    <x:row r="162" ht="30" customHeight="1">
      <x:c r="A162" s="448" t="n">
        <x:v>158</x:v>
      </x:c>
      <x:c r="B162" s="449" t="n">
        <x:v>4</x:v>
      </x:c>
      <x:c r="C162" s="449" t="str">
        <x:v>Gestión del proyecto</x:v>
      </x:c>
      <x:c r="D162" s="449" t="str">
        <x:v>Actividad de gestión</x:v>
      </x:c>
      <x:c r="E162" s="449" t="str">
        <x:v>            Generación y distribución de la app móvil (APK / paquete interno)</x:v>
      </x:c>
      <x:c r="F162" s="449" t="n">
        <x:v>1</x:v>
      </x:c>
      <x:c r="G162" s="450" t="n">
        <x:v>46303</x:v>
      </x:c>
      <x:c r="H162" s="450" t="n">
        <x:v>46303</x:v>
      </x:c>
      <x:c r="I162" s="449" t="str">
        <x:v>153</x:v>
      </x:c>
      <x:c r="J162" s="449" t="str">
        <x:v>Desarrollador Móvil</x:v>
      </x:c>
      <x:c r="K162" s="451" t="str">
        <x:v>App móvil distribuida</x:v>
      </x:c>
    </x:row>
    <x:row r="163" ht="30" customHeight="1">
      <x:c r="A163" s="476" t="n">
        <x:v>159</x:v>
      </x:c>
      <x:c r="B163" s="477" t="n">
        <x:v>2</x:v>
      </x:c>
      <x:c r="C163" s="477" t="str">
        <x:v>Gestión operativa</x:v>
      </x:c>
      <x:c r="D163" s="477"/>
      <x:c r="E163" s="477" t="str">
        <x:v>    Gestión operativa</x:v>
      </x:c>
      <x:c r="F163" s="477"/>
      <x:c r="G163" s="478" t="n">
        <x:v>46304</x:v>
      </x:c>
      <x:c r="H163" s="478" t="n">
        <x:v>46306</x:v>
      </x:c>
      <x:c r="I163" s="477"/>
      <x:c r="J163" s="477"/>
      <x:c r="K163" s="479" t="str">
        <x:v>Agrupa historias relacionadas</x:v>
      </x:c>
    </x:row>
    <x:row r="164" ht="30" customHeight="1">
      <x:c r="A164" s="484" t="n">
        <x:v>160</x:v>
      </x:c>
      <x:c r="B164" s="485" t="n">
        <x:v>3</x:v>
      </x:c>
      <x:c r="C164" s="485" t="str">
        <x:v>Gestión operativa</x:v>
      </x:c>
      <x:c r="D164" s="485" t="str">
        <x:v>Gestión de productores, acopiadores, rutas y centros</x:v>
      </x:c>
      <x:c r="E164" s="485" t="str">
        <x:v>        Historia: Gestión de productores, acopiadores, rutas y centros</x:v>
      </x:c>
      <x:c r="F164" s="485"/>
      <x:c r="G164" s="486" t="n">
        <x:v>46304</x:v>
      </x:c>
      <x:c r="H164" s="486" t="n">
        <x:v>46306</x:v>
      </x:c>
      <x:c r="I164" s="485"/>
      <x:c r="J164" s="485"/>
      <x:c r="K164" s="487" t="str">
        <x:v>Funcionalidad / resultado esperado</x:v>
      </x:c>
    </x:row>
    <x:row r="165" ht="30" customHeight="1">
      <x:c r="A165" s="448" t="n">
        <x:v>161</x:v>
      </x:c>
      <x:c r="B165" s="449" t="n">
        <x:v>4</x:v>
      </x:c>
      <x:c r="C165" s="449" t="str">
        <x:v>Gestión operativa</x:v>
      </x:c>
      <x:c r="D165" s="449" t="str">
        <x:v>Gestión de productores, acopiadores, rutas y centros</x:v>
      </x:c>
      <x:c r="E165" s="449" t="str">
        <x:v>            Migración y carga inicial de datos maestros (productores, rutas, centros de acopio)</x:v>
      </x:c>
      <x:c r="F165" s="449" t="n">
        <x:v>1</x:v>
      </x:c>
      <x:c r="G165" s="450" t="n">
        <x:v>46304</x:v>
      </x:c>
      <x:c r="H165" s="450" t="n">
        <x:v>46304</x:v>
      </x:c>
      <x:c r="I165" s="449" t="str">
        <x:v>153</x:v>
      </x:c>
      <x:c r="J165" s="449" t="str">
        <x:v>Desarrollador Backend</x:v>
      </x:c>
      <x:c r="K165" s="451" t="str">
        <x:v>Datos maestros cargados</x:v>
      </x:c>
    </x:row>
    <x:row r="166" ht="30" customHeight="1">
      <x:c r="A166" s="448" t="n">
        <x:v>162</x:v>
      </x:c>
      <x:c r="B166" s="449" t="n">
        <x:v>4</x:v>
      </x:c>
      <x:c r="C166" s="449" t="str">
        <x:v>Gestión operativa</x:v>
      </x:c>
      <x:c r="D166" s="449" t="str">
        <x:v>Gestión de productores, acopiadores, rutas y centros</x:v>
      </x:c>
      <x:c r="E166" s="449" t="str">
        <x:v>            Capacitación a acopiadores / usuarios finales (App Móvil) en Huata</x:v>
      </x:c>
      <x:c r="F166" s="449" t="n">
        <x:v>1</x:v>
      </x:c>
      <x:c r="G166" s="450" t="n">
        <x:v>46306</x:v>
      </x:c>
      <x:c r="H166" s="450" t="n">
        <x:v>46306</x:v>
      </x:c>
      <x:c r="I166" s="449" t="str">
        <x:v>161,162</x:v>
      </x:c>
      <x:c r="J166" s="449" t="str">
        <x:v>Analista Funcional</x:v>
      </x:c>
      <x:c r="K166" s="451" t="str">
        <x:v>Acta de capacitación Móvil</x:v>
      </x:c>
    </x:row>
    <x:row r="167" ht="30" customHeight="1">
      <x:c r="A167" s="476" t="n">
        <x:v>163</x:v>
      </x:c>
      <x:c r="B167" s="477" t="n">
        <x:v>2</x:v>
      </x:c>
      <x:c r="C167" s="477" t="str">
        <x:v>Calidad y estabilización</x:v>
      </x:c>
      <x:c r="D167" s="477"/>
      <x:c r="E167" s="477" t="str">
        <x:v>    Calidad y estabilización</x:v>
      </x:c>
      <x:c r="F167" s="477"/>
      <x:c r="G167" s="478" t="n">
        <x:v>46304</x:v>
      </x:c>
      <x:c r="H167" s="478" t="n">
        <x:v>46304</x:v>
      </x:c>
      <x:c r="I167" s="477"/>
      <x:c r="J167" s="477"/>
      <x:c r="K167" s="479" t="str">
        <x:v>Agrupa historias relacionadas</x:v>
      </x:c>
    </x:row>
    <x:row r="168" ht="30" customHeight="1">
      <x:c r="A168" s="484" t="n">
        <x:v>164</x:v>
      </x:c>
      <x:c r="B168" s="485" t="n">
        <x:v>3</x:v>
      </x:c>
      <x:c r="C168" s="485" t="str">
        <x:v>Calidad y estabilización</x:v>
      </x:c>
      <x:c r="D168" s="485" t="str">
        <x:v>Pruebas, aceptación y corrección de incidencias</x:v>
      </x:c>
      <x:c r="E168" s="485" t="str">
        <x:v>        Historia: Pruebas, aceptación y corrección de incidencias</x:v>
      </x:c>
      <x:c r="F168" s="485"/>
      <x:c r="G168" s="486" t="n">
        <x:v>46304</x:v>
      </x:c>
      <x:c r="H168" s="486" t="n">
        <x:v>46304</x:v>
      </x:c>
      <x:c r="I168" s="485"/>
      <x:c r="J168" s="485"/>
      <x:c r="K168" s="487" t="str">
        <x:v>Funcionalidad / resultado esperado</x:v>
      </x:c>
    </x:row>
    <x:row r="169" ht="30" customHeight="1">
      <x:c r="A169" s="448" t="n">
        <x:v>165</x:v>
      </x:c>
      <x:c r="B169" s="449" t="n">
        <x:v>4</x:v>
      </x:c>
      <x:c r="C169" s="449" t="str">
        <x:v>Calidad y estabilización</x:v>
      </x:c>
      <x:c r="D169" s="449" t="str">
        <x:v>Pruebas, aceptación y corrección de incidencias</x:v>
      </x:c>
      <x:c r="E169" s="449" t="str">
        <x:v>            Pruebas de humo (smoke testing) en producción</x:v>
      </x:c>
      <x:c r="F169" s="449" t="n">
        <x:v>1</x:v>
      </x:c>
      <x:c r="G169" s="450" t="n">
        <x:v>46304</x:v>
      </x:c>
      <x:c r="H169" s="450" t="n">
        <x:v>46304</x:v>
      </x:c>
      <x:c r="I169" s="449" t="str">
        <x:v>154,155,158</x:v>
      </x:c>
      <x:c r="J169" s="449" t="str">
        <x:v>QA Tester</x:v>
      </x:c>
      <x:c r="K169" s="451" t="str">
        <x:v>Reporte de smoke testing</x:v>
      </x:c>
    </x:row>
    <x:row r="170" ht="30" customHeight="1">
      <x:c r="A170" s="476" t="n">
        <x:v>166</x:v>
      </x:c>
      <x:c r="B170" s="477" t="n">
        <x:v>2</x:v>
      </x:c>
      <x:c r="C170" s="477" t="str">
        <x:v>Adopción y soporte</x:v>
      </x:c>
      <x:c r="D170" s="477"/>
      <x:c r="E170" s="477" t="str">
        <x:v>    Adopción y soporte</x:v>
      </x:c>
      <x:c r="F170" s="477"/>
      <x:c r="G170" s="478" t="n">
        <x:v>46303</x:v>
      </x:c>
      <x:c r="H170" s="478" t="n">
        <x:v>46307</x:v>
      </x:c>
      <x:c r="I170" s="477"/>
      <x:c r="J170" s="477"/>
      <x:c r="K170" s="479" t="str">
        <x:v>Agrupa historias relacionadas</x:v>
      </x:c>
    </x:row>
    <x:row r="171" ht="30" customHeight="1">
      <x:c r="A171" s="484" t="n">
        <x:v>167</x:v>
      </x:c>
      <x:c r="B171" s="485" t="n">
        <x:v>3</x:v>
      </x:c>
      <x:c r="C171" s="485" t="str">
        <x:v>Adopción y soporte</x:v>
      </x:c>
      <x:c r="D171" s="485" t="str">
        <x:v>Capacitación y soporte inicial</x:v>
      </x:c>
      <x:c r="E171" s="485" t="str">
        <x:v>        Historia: Capacitación y soporte inicial</x:v>
      </x:c>
      <x:c r="F171" s="485"/>
      <x:c r="G171" s="486" t="n">
        <x:v>46303</x:v>
      </x:c>
      <x:c r="H171" s="486" t="n">
        <x:v>46307</x:v>
      </x:c>
      <x:c r="I171" s="485"/>
      <x:c r="J171" s="485"/>
      <x:c r="K171" s="487" t="str">
        <x:v>Funcionalidad / resultado esperado</x:v>
      </x:c>
    </x:row>
    <x:row r="172" ht="30" customHeight="1">
      <x:c r="A172" s="448" t="n">
        <x:v>168</x:v>
      </x:c>
      <x:c r="B172" s="449" t="n">
        <x:v>4</x:v>
      </x:c>
      <x:c r="C172" s="449" t="str">
        <x:v>Adopción y soporte</x:v>
      </x:c>
      <x:c r="D172" s="449" t="str">
        <x:v>Capacitación y soporte inicial</x:v>
      </x:c>
      <x:c r="E172" s="449" t="str">
        <x:v>            Elaboración de material de capacitación (guías rápidas, videos)</x:v>
      </x:c>
      <x:c r="F172" s="449" t="n">
        <x:v>1</x:v>
      </x:c>
      <x:c r="G172" s="450" t="n">
        <x:v>46303</x:v>
      </x:c>
      <x:c r="H172" s="450" t="n">
        <x:v>46303</x:v>
      </x:c>
      <x:c r="I172" s="449" t="str">
        <x:v>141</x:v>
      </x:c>
      <x:c r="J172" s="449" t="str">
        <x:v>Analista Funcional</x:v>
      </x:c>
      <x:c r="K172" s="451" t="str">
        <x:v>Material de capacitación</x:v>
      </x:c>
    </x:row>
    <x:row r="173" ht="30" customHeight="1">
      <x:c r="A173" s="448" t="n">
        <x:v>169</x:v>
      </x:c>
      <x:c r="B173" s="449" t="n">
        <x:v>4</x:v>
      </x:c>
      <x:c r="C173" s="449" t="str">
        <x:v>Adopción y soporte</x:v>
      </x:c>
      <x:c r="D173" s="449" t="str">
        <x:v>Capacitación y soporte inicial</x:v>
      </x:c>
      <x:c r="E173" s="449" t="str">
        <x:v>            Capacitación a administradores del sistema (módulo Web)</x:v>
      </x:c>
      <x:c r="F173" s="449" t="n">
        <x:v>1</x:v>
      </x:c>
      <x:c r="G173" s="450" t="n">
        <x:v>46305</x:v>
      </x:c>
      <x:c r="H173" s="450" t="n">
        <x:v>46305</x:v>
      </x:c>
      <x:c r="I173" s="449" t="str">
        <x:v>161,162</x:v>
      </x:c>
      <x:c r="J173" s="449" t="str">
        <x:v>Analista Funcional</x:v>
      </x:c>
      <x:c r="K173" s="451" t="str">
        <x:v>Acta de capacitación Web</x:v>
      </x:c>
    </x:row>
    <x:row r="174" ht="30" customHeight="1">
      <x:c r="A174" s="448" t="n">
        <x:v>170</x:v>
      </x:c>
      <x:c r="B174" s="449" t="n">
        <x:v>4</x:v>
      </x:c>
      <x:c r="C174" s="449" t="str">
        <x:v>Adopción y soporte</x:v>
      </x:c>
      <x:c r="D174" s="449" t="str">
        <x:v>Capacitación y soporte inicial</x:v>
      </x:c>
      <x:c r="E174" s="449" t="str">
        <x:v>            Soporte post-implementación (hipercare) y monitoreo inicial</x:v>
      </x:c>
      <x:c r="F174" s="449" t="n">
        <x:v>2</x:v>
      </x:c>
      <x:c r="G174" s="450" t="n">
        <x:v>46306</x:v>
      </x:c>
      <x:c r="H174" s="450" t="n">
        <x:v>46307</x:v>
      </x:c>
      <x:c r="I174" s="449" t="str">
        <x:v>165,168</x:v>
      </x:c>
      <x:c r="J174" s="449" t="str">
        <x:v>Equipo de Desarrollo</x:v>
      </x:c>
      <x:c r="K174" s="451" t="str">
        <x:v>Bitácora de soporte</x:v>
      </x:c>
    </x:row>
    <x:row r="175" ht="30" customHeight="1">
      <x:c r="A175" s="468" t="n">
        <x:v>171</x:v>
      </x:c>
      <x:c r="B175" s="469" t="n">
        <x:v>1</x:v>
      </x:c>
      <x:c r="C175" s="469"/>
      <x:c r="D175" s="469"/>
      <x:c r="E175" s="469" t="str">
        <x:v>Cierre</x:v>
      </x:c>
      <x:c r="F175" s="469"/>
      <x:c r="G175" s="470" t="n">
        <x:v>46309</x:v>
      </x:c>
      <x:c r="H175" s="470" t="n">
        <x:v>46310</x:v>
      </x:c>
      <x:c r="I175" s="469"/>
      <x:c r="J175" s="469"/>
      <x:c r="K175" s="471" t="str">
        <x:v>Periodo / time-box Scrum</x:v>
      </x:c>
    </x:row>
    <x:row r="176" ht="30" customHeight="1">
      <x:c r="A176" s="476" t="n">
        <x:v>172</x:v>
      </x:c>
      <x:c r="B176" s="477" t="n">
        <x:v>2</x:v>
      </x:c>
      <x:c r="C176" s="477" t="str">
        <x:v>Cierre del proyecto</x:v>
      </x:c>
      <x:c r="D176" s="477"/>
      <x:c r="E176" s="477" t="str">
        <x:v>    Cierre del proyecto</x:v>
      </x:c>
      <x:c r="F176" s="477"/>
      <x:c r="G176" s="478" t="n">
        <x:v>46309</x:v>
      </x:c>
      <x:c r="H176" s="478" t="n">
        <x:v>46310</x:v>
      </x:c>
      <x:c r="I176" s="477"/>
      <x:c r="J176" s="477"/>
      <x:c r="K176" s="479" t="str">
        <x:v>Agrupa historias relacionadas</x:v>
      </x:c>
    </x:row>
    <x:row r="177" ht="30" customHeight="1">
      <x:c r="A177" s="484" t="n">
        <x:v>173</x:v>
      </x:c>
      <x:c r="B177" s="485" t="n">
        <x:v>3</x:v>
      </x:c>
      <x:c r="C177" s="485" t="str">
        <x:v>Cierre del proyecto</x:v>
      </x:c>
      <x:c r="D177" s="485" t="str">
        <x:v>Cierre y conformidad</x:v>
      </x:c>
      <x:c r="E177" s="485" t="str">
        <x:v>        Historia: Cierre y conformidad</x:v>
      </x:c>
      <x:c r="F177" s="485"/>
      <x:c r="G177" s="486" t="n">
        <x:v>46309</x:v>
      </x:c>
      <x:c r="H177" s="486" t="n">
        <x:v>46310</x:v>
      </x:c>
      <x:c r="I177" s="485"/>
      <x:c r="J177" s="485"/>
      <x:c r="K177" s="487" t="str">
        <x:v>Funcionalidad / resultado esperado</x:v>
      </x:c>
    </x:row>
    <x:row r="178" ht="30" customHeight="1">
      <x:c r="A178" s="448" t="n">
        <x:v>174</x:v>
      </x:c>
      <x:c r="B178" s="449" t="n">
        <x:v>4</x:v>
      </x:c>
      <x:c r="C178" s="449" t="str">
        <x:v>Cierre del proyecto</x:v>
      </x:c>
      <x:c r="D178" s="449" t="str">
        <x:v>Cierre y conformidad</x:v>
      </x:c>
      <x:c r="E178" s="449" t="str">
        <x:v>            Elaboración del Acta de Cierre del Proyecto</x:v>
      </x:c>
      <x:c r="F178" s="449" t="n">
        <x:v>1</x:v>
      </x:c>
      <x:c r="G178" s="450" t="n">
        <x:v>46309</x:v>
      </x:c>
      <x:c r="H178" s="450" t="n">
        <x:v>46309</x:v>
      </x:c>
      <x:c r="I178" s="449" t="str">
        <x:v>170</x:v>
      </x:c>
      <x:c r="J178" s="449" t="str">
        <x:v>Jefe de Proyecto</x:v>
      </x:c>
      <x:c r="K178" s="451" t="str">
        <x:v>Acta de cierre</x:v>
      </x:c>
    </x:row>
    <x:row r="179" ht="30" customHeight="1">
      <x:c r="A179" s="448" t="n">
        <x:v>175</x:v>
      </x:c>
      <x:c r="B179" s="449" t="n">
        <x:v>4</x:v>
      </x:c>
      <x:c r="C179" s="449" t="str">
        <x:v>Cierre del proyecto</x:v>
      </x:c>
      <x:c r="D179" s="449" t="str">
        <x:v>Cierre y conformidad</x:v>
      </x:c>
      <x:c r="E179" s="449" t="str">
        <x:v>            Firma de conformidad final del cliente</x:v>
      </x:c>
      <x:c r="F179" s="449" t="n">
        <x:v>1</x:v>
      </x:c>
      <x:c r="G179" s="450" t="n">
        <x:v>46310</x:v>
      </x:c>
      <x:c r="H179" s="450" t="n">
        <x:v>46310</x:v>
      </x:c>
      <x:c r="I179" s="449" t="str">
        <x:v>181</x:v>
      </x:c>
      <x:c r="J179" s="449" t="str">
        <x:v>Cliente</x:v>
      </x:c>
      <x:c r="K179" s="451" t="str">
        <x:v>Acta de conformidad final</x:v>
      </x:c>
    </x:row>
    <x:row r="180" ht="30" customHeight="1">
      <x:c r="A180" s="476" t="n">
        <x:v>176</x:v>
      </x:c>
      <x:c r="B180" s="477" t="n">
        <x:v>2</x:v>
      </x:c>
      <x:c r="C180" s="477" t="str">
        <x:v>Documentación</x:v>
      </x:c>
      <x:c r="D180" s="477"/>
      <x:c r="E180" s="477" t="str">
        <x:v>    Documentación</x:v>
      </x:c>
      <x:c r="F180" s="477"/>
      <x:c r="G180" s="478" t="n">
        <x:v>46309</x:v>
      </x:c>
      <x:c r="H180" s="478" t="n">
        <x:v>46309</x:v>
      </x:c>
      <x:c r="I180" s="477"/>
      <x:c r="J180" s="477"/>
      <x:c r="K180" s="479" t="str">
        <x:v>Agrupa historias relacionadas</x:v>
      </x:c>
    </x:row>
    <x:row r="181" ht="30" customHeight="1">
      <x:c r="A181" s="484" t="n">
        <x:v>177</x:v>
      </x:c>
      <x:c r="B181" s="485" t="n">
        <x:v>3</x:v>
      </x:c>
      <x:c r="C181" s="485" t="str">
        <x:v>Documentación</x:v>
      </x:c>
      <x:c r="D181" s="485" t="str">
        <x:v>Documentación técnica y de usuario</x:v>
      </x:c>
      <x:c r="E181" s="485" t="str">
        <x:v>        Historia: Documentación técnica y de usuario</x:v>
      </x:c>
      <x:c r="F181" s="485"/>
      <x:c r="G181" s="486" t="n">
        <x:v>46309</x:v>
      </x:c>
      <x:c r="H181" s="486" t="n">
        <x:v>46309</x:v>
      </x:c>
      <x:c r="I181" s="485"/>
      <x:c r="J181" s="485"/>
      <x:c r="K181" s="487" t="str">
        <x:v>Funcionalidad / resultado esperado</x:v>
      </x:c>
    </x:row>
    <x:row r="182" ht="30" customHeight="1">
      <x:c r="A182" s="448" t="n">
        <x:v>178</x:v>
      </x:c>
      <x:c r="B182" s="449" t="n">
        <x:v>4</x:v>
      </x:c>
      <x:c r="C182" s="449" t="str">
        <x:v>Documentación</x:v>
      </x:c>
      <x:c r="D182" s="449" t="str">
        <x:v>Documentación técnica y de usuario</x:v>
      </x:c>
      <x:c r="E182" s="449" t="str">
        <x:v>            Entrega final de documentación (código fuente, manuales, actas)</x:v>
      </x:c>
      <x:c r="F182" s="449" t="n">
        <x:v>1</x:v>
      </x:c>
      <x:c r="G182" s="450" t="n">
        <x:v>46309</x:v>
      </x:c>
      <x:c r="H182" s="450" t="n">
        <x:v>46309</x:v>
      </x:c>
      <x:c r="I182" s="449" t="str">
        <x:v>174</x:v>
      </x:c>
      <x:c r="J182" s="449" t="str">
        <x:v>Jefe de Proyecto</x:v>
      </x:c>
      <x:c r="K182" s="451" t="str">
        <x:v>Repositorio + documentación entregada</x:v>
      </x:c>
    </x:row>
    <x:row r="183" ht="30" customHeight="1">
      <x:c r="A183" s="476" t="n">
        <x:v>179</x:v>
      </x:c>
      <x:c r="B183" s="477" t="n">
        <x:v>2</x:v>
      </x:c>
      <x:c r="C183" s="477" t="str">
        <x:v>Gestión y definición del producto</x:v>
      </x:c>
      <x:c r="D183" s="477"/>
      <x:c r="E183" s="477" t="str">
        <x:v>    Gestión y definición del producto</x:v>
      </x:c>
      <x:c r="F183" s="477"/>
      <x:c r="G183" s="478" t="n">
        <x:v>46310</x:v>
      </x:c>
      <x:c r="H183" s="478" t="n">
        <x:v>46310</x:v>
      </x:c>
      <x:c r="I183" s="477"/>
      <x:c r="J183" s="477"/>
      <x:c r="K183" s="479" t="str">
        <x:v>Agrupa historias relacionadas</x:v>
      </x:c>
    </x:row>
    <x:row r="184" ht="30" customHeight="1">
      <x:c r="A184" s="484" t="n">
        <x:v>180</x:v>
      </x:c>
      <x:c r="B184" s="485" t="n">
        <x:v>3</x:v>
      </x:c>
      <x:c r="C184" s="485" t="str">
        <x:v>Gestión y definición del producto</x:v>
      </x:c>
      <x:c r="D184" s="485" t="str">
        <x:v>Gestión del proyecto y requisitos</x:v>
      </x:c>
      <x:c r="E184" s="485" t="str">
        <x:v>        Historia: Gestión del proyecto y requisitos</x:v>
      </x:c>
      <x:c r="F184" s="485"/>
      <x:c r="G184" s="486" t="n">
        <x:v>46310</x:v>
      </x:c>
      <x:c r="H184" s="486" t="n">
        <x:v>46310</x:v>
      </x:c>
      <x:c r="I184" s="485"/>
      <x:c r="J184" s="485"/>
      <x:c r="K184" s="487" t="str">
        <x:v>Funcionalidad / resultado esperado</x:v>
      </x:c>
    </x:row>
    <x:row r="185" ht="30" customHeight="1">
      <x:c r="A185" s="452" t="n">
        <x:v>181</x:v>
      </x:c>
      <x:c r="B185" s="453" t="n">
        <x:v>4</x:v>
      </x:c>
      <x:c r="C185" s="453" t="str">
        <x:v>Gestión y definición del producto</x:v>
      </x:c>
      <x:c r="D185" s="453" t="str">
        <x:v>Gestión del proyecto y requisitos</x:v>
      </x:c>
      <x:c r="E185" s="453" t="str">
        <x:v>            Reunión de cierre con stakeholders y lecciones aprendidas</x:v>
      </x:c>
      <x:c r="F185" s="453" t="n">
        <x:v>1</x:v>
      </x:c>
      <x:c r="G185" s="454" t="n">
        <x:v>46310</x:v>
      </x:c>
      <x:c r="H185" s="454" t="n">
        <x:v>46310</x:v>
      </x:c>
      <x:c r="I185" s="453" t="str">
        <x:v>178</x:v>
      </x:c>
      <x:c r="J185" s="453" t="str">
        <x:v>Jefe de Proyecto</x:v>
      </x:c>
      <x:c r="K185" s="455" t="str">
        <x:v>Acta de lecciones aprendidas</x:v>
      </x:c>
    </x:row>
  </x:sheetData>
  <x:mergeCells>
    <x:mergeCell ref="A1:T1"/>
    <x:mergeCell ref="A2:T2"/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5" hidden="0" customWidth="1"/>
    <x:col min="3" max="3" width="20" hidden="0" customWidth="1"/>
    <x:col min="4" max="4" width="55" hidden="0" customWidth="1"/>
    <x:col min="5" max="5" width="38" hidden="0" customWidth="1"/>
    <x:col min="6" max="6" width="55" hidden="0" customWidth="1"/>
  </x:cols>
  <x:sheetData>
    <x:row r="1" ht="19.200000762939453" hidden="0" customHeight="1">
      <x:c r="A1" s="5" t="str">
        <x:v>CAMBIOS REALIZADOS SOBRE HUATA_CRONOGRAMA_Y_REQUERIMIENTOS</x:v>
      </x:c>
      <x:c r="B1" s="5"/>
      <x:c r="C1" s="5"/>
      <x:c r="D1" s="5"/>
      <x:c r="E1" s="5"/>
      <x:c r="F1" s="5"/>
    </x:row>
    <x:row r="2" ht="15" hidden="0" customHeight="1">
      <x:c r="A2" s="11" t="str">
        <x:v>Correcciones aplicadas para dejar el archivo consistente con ProjectCharter2026 y Cronograma_2026.</x:v>
      </x:c>
      <x:c r="B2" s="11"/>
      <x:c r="C2" s="11"/>
      <x:c r="D2" s="11"/>
      <x:c r="E2" s="11"/>
      <x:c r="F2" s="11"/>
    </x:row>
    <x:row r="3"/>
    <x:row r="4" ht="15" hidden="0" customHeight="1">
      <x:c r="A4" s="21" t="str">
        <x:v>#</x:v>
      </x:c>
      <x:c r="B4" s="81" t="str">
        <x:v>Elemento anterior</x:v>
      </x:c>
      <x:c r="C4" s="81" t="str">
        <x:v>Acción</x:v>
      </x:c>
      <x:c r="D4" s="81" t="str">
        <x:v>Motivo</x:v>
      </x:c>
      <x:c r="E4" s="81" t="str">
        <x:v>Fuente que manda</x:v>
      </x:c>
      <x:c r="F4" s="22" t="str">
        <x:v>Resultado en este archivo</x:v>
      </x:c>
    </x:row>
    <x:row r="5" ht="15" hidden="0" customHeight="1">
      <x:c r="A5" s="46" t="n">
        <x:v>1</x:v>
      </x:c>
      <x:c r="B5" s="91" t="str">
        <x:v>Cronograma de 3 meses / 12 semanas</x:v>
      </x:c>
      <x:c r="C5" s="91" t="str">
        <x:v>Reemplazado</x:v>
      </x:c>
      <x:c r="D5" s="91" t="str">
        <x:v>No coincide con el Cronograma_2026 de 8 sprints.</x:v>
      </x:c>
      <x:c r="E5" s="91" t="str">
        <x:v>Cronograma_2026</x:v>
      </x:c>
      <x:c r="F5" s="47" t="str">
        <x:v>8 sprints (19/08-13/10) + entrega 14/10 + cierre 15/10.</x:v>
      </x:c>
    </x:row>
    <x:row r="6" ht="15" hidden="0" customHeight="1">
      <x:c r="A6" s="48" t="n">
        <x:v>2</x:v>
      </x:c>
      <x:c r="B6" s="92" t="str">
        <x:v>Duración expresada como 57 días hábiles</x:v>
      </x:c>
      <x:c r="C6" s="92" t="str">
        <x:v>Corregido conceptualmente</x:v>
      </x:c>
      <x:c r="D6" s="92" t="str">
        <x:v>El Cronograma_2026 usa días corridos.</x:v>
      </x:c>
      <x:c r="E6" s="92" t="str">
        <x:v>Cronograma_2026 - Notas y calendario</x:v>
      </x:c>
      <x:c r="F6" s="49" t="str">
        <x:v>Se documenta calendario de 7 días y 57 días hasta la entrega del 14/10.</x:v>
      </x:c>
    </x:row>
    <x:row r="7" ht="15" hidden="0" customHeight="1">
      <x:c r="A7" s="48" t="n">
        <x:v>3</x:v>
      </x:c>
      <x:c r="B7" s="92" t="str">
        <x:v>Precio S/ 1.75 y S/ 1.30</x:v>
      </x:c>
      <x:c r="C7" s="92" t="str">
        <x:v>Retirado</x:v>
      </x:c>
      <x:c r="D7" s="92" t="str">
        <x:v>El Charter indica que los precios de leche no serán incluidos en esta versión.</x:v>
      </x:c>
      <x:c r="E7" s="92" t="str">
        <x:v>Project Charter G - Exclusiones 2</x:v>
      </x:c>
      <x:c r="F7" s="49" t="str">
        <x:v>La liquidación queda definida por cantidad y calidad, sin fijar precios.</x:v>
      </x:c>
    </x:row>
    <x:row r="8" ht="15" hidden="0" customHeight="1">
      <x:c r="A8" s="48" t="n">
        <x:v>4</x:v>
      </x:c>
      <x:c r="B8" s="92" t="str">
        <x:v>Pagos semanales cada viernes</x:v>
      </x:c>
      <x:c r="C8" s="92" t="str">
        <x:v>Retirado</x:v>
      </x:c>
      <x:c r="D8" s="92" t="str">
        <x:v>No aparece en el Charter ni en el Cronograma_2026.</x:v>
      </x:c>
      <x:c r="E8" s="92" t="str">
        <x:v>Project Charter + Cronograma_2026</x:v>
      </x:c>
      <x:c r="F8" s="49" t="str">
        <x:v>Se conserva el módulo de liquidaciones, no una regla de viernes.</x:v>
      </x:c>
    </x:row>
    <x:row r="9" ht="15" hidden="0" customHeight="1">
      <x:c r="A9" s="48" t="n">
        <x:v>5</x:v>
      </x:c>
      <x:c r="B9" s="92" t="str">
        <x:v>Módulo de producción/venta de quesos</x:v>
      </x:c>
      <x:c r="C9" s="92" t="str">
        <x:v>Retirado</x:v>
      </x:c>
      <x:c r="D9" s="92" t="str">
        <x:v>No está en los entregables del Charter ni en las actividades del Cronograma_2026.</x:v>
      </x:c>
      <x:c r="E9" s="92" t="str">
        <x:v>Project Charter + Cronograma_2026</x:v>
      </x:c>
      <x:c r="F9" s="49" t="str">
        <x:v>Fuera de la matriz principal.</x:v>
      </x:c>
    </x:row>
    <x:row r="10" ht="15" hidden="0" customHeight="1">
      <x:c r="A10" s="48" t="n">
        <x:v>6</x:v>
      </x:c>
      <x:c r="B10" s="92" t="str">
        <x:v>Resumen por nueve zonas específicas</x:v>
      </x:c>
      <x:c r="C10" s="92" t="str">
        <x:v>Reemplazado</x:v>
      </x:c>
      <x:c r="D10" s="92" t="str">
        <x:v>El Charter pide reportes por ruta, productor y periodo, no una lista fija de zonas.</x:v>
      </x:c>
      <x:c r="E10" s="92" t="str">
        <x:v>Project Charter F/G.8</x:v>
      </x:c>
      <x:c r="F10" s="49" t="str">
        <x:v>Reportes por ruta/productor/periodo.</x:v>
      </x:c>
    </x:row>
    <x:row r="11" ht="21.600000381469727" hidden="0" customHeight="1">
      <x:c r="A11" s="48" t="n">
        <x:v>7</x:v>
      </x:c>
      <x:c r="B11" s="92" t="str">
        <x:v>Importar/exportar Excel como módulo funcional</x:v>
      </x:c>
      <x:c r="C11" s="92" t="str">
        <x:v>Retirado</x:v>
      </x:c>
      <x:c r="D11" s="92" t="str">
        <x:v>No figura en el Charter; el Cronograma solo contempla migración/carga inicial de datos maestros.</x:v>
      </x:c>
      <x:c r="E11" s="92" t="str">
        <x:v>Project Charter + Cronograma ID 161</x:v>
      </x:c>
      <x:c r="F11" s="49" t="str">
        <x:v>Se mantiene migración/carga inicial y respaldo.</x:v>
      </x:c>
    </x:row>
    <x:row r="12" ht="15" hidden="0" customHeight="1">
      <x:c r="A12" s="48" t="n">
        <x:v>8</x:v>
      </x:c>
      <x:c r="B12" s="92" t="str">
        <x:v>Término único 14/10 vs actividades 15/10</x:v>
      </x:c>
      <x:c r="C12" s="92" t="str">
        <x:v>Reconciliado</x:v>
      </x:c>
      <x:c r="D12" s="92" t="str">
        <x:v>Las fuentes difieren en el cierre.</x:v>
      </x:c>
      <x:c r="E12" s="92" t="str">
        <x:v>Project Charter F/J + Cronograma Cierre</x:v>
      </x:c>
      <x:c r="F12" s="49" t="str">
        <x:v>Entrega/término de implementación 14/10; cierre administrativo 15/10.</x:v>
      </x:c>
    </x:row>
    <x:row r="13" ht="15" hidden="0" customHeight="1">
      <x:c r="A13" s="48" t="n">
        <x:v>9</x:v>
      </x:c>
      <x:c r="B13" s="92" t="str">
        <x:v>Término 'Proveedor' como actor principal</x:v>
      </x:c>
      <x:c r="C13" s="92" t="str">
        <x:v>Normalizado</x:v>
      </x:c>
      <x:c r="D13" s="92" t="str">
        <x:v>El Charter y el Cronograma usan principalmente 'Productor'.</x:v>
      </x:c>
      <x:c r="E13" s="92" t="str">
        <x:v>Project Charter + Cronograma_2026</x:v>
      </x:c>
      <x:c r="F13" s="49" t="str">
        <x:v>Se utiliza 'Productor' como término principal.</x:v>
      </x:c>
    </x:row>
    <x:row r="14" ht="21.600000381469727" hidden="0" customHeight="1">
      <x:c r="A14" s="48" t="n">
        <x:v>10</x:v>
      </x:c>
      <x:c r="B14" s="92" t="str">
        <x:v>Tercer mes dedicado a mantenimiento</x:v>
      </x:c>
      <x:c r="C14" s="92" t="str">
        <x:v>Retirado del cronograma base</x:v>
      </x:c>
      <x:c r="D14" s="92" t="str">
        <x:v>No existe en el Cronograma_2026.</x:v>
      </x:c>
      <x:c r="E14" s="92" t="str">
        <x:v>Cronograma_2026</x:v>
      </x:c>
      <x:c r="F14" s="49" t="str">
        <x:v>Mantenimiento queda como obligación/documentación y soporte post-implementación del Charter.</x:v>
      </x:c>
    </x:row>
    <x:row r="15" ht="15" hidden="0" customHeight="1">
      <x:c r="A15" s="50" t="n">
        <x:v>11</x:v>
      </x:c>
      <x:c r="B15" s="93" t="str">
        <x:v>Evidencia por firma/foto y notificaciones</x:v>
      </x:c>
      <x:c r="C15" s="93" t="str">
        <x:v>Incorporado</x:v>
      </x:c>
      <x:c r="D15" s="93" t="str">
        <x:v>Sí aparecen como actividades planificadas en Cronograma_2026.</x:v>
      </x:c>
      <x:c r="E15" s="93" t="str">
        <x:v>Cronograma IDs 99,110,113</x:v>
      </x:c>
      <x:c r="F15" s="51" t="str">
        <x:v>Se incluyen como requisitos planificados (no como aprobados por Charter).</x:v>
      </x:c>
    </x:row>
  </x:sheetData>
  <x:mergeCells>
    <x:mergeCell ref="A1:F1"/>
    <x:mergeCell ref="A2:F2"/>
  </x:mergeCells>
  <x:pageMargins left="0.7" right="0.7" top="0.75" bottom="0.75" header="0.3" footer="0.3"/>
</x:worksheet>
</file>