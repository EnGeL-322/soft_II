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9cf55a39fc84a4a" /></Relationships>
</file>

<file path=xl/workbook.xml><?xml version="1.0" encoding="utf-8"?>
<x:workbook xmlns:x="http://schemas.openxmlformats.org/spreadsheetml/2006/main">
  <x:sheets>
    <x:sheet xmlns:r="http://schemas.openxmlformats.org/officeDocument/2006/relationships" name="Interesados" sheetId="2" r:id="Rffee26f39ca5402d"/>
    <x:sheet xmlns:r="http://schemas.openxmlformats.org/officeDocument/2006/relationships" name="Reglas de Negocio" sheetId="3" r:id="R28624dae9233448b"/>
    <x:sheet xmlns:r="http://schemas.openxmlformats.org/officeDocument/2006/relationships" name="Matriz Requerimientos" sheetId="4" r:id="Ra8d69ecace6b4e14"/>
    <x:sheet xmlns:r="http://schemas.openxmlformats.org/officeDocument/2006/relationships" name="Casos de Prueba" sheetId="5" r:id="R3207ce02bd994258"/>
    <x:sheet xmlns:r="http://schemas.openxmlformats.org/officeDocument/2006/relationships" name="Matriz Trazabilidad" sheetId="6" r:id="R3e34d419f1c343b3"/>
    <x:sheet xmlns:r="http://schemas.openxmlformats.org/officeDocument/2006/relationships" name="Cronograma" sheetId="7" r:id="Rfae761c6457f451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dd/mm/yyyy"/>
  </x:numFmts>
  <x:fonts count="29">
    <x:font>
      <x:sz val="11"/>
      <x:color theme="1"/>
      <x:name val="Calibri"/>
    </x:font>
    <x:font>
      <x:b/>
      <x:sz val="14"/>
      <x:color rgb="FFFFFFFF"/>
      <x:name val="Arial"/>
    </x:font>
    <x:font>
      <x:i/>
      <x:sz val="9"/>
      <x:color rgb="FF5A6472"/>
      <x:name val="Arial"/>
    </x:font>
    <x:font>
      <x:b/>
      <x:sz val="10"/>
      <x:color rgb="FFFFFFFF"/>
      <x:name val="Arial"/>
    </x:font>
    <x:font>
      <x:sz val="9"/>
      <x:color rgb="FF1C1C1C"/>
      <x:name val="Arial"/>
    </x:font>
    <x:font>
      <x:b/>
      <x:sz val="9"/>
      <x:color rgb="FFFFFFFF"/>
      <x:name val="Arial"/>
    </x:font>
    <x:font>
      <x:b/>
      <x:sz val="18"/>
      <x:color rgb="FFFFFFFF"/>
      <x:name val="Calibri"/>
    </x:font>
    <x:font>
      <x:i/>
      <x:sz val="10"/>
      <x:color rgb="FF5B6573"/>
      <x:name val="Calibri"/>
    </x:font>
    <x:font>
      <x:b/>
      <x:sz val="10"/>
      <x:color rgb="FF17365D"/>
      <x:name val="Calibri"/>
    </x:font>
    <x:font>
      <x:b/>
      <x:sz val="10"/>
      <x:color rgb="FFFFFFFF"/>
      <x:name val="Calibri"/>
    </x:font>
    <x:font>
      <x:b/>
      <x:sz val="9"/>
      <x:color rgb="FFFFFFFF"/>
      <x:name val="Calibri"/>
    </x:font>
    <x:font>
      <x:sz val="9"/>
      <x:color rgb="FF343A40"/>
      <x:name val="Calibri"/>
    </x:font>
    <x:font>
      <x:b/>
      <x:sz val="9"/>
      <x:color rgb="FF17365D"/>
      <x:name val="Calibri"/>
    </x:font>
    <x:font>
      <x:b/>
      <x:sz val="11"/>
      <x:color rgb="FF17365D"/>
      <x:name val="Calibri"/>
    </x:font>
    <x:font>
      <x:i/>
      <x:sz val="9"/>
      <x:color rgb="FF5B6573"/>
      <x:name val="Calibri"/>
    </x:font>
    <x:font>
      <x:b/>
      <x:sz val="8"/>
      <x:color rgb="FFFFFFFF"/>
      <x:name val="Calibri"/>
    </x:font>
    <x:font>
      <x:b/>
      <x:sz val="15"/>
      <x:color rgb="FFFFFFFF"/>
      <x:name val="Calibri"/>
    </x:font>
    <x:font>
      <x:i/>
      <x:sz val="9"/>
      <x:color rgb="FF59636E"/>
      <x:name val="Calibri"/>
    </x:font>
    <x:font>
      <x:sz val="8"/>
      <x:color rgb="FF20354A"/>
      <x:name val="Calibri"/>
    </x:font>
    <x:font>
      <x:b/>
      <x:sz val="8"/>
      <x:color rgb="FF20354A"/>
      <x:name val="Calibri"/>
    </x:font>
    <x:font>
      <x:i/>
      <x:sz val="8"/>
      <x:color rgb="FF5F6B75"/>
      <x:name val="Calibri"/>
    </x:font>
    <x:font>
      <x:b/>
      <x:i/>
      <x:sz val="8"/>
      <x:color rgb="FF5F6B75"/>
      <x:name val="Calibri"/>
    </x:font>
    <x:font>
      <x:i/>
      <x:sz val="10"/>
      <x:color rgb="FF5C4300"/>
      <x:name val="Calibri"/>
    </x:font>
    <x:font>
      <x:b/>
      <x:sz val="9"/>
      <x:color rgb="FF3A2A00"/>
      <x:name val="Calibri"/>
    </x:font>
    <x:font>
      <x:sz val="9"/>
      <x:color rgb="FF243447"/>
      <x:name val="Calibri"/>
    </x:font>
    <x:font>
      <x:sz val="9"/>
      <x:color rgb="FF5C4300"/>
      <x:name val="Calibri"/>
    </x:font>
    <x:font>
      <x:b/>
      <x:sz val="8"/>
      <x:color rgb="FF3A2A00"/>
      <x:name val="Calibri"/>
    </x:font>
    <x:font>
      <x:sz val="8"/>
      <x:color rgb="FF243447"/>
      <x:name val="Calibri"/>
    </x:font>
    <x:font>
      <x:b/>
      <x:sz val="8"/>
      <x:color rgb="FF4A3A00"/>
      <x:name val="Calibri"/>
    </x:font>
  </x:fonts>
  <x:fills count="71">
    <x:fill>
      <x:patternFill patternType="none"/>
    </x:fill>
    <x:fill>
      <x:patternFill patternType="gray125"/>
    </x:fill>
    <x:fill>
      <x:patternFill patternType="solid">
        <x:fgColor rgb="FF12294D"/>
      </x:patternFill>
    </x:fill>
    <x:fill>
      <x:patternFill patternType="solid">
        <x:fgColor rgb="FFFFF6DC"/>
      </x:patternFill>
    </x:fill>
    <x:fill>
      <x:patternFill patternType="solid">
        <x:fgColor rgb="FFF4F6FA"/>
      </x:patternFill>
    </x:fill>
    <x:fill>
      <x:patternFill patternType="solid">
        <x:fgColor rgb="FF17365D"/>
      </x:patternFill>
    </x:fill>
    <x:fill>
      <x:patternFill patternType="solid">
        <x:fgColor rgb="FFDCE6F1"/>
      </x:patternFill>
    </x:fill>
    <x:fill>
      <x:patternFill patternType="solid">
        <x:fgColor rgb="FFE2F0D9"/>
      </x:patternFill>
    </x:fill>
    <x:fill>
      <x:patternFill patternType="solid">
        <x:fgColor rgb="FFFFF2CC"/>
      </x:patternFill>
    </x:fill>
    <x:fill>
      <x:patternFill patternType="solid">
        <x:fgColor rgb="FFFCE4D6"/>
      </x:patternFill>
    </x:fill>
    <x:fill>
      <x:patternFill patternType="solid">
        <x:fgColor rgb="FFE4DFEC"/>
      </x:patternFill>
    </x:fill>
    <x:fill>
      <x:patternFill patternType="solid">
        <x:fgColor rgb="FF2F75B5"/>
      </x:patternFill>
    </x:fill>
    <x:fill>
      <x:patternFill patternType="solid">
        <x:fgColor rgb="FF548235"/>
      </x:patternFill>
    </x:fill>
    <x:fill>
      <x:patternFill patternType="solid">
        <x:fgColor rgb="FFC55A11"/>
      </x:patternFill>
    </x:fill>
    <x:fill>
      <x:patternFill patternType="solid">
        <x:fgColor rgb="FFFFF7DF"/>
      </x:patternFill>
    </x:fill>
    <x:fill>
      <x:patternFill patternType="solid">
        <x:fgColor rgb="FFD9EAF7"/>
      </x:patternFill>
    </x:fill>
    <x:fill>
      <x:patternFill patternType="solid">
        <x:fgColor rgb="FFBDD7EE"/>
      </x:patternFill>
    </x:fill>
    <x:fill>
      <x:patternFill patternType="solid">
        <x:fgColor rgb="FFC6E0B4"/>
      </x:patternFill>
    </x:fill>
    <x:fill>
      <x:patternFill patternType="solid">
        <x:fgColor rgb="FFF8CBAD"/>
      </x:patternFill>
    </x:fill>
    <x:fill>
      <x:patternFill patternType="solid">
        <x:fgColor rgb="FFF2F2F2"/>
      </x:patternFill>
    </x:fill>
    <x:fill>
      <x:patternFill patternType="solid">
        <x:fgColor rgb="FF17365D"/>
      </x:patternFill>
    </x:fill>
    <x:fill>
      <x:patternFill patternType="solid">
        <x:fgColor rgb="FFD9E5F2"/>
      </x:patternFill>
    </x:fill>
    <x:fill>
      <x:patternFill patternType="solid">
        <x:fgColor rgb="FFF8E7A2"/>
      </x:patternFill>
    </x:fill>
    <x:fill>
      <x:patternFill patternType="solid">
        <x:fgColor rgb="FFD9EAF7"/>
      </x:patternFill>
    </x:fill>
    <x:fill>
      <x:patternFill patternType="solid">
        <x:fgColor rgb="FFE2F0D9"/>
      </x:patternFill>
    </x:fill>
    <x:fill>
      <x:patternFill patternType="solid">
        <x:fgColor rgb="FFFCE4D6"/>
      </x:patternFill>
    </x:fill>
    <x:fill>
      <x:patternFill patternType="solid">
        <x:fgColor rgb="FFF9D8B4"/>
      </x:patternFill>
    </x:fill>
    <x:fill>
      <x:patternFill patternType="solid">
        <x:fgColor rgb="FFE4DFEC"/>
      </x:patternFill>
    </x:fill>
    <x:fill>
      <x:patternFill patternType="solid">
        <x:fgColor rgb="FF2F75B5"/>
      </x:patternFill>
    </x:fill>
    <x:fill>
      <x:patternFill patternType="solid">
        <x:fgColor rgb="FF548235"/>
      </x:patternFill>
    </x:fill>
    <x:fill>
      <x:patternFill patternType="solid">
        <x:fgColor rgb="FFC55A11"/>
      </x:patternFill>
    </x:fill>
    <x:fill>
      <x:patternFill patternType="solid">
        <x:fgColor rgb="FFBF9000"/>
      </x:patternFill>
    </x:fill>
    <x:fill>
      <x:patternFill patternType="solid">
        <x:fgColor rgb="FFA64B00"/>
      </x:patternFill>
    </x:fill>
    <x:fill>
      <x:patternFill patternType="solid">
        <x:fgColor rgb="FF8064A2"/>
      </x:patternFill>
    </x:fill>
    <x:fill>
      <x:patternFill patternType="solid">
        <x:fgColor rgb="FFFFF5D7"/>
      </x:patternFill>
    </x:fill>
    <x:fill>
      <x:patternFill patternType="solid">
        <x:fgColor rgb="FFF3F4F6"/>
      </x:patternFill>
    </x:fill>
    <x:fill>
      <x:patternFill patternType="solid">
        <x:fgColor rgb="FFFFFFFF"/>
      </x:patternFill>
    </x:fill>
    <x:fill>
      <x:patternFill patternType="solid">
        <x:fgColor rgb="FF17365D"/>
      </x:patternFill>
    </x:fill>
    <x:fill>
      <x:patternFill patternType="solid">
        <x:fgColor rgb="FFFFF0B3"/>
      </x:patternFill>
    </x:fill>
    <x:fill>
      <x:patternFill patternType="solid">
        <x:fgColor rgb="FFE8B84A"/>
      </x:patternFill>
    </x:fill>
    <x:fill>
      <x:patternFill patternType="solid">
        <x:fgColor rgb="FFFFF8E8"/>
      </x:patternFill>
    </x:fill>
    <x:fill>
      <x:patternFill patternType="solid">
        <x:fgColor rgb="FFEAF2F8"/>
      </x:patternFill>
    </x:fill>
    <x:fill>
      <x:patternFill patternType="solid">
        <x:fgColor rgb="FFFFF1C7"/>
      </x:patternFill>
    </x:fill>
    <x:fill>
      <x:patternFill patternType="solid">
        <x:fgColor rgb="FFE2F0D9"/>
      </x:patternFill>
    </x:fill>
    <x:fill>
      <x:patternFill patternType="solid">
        <x:fgColor rgb="FFFCE4D6"/>
      </x:patternFill>
    </x:fill>
    <x:fill>
      <x:patternFill patternType="solid">
        <x:fgColor rgb="FFE4DFEC"/>
      </x:patternFill>
    </x:fill>
    <x:fill>
      <x:patternFill patternType="solid">
        <x:fgColor rgb="FFDDEBF7"/>
      </x:patternFill>
    </x:fill>
    <x:fill>
      <x:patternFill patternType="solid">
        <x:fgColor rgb="FF17365D"/>
      </x:patternFill>
    </x:fill>
    <x:fill>
      <x:patternFill patternType="solid">
        <x:fgColor rgb="FFFFF0B3"/>
      </x:patternFill>
    </x:fill>
    <x:fill>
      <x:patternFill patternType="solid">
        <x:fgColor rgb="FFE8B84A"/>
      </x:patternFill>
    </x:fill>
    <x:fill>
      <x:patternFill patternType="solid">
        <x:fgColor rgb="FFFFF8E8"/>
      </x:patternFill>
    </x:fill>
    <x:fill>
      <x:patternFill patternType="solid">
        <x:fgColor rgb="FFFFF1C7"/>
      </x:patternFill>
    </x:fill>
    <x:fill>
      <x:patternFill patternType="solid">
        <x:fgColor rgb="FFEAF2F8"/>
      </x:patternFill>
    </x:fill>
    <x:fill>
      <x:patternFill patternType="solid">
        <x:fgColor rgb="FF17365D"/>
      </x:patternFill>
    </x:fill>
    <x:fill>
      <x:patternFill patternType="solid">
        <x:fgColor rgb="FFFFF0B3"/>
      </x:patternFill>
    </x:fill>
    <x:fill>
      <x:patternFill patternType="solid">
        <x:fgColor rgb="FFE8B84A"/>
      </x:patternFill>
    </x:fill>
    <x:fill>
      <x:patternFill patternType="solid">
        <x:fgColor rgb="FFFFF8E8"/>
      </x:patternFill>
    </x:fill>
    <x:fill>
      <x:patternFill patternType="solid">
        <x:fgColor rgb="FFFFF1C7"/>
      </x:patternFill>
    </x:fill>
    <x:fill>
      <x:patternFill patternType="solid">
        <x:fgColor rgb="FFEAF2F8"/>
      </x:patternFill>
    </x:fill>
    <x:fill>
      <x:patternFill patternType="solid">
        <x:fgColor rgb="FFE2F0D9"/>
      </x:patternFill>
    </x:fill>
    <x:fill>
      <x:patternFill patternType="solid">
        <x:fgColor rgb="FFFCE4D6"/>
      </x:patternFill>
    </x:fill>
    <x:fill>
      <x:patternFill patternType="solid">
        <x:fgColor rgb="FFF3F4F6"/>
      </x:patternFill>
    </x:fill>
    <x:fill>
      <x:patternFill patternType="solid">
        <x:fgColor rgb="FF17365D"/>
      </x:patternFill>
    </x:fill>
    <x:fill>
      <x:patternFill patternType="solid">
        <x:fgColor rgb="FFFFF0B3"/>
      </x:patternFill>
    </x:fill>
    <x:fill>
      <x:patternFill patternType="solid">
        <x:fgColor rgb="FFF3F4F6"/>
      </x:patternFill>
    </x:fill>
    <x:fill>
      <x:patternFill patternType="solid">
        <x:fgColor rgb="FFE8B84A"/>
      </x:patternFill>
    </x:fill>
    <x:fill>
      <x:patternFill patternType="solid">
        <x:fgColor rgb="FFFFF8E8"/>
      </x:patternFill>
    </x:fill>
    <x:fill>
      <x:patternFill patternType="solid">
        <x:fgColor rgb="FFFFF1C7"/>
      </x:patternFill>
    </x:fill>
    <x:fill>
      <x:patternFill patternType="solid">
        <x:fgColor rgb="FFEAF2F8"/>
      </x:patternFill>
    </x:fill>
    <x:fill>
      <x:patternFill patternType="solid">
        <x:fgColor rgb="FFE2F0D9"/>
      </x:patternFill>
    </x:fill>
    <x:fill>
      <x:patternFill patternType="solid">
        <x:fgColor rgb="FFFCE4D6"/>
      </x:patternFill>
    </x:fill>
  </x:fills>
  <x:borders count="59">
    <x:border/>
    <x:border>
      <x:left style="thin">
        <x:color rgb="FFC9D3E4"/>
      </x:left>
      <x:right style="thin">
        <x:color rgb="FFC9D3E4"/>
      </x:right>
      <x:top style="thin">
        <x:color rgb="FFC9D3E4"/>
      </x:top>
      <x:bottom style="thin">
        <x:color rgb="FFC9D3E4"/>
      </x:bottom>
    </x:border>
    <x:border/>
    <x:border>
      <x:left style="thin">
        <x:color rgb="FFC9D3E4"/>
      </x:left>
      <x:right style="thin">
        <x:color rgb="FFC9D3E4"/>
      </x:right>
      <x:top style="thin">
        <x:color rgb="FFC9D3E4"/>
      </x:top>
      <x:bottom style="thin">
        <x:color rgb="FFC9D3E4"/>
      </x:bottom>
    </x:border>
    <x:border>
      <x:left style="thin">
        <x:color rgb="FFA6B6C8"/>
      </x:left>
      <x:top style="thin">
        <x:color rgb="FFA6B6C8"/>
      </x:top>
      <x:bottom style="thin">
        <x:color rgb="FFA6B6C8"/>
      </x:bottom>
    </x:border>
    <x:border>
      <x:top style="thin">
        <x:color rgb="FFA6B6C8"/>
      </x:top>
      <x:bottom style="thin">
        <x:color rgb="FFA6B6C8"/>
      </x:bottom>
    </x:border>
    <x:border>
      <x:right style="thin">
        <x:color rgb="FFA6B6C8"/>
      </x:right>
      <x:top style="thin">
        <x:color rgb="FFA6B6C8"/>
      </x:top>
      <x:bottom style="thin">
        <x:color rgb="FFA6B6C8"/>
      </x:bottom>
    </x:border>
    <x:border>
      <x:left style="thin">
        <x:color rgb="FFA6B6C8"/>
      </x:left>
      <x:top style="thin">
        <x:color rgb="FFA6B6C8"/>
      </x:top>
      <x:bottom style="thin">
        <x:color rgb="FFA6B6C8"/>
      </x:bottom>
    </x:border>
    <x:border>
      <x:top style="thin">
        <x:color rgb="FFA6B6C8"/>
      </x:top>
      <x:bottom style="thin">
        <x:color rgb="FFA6B6C8"/>
      </x:bottom>
    </x:border>
    <x:border>
      <x:right style="thin">
        <x:color rgb="FFA6B6C8"/>
      </x:right>
      <x:top style="thin">
        <x:color rgb="FFA6B6C8"/>
      </x:top>
      <x:bottom style="thin">
        <x:color rgb="FFA6B6C8"/>
      </x:bottom>
    </x:border>
    <x:border>
      <x:left style="thin">
        <x:color rgb="FFFFFFFF"/>
      </x:left>
      <x:top style="thin">
        <x:color rgb="FFFFFFFF"/>
      </x:top>
      <x:bottom style="thin">
        <x:color rgb="FFFFFFFF"/>
      </x:bottom>
    </x:border>
    <x:border>
      <x:top style="thin">
        <x:color rgb="FFFFFFFF"/>
      </x:top>
      <x:bottom style="thin">
        <x:color rgb="FFFFFFFF"/>
      </x:bottom>
    </x:border>
    <x:border>
      <x:right style="thin">
        <x:color rgb="FFFFFFFF"/>
      </x:right>
      <x:top style="thin">
        <x:color rgb="FFFFFFFF"/>
      </x:top>
      <x:bottom style="thin">
        <x:color rgb="FFFFFFFF"/>
      </x:bottom>
    </x:border>
    <x:border>
      <x:left style="thin">
        <x:color rgb="FFFFFFFF"/>
      </x:left>
      <x:top style="thin">
        <x:color rgb="FFFFFFFF"/>
      </x:top>
      <x:bottom style="thin">
        <x:color rgb="FFFFFFFF"/>
      </x:bottom>
    </x:border>
    <x:border>
      <x:top style="thin">
        <x:color rgb="FFFFFFFF"/>
      </x:top>
      <x:bottom style="thin">
        <x:color rgb="FFFFFFFF"/>
      </x:bottom>
    </x:border>
    <x:border>
      <x:right style="thin">
        <x:color rgb="FFFFFFFF"/>
      </x:right>
      <x:top style="thin">
        <x:color rgb="FFFFFFFF"/>
      </x:top>
      <x:bottom style="thin">
        <x:color rgb="FFFFFFFF"/>
      </x:bottom>
    </x:border>
    <x:border>
      <x:left style="thin">
        <x:color rgb="FFD5DEE8"/>
      </x:left>
      <x:top style="thin">
        <x:color rgb="FFD5DEE8"/>
      </x:top>
    </x:border>
    <x:border>
      <x:top style="thin">
        <x:color rgb="FFD5DEE8"/>
      </x:top>
    </x:border>
    <x:border>
      <x:right style="thin">
        <x:color rgb="FFD5DEE8"/>
      </x:right>
      <x:top style="thin">
        <x:color rgb="FFD5DEE8"/>
      </x:top>
    </x:border>
    <x:border>
      <x:left style="thin">
        <x:color rgb="FFD5DEE8"/>
      </x:left>
    </x:border>
    <x:border>
      <x:right style="thin">
        <x:color rgb="FFD5DEE8"/>
      </x:right>
    </x:border>
    <x:border>
      <x:left style="thin">
        <x:color rgb="FFD5DEE8"/>
      </x:left>
      <x:bottom style="thin">
        <x:color rgb="FFD5DEE8"/>
      </x:bottom>
    </x:border>
    <x:border>
      <x:bottom style="thin">
        <x:color rgb="FFD5DEE8"/>
      </x:bottom>
    </x:border>
    <x:border>
      <x:right style="thin">
        <x:color rgb="FFD5DEE8"/>
      </x:right>
      <x:bottom style="thin">
        <x:color rgb="FFD5DEE8"/>
      </x:bottom>
    </x:border>
    <x:border>
      <x:left style="thin">
        <x:color rgb="FFD5DEE8"/>
      </x:left>
      <x:top style="thin">
        <x:color rgb="FFD5DEE8"/>
      </x:top>
    </x:border>
    <x:border>
      <x:top style="thin">
        <x:color rgb="FFD5DEE8"/>
      </x:top>
    </x:border>
    <x:border>
      <x:right style="thin">
        <x:color rgb="FFD5DEE8"/>
      </x:right>
      <x:top style="thin">
        <x:color rgb="FFD5DEE8"/>
      </x:top>
    </x:border>
    <x:border>
      <x:left style="thin">
        <x:color rgb="FFD5DEE8"/>
      </x:left>
    </x:border>
    <x:border>
      <x:right style="thin">
        <x:color rgb="FFD5DEE8"/>
      </x:right>
    </x:border>
    <x:border>
      <x:left style="thin">
        <x:color rgb="FFD5DEE8"/>
      </x:left>
      <x:bottom style="thin">
        <x:color rgb="FFD5DEE8"/>
      </x:bottom>
    </x:border>
    <x:border>
      <x:bottom style="thin">
        <x:color rgb="FFD5DEE8"/>
      </x:bottom>
    </x:border>
    <x:border>
      <x:right style="thin">
        <x:color rgb="FFD5DEE8"/>
      </x:right>
      <x:bottom style="thin">
        <x:color rgb="FFD5DEE8"/>
      </x:bottom>
    </x:border>
    <x:border>
      <x:left style="thin">
        <x:color rgb="FFA6B6C8"/>
      </x:left>
      <x:right style="thin">
        <x:color rgb="FFA6B6C8"/>
      </x:right>
      <x:top style="thin">
        <x:color rgb="FFA6B6C8"/>
      </x:top>
      <x:bottom style="thin">
        <x:color rgb="FFA6B6C8"/>
      </x:bottom>
    </x:border>
    <x:border>
      <x:left style="thin">
        <x:color rgb="FFA6B6C8"/>
      </x:left>
      <x:right style="thin">
        <x:color rgb="FFA6B6C8"/>
      </x:right>
      <x:top style="thin">
        <x:color rgb="FFA6B6C8"/>
      </x:top>
      <x:bottom style="thin">
        <x:color rgb="FFA6B6C8"/>
      </x:bottom>
    </x:border>
    <x:border>
      <x:left style="hair">
        <x:color rgb="FFD4DCE5"/>
      </x:left>
      <x:top style="hair">
        <x:color rgb="FFC8D1DC"/>
      </x:top>
      <x:bottom style="thin">
        <x:color rgb="FFFFFFFF"/>
      </x:bottom>
    </x:border>
    <x:border>
      <x:top style="hair">
        <x:color rgb="FFC8D1DC"/>
      </x:top>
      <x:bottom style="thin">
        <x:color rgb="FFFFFFFF"/>
      </x:bottom>
    </x:border>
    <x:border>
      <x:right style="hair">
        <x:color rgb="FFD4DCE5"/>
      </x:right>
      <x:top style="hair">
        <x:color rgb="FFC8D1DC"/>
      </x:top>
      <x:bottom style="thin">
        <x:color rgb="FFFFFFFF"/>
      </x:bottom>
    </x:border>
    <x:border>
      <x:left style="hair">
        <x:color rgb="FFD4DCE5"/>
      </x:left>
      <x:top style="thin">
        <x:color rgb="FFD5DEE8"/>
      </x:top>
    </x:border>
    <x:border>
      <x:right style="hair">
        <x:color rgb="FFD4DCE5"/>
      </x:right>
      <x:top style="thin">
        <x:color rgb="FFD5DEE8"/>
      </x:top>
    </x:border>
    <x:border>
      <x:left style="hair">
        <x:color rgb="FFD4DCE5"/>
      </x:left>
    </x:border>
    <x:border>
      <x:right style="hair">
        <x:color rgb="FFD4DCE5"/>
      </x:right>
    </x:border>
    <x:border>
      <x:left style="hair">
        <x:color rgb="FFD4DCE5"/>
      </x:left>
      <x:bottom style="hair">
        <x:color rgb="FFC8D1DC"/>
      </x:bottom>
    </x:border>
    <x:border>
      <x:bottom style="hair">
        <x:color rgb="FFC8D1DC"/>
      </x:bottom>
    </x:border>
    <x:border>
      <x:left style="thin">
        <x:color rgb="FFA6B6C8"/>
      </x:left>
      <x:right style="thin">
        <x:color rgb="FFA6B6C8"/>
      </x:right>
      <x:top style="thin">
        <x:color rgb="FFA6B6C8"/>
      </x:top>
      <x:bottom style="hair">
        <x:color rgb="FFC8D1DC"/>
      </x:bottom>
    </x:border>
    <x:border>
      <x:right style="hair">
        <x:color rgb="FFD4DCE5"/>
      </x:right>
      <x:bottom style="hair">
        <x:color rgb="FFC8D1DC"/>
      </x:bottom>
    </x:border>
    <x:border>
      <x:left style="hair">
        <x:color rgb="FFD4DCE5"/>
      </x:left>
      <x:top style="hair">
        <x:color rgb="FFC8D1DC"/>
      </x:top>
    </x:border>
    <x:border>
      <x:top style="hair">
        <x:color rgb="FFC8D1DC"/>
      </x:top>
    </x:border>
    <x:border>
      <x:right style="hair">
        <x:color rgb="FFD4DCE5"/>
      </x:right>
      <x:top style="hair">
        <x:color rgb="FFC8D1DC"/>
      </x:top>
    </x:border>
    <x:border>
      <x:left style="thin">
        <x:color rgb="FFC79A2E"/>
      </x:left>
      <x:top style="thin">
        <x:color rgb="FF8A6508"/>
      </x:top>
      <x:bottom style="thin">
        <x:color rgb="FF8A6508"/>
      </x:bottom>
    </x:border>
    <x:border>
      <x:top style="thin">
        <x:color rgb="FF8A6508"/>
      </x:top>
      <x:bottom style="thin">
        <x:color rgb="FF8A6508"/>
      </x:bottom>
    </x:border>
    <x:border>
      <x:right style="thin">
        <x:color rgb="FFC79A2E"/>
      </x:right>
      <x:top style="thin">
        <x:color rgb="FF8A6508"/>
      </x:top>
      <x:bottom style="thin">
        <x:color rgb="FF8A6508"/>
      </x:bottom>
    </x:border>
    <x:border>
      <x:left style="hair">
        <x:color rgb="FFD5C9A6"/>
      </x:left>
      <x:top style="hair">
        <x:color rgb="FFD5C9A6"/>
      </x:top>
    </x:border>
    <x:border>
      <x:top style="hair">
        <x:color rgb="FFD5C9A6"/>
      </x:top>
    </x:border>
    <x:border>
      <x:right style="hair">
        <x:color rgb="FFD5C9A6"/>
      </x:right>
      <x:top style="hair">
        <x:color rgb="FFD5C9A6"/>
      </x:top>
    </x:border>
    <x:border>
      <x:left style="hair">
        <x:color rgb="FFD5C9A6"/>
      </x:left>
    </x:border>
    <x:border>
      <x:right style="hair">
        <x:color rgb="FFD5C9A6"/>
      </x:right>
    </x:border>
    <x:border>
      <x:left style="hair">
        <x:color rgb="FFD5C9A6"/>
      </x:left>
      <x:bottom style="hair">
        <x:color rgb="FFD5C9A6"/>
      </x:bottom>
    </x:border>
    <x:border>
      <x:bottom style="hair">
        <x:color rgb="FFD5C9A6"/>
      </x:bottom>
    </x:border>
    <x:border>
      <x:right style="hair">
        <x:color rgb="FFD5C9A6"/>
      </x:right>
      <x:bottom style="hair">
        <x:color rgb="FFD5C9A6"/>
      </x:bottom>
    </x:border>
  </x:borders>
  <x:cellStyleXfs count="1">
    <x:xf numFmtId="0" fontId="0" fillId="0" borderId="0"/>
  </x:cellStyleXfs>
  <x:cellXfs count="1155">
    <x:xf numFmtId="0" fontId="0" fillId="0" borderId="0" xfId="0"/>
    <x:xf numFmtId="0" fontId="3" fillId="2" borderId="1" xfId="0" applyFont="1" applyFill="1" applyBorder="1" applyAlignment="1">
      <x:alignment horizontal="center" vertical="center" wrapText="1"/>
    </x:xf>
    <x:xf numFmtId="0" fontId="4" fillId="3" borderId="1" xfId="0" applyFont="1" applyFill="1" applyBorder="1" applyAlignment="1">
      <x:alignment horizontal="center" vertical="center" wrapText="1"/>
    </x:xf>
    <x:xf numFmtId="0" fontId="4" fillId="3" borderId="1" xfId="0" applyFont="1" applyFill="1" applyBorder="1" applyAlignment="1">
      <x:alignment horizontal="left" vertical="center" wrapText="1"/>
    </x:xf>
    <x:xf numFmtId="0" fontId="4" fillId="3" borderId="1" xfId="0" applyFont="1" applyFill="1" applyBorder="1" applyAlignment="1">
      <x:alignment horizontal="left" vertical="top" wrapText="1"/>
    </x:xf>
    <x:xf numFmtId="0" fontId="5" fillId="2" borderId="1" xfId="0" applyFont="1" applyFill="1" applyBorder="1" applyAlignment="1">
      <x:alignment horizontal="center" vertical="center" wrapText="1"/>
    </x:xf>
    <x:xf numFmtId="0" fontId="4" fillId="4" borderId="1" xfId="0" applyFont="1" applyFill="1" applyBorder="1" applyAlignment="1">
      <x:alignment horizontal="center" vertical="center" wrapText="1"/>
    </x:xf>
    <x:xf numFmtId="0" fontId="4" fillId="4" borderId="1" xfId="0" applyFont="1" applyFill="1" applyBorder="1" applyAlignment="1">
      <x:alignment horizontal="left" vertical="center" wrapText="1"/>
    </x:xf>
    <x:xf numFmtId="0" fontId="1" fillId="2" borderId="0" xfId="0" applyFont="1" applyFill="1" applyAlignment="1">
      <x:alignment horizontal="left" vertical="center"/>
    </x:xf>
    <x:xf numFmtId="0" fontId="2" fillId="0" borderId="0" xfId="0" applyFont="1" applyAlignment="1">
      <x:alignment horizontal="left" vertical="center"/>
    </x:xf>
    <x:xf numFmtId="0" fontId="0" fillId="0" borderId="2" xfId="0" applyNumberFormat="1" applyFont="1" applyFill="1" applyBorder="1"/>
    <x:xf numFmtId="0" fontId="3" fillId="2" borderId="3" xfId="0" applyNumberFormat="1" applyFont="1" applyFill="1" applyBorder="1" applyAlignment="1">
      <x:alignment horizontal="center" vertical="center" wrapText="1"/>
    </x:xf>
    <x:xf numFmtId="0" fontId="4" fillId="3" borderId="3" xfId="0" applyNumberFormat="1" applyFont="1" applyFill="1" applyBorder="1" applyAlignment="1">
      <x:alignment horizontal="center" vertical="center" wrapText="1"/>
    </x:xf>
    <x:xf numFmtId="0" fontId="4" fillId="3" borderId="3" xfId="0" applyNumberFormat="1" applyFont="1" applyFill="1" applyBorder="1" applyAlignment="1">
      <x:alignment horizontal="left" vertical="center" wrapText="1"/>
    </x:xf>
    <x:xf numFmtId="0" fontId="4" fillId="3" borderId="3" xfId="0" applyNumberFormat="1" applyFont="1" applyFill="1" applyBorder="1" applyAlignment="1">
      <x:alignment horizontal="left" vertical="top" wrapText="1"/>
    </x:xf>
    <x:xf numFmtId="0" fontId="5" fillId="2" borderId="3" xfId="0" applyNumberFormat="1" applyFont="1" applyFill="1" applyBorder="1" applyAlignment="1">
      <x:alignment horizontal="center" vertical="center" wrapText="1"/>
    </x:xf>
    <x:xf numFmtId="0" fontId="4" fillId="4" borderId="3" xfId="0" applyNumberFormat="1" applyFont="1" applyFill="1" applyBorder="1" applyAlignment="1">
      <x:alignment horizontal="center" vertical="center" wrapText="1"/>
    </x:xf>
    <x:xf numFmtId="0" fontId="4" fillId="4" borderId="3" xfId="0" applyNumberFormat="1" applyFont="1" applyFill="1" applyBorder="1" applyAlignment="1">
      <x:alignment horizontal="left" vertical="center" wrapText="1"/>
    </x:xf>
    <x:xf numFmtId="0" fontId="1" fillId="2" borderId="2" xfId="0" applyNumberFormat="1" applyFont="1" applyFill="1" applyBorder="1" applyAlignment="1">
      <x:alignment horizontal="left" vertical="center"/>
    </x:xf>
    <x:xf numFmtId="0" fontId="2" fillId="0" borderId="2" xfId="0" applyNumberFormat="1" applyFont="1" applyFill="1" applyBorder="1" applyAlignment="1">
      <x:alignment horizontal="left" vertical="center"/>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horizontal="left"/>
    </x:xf>
    <x:xf numFmtId="0" fontId="6" fillId="5" borderId="0" xfId="0" applyNumberFormat="1" applyFont="1" applyFill="1" applyBorder="1" applyAlignment="1">
      <x:alignment horizontal="left" vertical="center"/>
    </x:xf>
    <x:xf numFmtId="0" fontId="0" fillId="5" borderId="2" xfId="0" applyNumberFormat="1" applyFont="1" applyFill="1" applyBorder="1"/>
    <x:xf numFmtId="0" fontId="6" fillId="5" borderId="2" xfId="0" applyNumberFormat="1" applyFont="1" applyFill="1" applyBorder="1"/>
    <x:xf numFmtId="0" fontId="6" fillId="5" borderId="2" xfId="0" applyNumberFormat="1" applyFont="1" applyFill="1" applyBorder="1" applyAlignment="1">
      <x:alignment horizontal="left"/>
    </x:xf>
    <x:xf numFmtId="0" fontId="6" fillId="5" borderId="2" xfId="0" applyNumberFormat="1" applyFont="1" applyFill="1" applyBorder="1" applyAlignment="1">
      <x:alignment horizontal="left" vertical="center"/>
    </x:xf>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center" wrapText="1"/>
    </x:xf>
    <x:xf numFmtId="0" fontId="7" fillId="0" borderId="2" xfId="0" applyNumberFormat="1" applyFont="1" applyFill="1" applyBorder="1"/>
    <x:xf numFmtId="0" fontId="7" fillId="0" borderId="2" xfId="0" applyNumberFormat="1" applyFont="1" applyFill="1" applyBorder="1" applyAlignment="1">
      <x:alignment wrapText="1"/>
    </x:xf>
    <x:xf numFmtId="0" fontId="7" fillId="0" borderId="2" xfId="0" applyNumberFormat="1" applyFont="1" applyFill="1" applyBorder="1" applyAlignment="1">
      <x:alignment vertical="center" wrapText="1"/>
    </x:xf>
    <x:xf numFmtId="0" fontId="0" fillId="6" borderId="0" xfId="0" applyNumberFormat="1" applyFont="1" applyFill="1" applyBorder="1"/>
    <x:xf numFmtId="0" fontId="8" fillId="6" borderId="0" xfId="0" applyNumberFormat="1" applyFont="1" applyFill="1" applyBorder="1"/>
    <x:xf numFmtId="0" fontId="8" fillId="6" borderId="4" xfId="0" applyNumberFormat="1" applyFont="1" applyFill="1" applyBorder="1"/>
    <x:xf numFmtId="0" fontId="8" fillId="6" borderId="5" xfId="0" applyNumberFormat="1" applyFont="1" applyFill="1" applyBorder="1"/>
    <x:xf numFmtId="0" fontId="8" fillId="6" borderId="6" xfId="0" applyNumberFormat="1" applyFont="1" applyFill="1" applyBorder="1"/>
    <x:xf numFmtId="0" fontId="8" fillId="6" borderId="4" xfId="0" applyNumberFormat="1" applyFont="1" applyFill="1" applyBorder="1" applyAlignment="1">
      <x:alignment wrapText="1"/>
    </x:xf>
    <x:xf numFmtId="0" fontId="8" fillId="6" borderId="5" xfId="0" applyNumberFormat="1" applyFont="1" applyFill="1" applyBorder="1" applyAlignment="1">
      <x:alignment wrapText="1"/>
    </x:xf>
    <x:xf numFmtId="0" fontId="8" fillId="6" borderId="6" xfId="0" applyNumberFormat="1" applyFont="1" applyFill="1" applyBorder="1" applyAlignment="1">
      <x:alignment wrapText="1"/>
    </x:xf>
    <x:xf numFmtId="0" fontId="8" fillId="6" borderId="4" xfId="0" applyNumberFormat="1" applyFont="1" applyFill="1" applyBorder="1" applyAlignment="1">
      <x:alignment horizontal="center" wrapText="1"/>
    </x:xf>
    <x:xf numFmtId="0" fontId="8" fillId="6" borderId="5" xfId="0" applyNumberFormat="1" applyFont="1" applyFill="1" applyBorder="1" applyAlignment="1">
      <x:alignment horizontal="center" wrapText="1"/>
    </x:xf>
    <x:xf numFmtId="0" fontId="8" fillId="6" borderId="6" xfId="0" applyNumberFormat="1" applyFont="1" applyFill="1" applyBorder="1" applyAlignment="1">
      <x:alignment horizontal="center" wrapText="1"/>
    </x:xf>
    <x:xf numFmtId="0" fontId="8" fillId="6" borderId="4" xfId="0" applyNumberFormat="1" applyFont="1" applyFill="1" applyBorder="1" applyAlignment="1">
      <x:alignment horizontal="center" vertical="center" wrapText="1"/>
    </x:xf>
    <x:xf numFmtId="0" fontId="8" fillId="6" borderId="5" xfId="0" applyNumberFormat="1" applyFont="1" applyFill="1" applyBorder="1" applyAlignment="1">
      <x:alignment horizontal="center" vertical="center" wrapText="1"/>
    </x:xf>
    <x:xf numFmtId="0" fontId="8" fillId="6" borderId="6" xfId="0" applyNumberFormat="1" applyFont="1" applyFill="1" applyBorder="1" applyAlignment="1">
      <x:alignment horizontal="center" vertical="center" wrapText="1"/>
    </x:xf>
    <x:xf numFmtId="0" fontId="0" fillId="6" borderId="2" xfId="0" applyNumberFormat="1" applyFont="1" applyFill="1" applyBorder="1"/>
    <x:xf numFmtId="0" fontId="8" fillId="6" borderId="2" xfId="0" applyNumberFormat="1" applyFont="1" applyFill="1" applyBorder="1"/>
    <x:xf numFmtId="0" fontId="8" fillId="6" borderId="7" xfId="0" applyNumberFormat="1" applyFont="1" applyFill="1" applyBorder="1"/>
    <x:xf numFmtId="0" fontId="8" fillId="6" borderId="8" xfId="0" applyNumberFormat="1" applyFont="1" applyFill="1" applyBorder="1"/>
    <x:xf numFmtId="0" fontId="8" fillId="6" borderId="9" xfId="0" applyNumberFormat="1" applyFont="1" applyFill="1" applyBorder="1"/>
    <x:xf numFmtId="0" fontId="8" fillId="6" borderId="7" xfId="0" applyNumberFormat="1" applyFont="1" applyFill="1" applyBorder="1" applyAlignment="1">
      <x:alignment wrapText="1"/>
    </x:xf>
    <x:xf numFmtId="0" fontId="8" fillId="6" borderId="8" xfId="0" applyNumberFormat="1" applyFont="1" applyFill="1" applyBorder="1" applyAlignment="1">
      <x:alignment wrapText="1"/>
    </x:xf>
    <x:xf numFmtId="0" fontId="8" fillId="6" borderId="9" xfId="0" applyNumberFormat="1" applyFont="1" applyFill="1" applyBorder="1" applyAlignment="1">
      <x:alignment wrapText="1"/>
    </x:xf>
    <x:xf numFmtId="0" fontId="8" fillId="6" borderId="7" xfId="0" applyNumberFormat="1" applyFont="1" applyFill="1" applyBorder="1" applyAlignment="1">
      <x:alignment horizontal="center" wrapText="1"/>
    </x:xf>
    <x:xf numFmtId="0" fontId="8" fillId="6" borderId="8" xfId="0" applyNumberFormat="1" applyFont="1" applyFill="1" applyBorder="1" applyAlignment="1">
      <x:alignment horizontal="center" wrapText="1"/>
    </x:xf>
    <x:xf numFmtId="0" fontId="8" fillId="6" borderId="9" xfId="0" applyNumberFormat="1" applyFont="1" applyFill="1" applyBorder="1" applyAlignment="1">
      <x:alignment horizontal="center" wrapText="1"/>
    </x:xf>
    <x:xf numFmtId="0" fontId="8" fillId="6" borderId="7" xfId="0" applyNumberFormat="1" applyFont="1" applyFill="1" applyBorder="1" applyAlignment="1">
      <x:alignment horizontal="center" vertical="center" wrapText="1"/>
    </x:xf>
    <x:xf numFmtId="0" fontId="8" fillId="6" borderId="8" xfId="0" applyNumberFormat="1" applyFont="1" applyFill="1" applyBorder="1" applyAlignment="1">
      <x:alignment horizontal="center" vertical="center" wrapText="1"/>
    </x:xf>
    <x:xf numFmtId="0" fontId="8" fillId="6" borderId="9" xfId="0" applyNumberFormat="1" applyFont="1" applyFill="1" applyBorder="1" applyAlignment="1">
      <x:alignment horizontal="center" vertical="center" wrapText="1"/>
    </x:xf>
    <x:xf numFmtId="0" fontId="0" fillId="7" borderId="0" xfId="0" applyNumberFormat="1" applyFont="1" applyFill="1" applyBorder="1"/>
    <x:xf numFmtId="0" fontId="8" fillId="7" borderId="0" xfId="0" applyNumberFormat="1" applyFont="1" applyFill="1" applyBorder="1"/>
    <x:xf numFmtId="0" fontId="8" fillId="7" borderId="4" xfId="0" applyNumberFormat="1" applyFont="1" applyFill="1" applyBorder="1"/>
    <x:xf numFmtId="0" fontId="8" fillId="7" borderId="5" xfId="0" applyNumberFormat="1" applyFont="1" applyFill="1" applyBorder="1"/>
    <x:xf numFmtId="0" fontId="8" fillId="7" borderId="6" xfId="0" applyNumberFormat="1" applyFont="1" applyFill="1" applyBorder="1"/>
    <x:xf numFmtId="0" fontId="8" fillId="7" borderId="4" xfId="0" applyNumberFormat="1" applyFont="1" applyFill="1" applyBorder="1" applyAlignment="1">
      <x:alignment wrapText="1"/>
    </x:xf>
    <x:xf numFmtId="0" fontId="8" fillId="7" borderId="5" xfId="0" applyNumberFormat="1" applyFont="1" applyFill="1" applyBorder="1" applyAlignment="1">
      <x:alignment wrapText="1"/>
    </x:xf>
    <x:xf numFmtId="0" fontId="8" fillId="7" borderId="6" xfId="0" applyNumberFormat="1" applyFont="1" applyFill="1" applyBorder="1" applyAlignment="1">
      <x:alignment wrapText="1"/>
    </x:xf>
    <x:xf numFmtId="0" fontId="8" fillId="7" borderId="4" xfId="0" applyNumberFormat="1" applyFont="1" applyFill="1" applyBorder="1" applyAlignment="1">
      <x:alignment horizontal="center" wrapText="1"/>
    </x:xf>
    <x:xf numFmtId="0" fontId="8" fillId="7" borderId="5" xfId="0" applyNumberFormat="1" applyFont="1" applyFill="1" applyBorder="1" applyAlignment="1">
      <x:alignment horizontal="center" wrapText="1"/>
    </x:xf>
    <x:xf numFmtId="0" fontId="8" fillId="7" borderId="6" xfId="0" applyNumberFormat="1" applyFont="1" applyFill="1" applyBorder="1" applyAlignment="1">
      <x:alignment horizontal="center" wrapText="1"/>
    </x:xf>
    <x:xf numFmtId="0" fontId="8" fillId="7" borderId="4" xfId="0" applyNumberFormat="1" applyFont="1" applyFill="1" applyBorder="1" applyAlignment="1">
      <x:alignment horizontal="center" vertical="center" wrapText="1"/>
    </x:xf>
    <x:xf numFmtId="0" fontId="8" fillId="7" borderId="5" xfId="0" applyNumberFormat="1" applyFont="1" applyFill="1" applyBorder="1" applyAlignment="1">
      <x:alignment horizontal="center" vertical="center" wrapText="1"/>
    </x:xf>
    <x:xf numFmtId="0" fontId="8" fillId="7" borderId="6" xfId="0" applyNumberFormat="1" applyFont="1" applyFill="1" applyBorder="1" applyAlignment="1">
      <x:alignment horizontal="center" vertical="center" wrapText="1"/>
    </x:xf>
    <x:xf numFmtId="0" fontId="0" fillId="7" borderId="2" xfId="0" applyNumberFormat="1" applyFont="1" applyFill="1" applyBorder="1"/>
    <x:xf numFmtId="0" fontId="8" fillId="7" borderId="2" xfId="0" applyNumberFormat="1" applyFont="1" applyFill="1" applyBorder="1"/>
    <x:xf numFmtId="0" fontId="8" fillId="7" borderId="7" xfId="0" applyNumberFormat="1" applyFont="1" applyFill="1" applyBorder="1"/>
    <x:xf numFmtId="0" fontId="8" fillId="7" borderId="8" xfId="0" applyNumberFormat="1" applyFont="1" applyFill="1" applyBorder="1"/>
    <x:xf numFmtId="0" fontId="8" fillId="7" borderId="9" xfId="0" applyNumberFormat="1" applyFont="1" applyFill="1" applyBorder="1"/>
    <x:xf numFmtId="0" fontId="8" fillId="7" borderId="7" xfId="0" applyNumberFormat="1" applyFont="1" applyFill="1" applyBorder="1" applyAlignment="1">
      <x:alignment wrapText="1"/>
    </x:xf>
    <x:xf numFmtId="0" fontId="8" fillId="7" borderId="8" xfId="0" applyNumberFormat="1" applyFont="1" applyFill="1" applyBorder="1" applyAlignment="1">
      <x:alignment wrapText="1"/>
    </x:xf>
    <x:xf numFmtId="0" fontId="8" fillId="7" borderId="9" xfId="0" applyNumberFormat="1" applyFont="1" applyFill="1" applyBorder="1" applyAlignment="1">
      <x:alignment wrapText="1"/>
    </x:xf>
    <x:xf numFmtId="0" fontId="8" fillId="7" borderId="7" xfId="0" applyNumberFormat="1" applyFont="1" applyFill="1" applyBorder="1" applyAlignment="1">
      <x:alignment horizontal="center" wrapText="1"/>
    </x:xf>
    <x:xf numFmtId="0" fontId="8" fillId="7" borderId="8" xfId="0" applyNumberFormat="1" applyFont="1" applyFill="1" applyBorder="1" applyAlignment="1">
      <x:alignment horizontal="center" wrapText="1"/>
    </x:xf>
    <x:xf numFmtId="0" fontId="8" fillId="7" borderId="9" xfId="0" applyNumberFormat="1" applyFont="1" applyFill="1" applyBorder="1" applyAlignment="1">
      <x:alignment horizontal="center" wrapText="1"/>
    </x:xf>
    <x:xf numFmtId="0" fontId="8" fillId="7" borderId="7" xfId="0" applyNumberFormat="1" applyFont="1" applyFill="1" applyBorder="1" applyAlignment="1">
      <x:alignment horizontal="center" vertical="center" wrapText="1"/>
    </x:xf>
    <x:xf numFmtId="0" fontId="8" fillId="7" borderId="8" xfId="0" applyNumberFormat="1" applyFont="1" applyFill="1" applyBorder="1" applyAlignment="1">
      <x:alignment horizontal="center" vertical="center" wrapText="1"/>
    </x:xf>
    <x:xf numFmtId="0" fontId="8" fillId="7" borderId="9" xfId="0" applyNumberFormat="1" applyFont="1" applyFill="1" applyBorder="1" applyAlignment="1">
      <x:alignment horizontal="center" vertical="center" wrapText="1"/>
    </x:xf>
    <x:xf numFmtId="0" fontId="0" fillId="8" borderId="0" xfId="0" applyNumberFormat="1" applyFont="1" applyFill="1" applyBorder="1"/>
    <x:xf numFmtId="0" fontId="8" fillId="8" borderId="0" xfId="0" applyNumberFormat="1" applyFont="1" applyFill="1" applyBorder="1"/>
    <x:xf numFmtId="0" fontId="8" fillId="8" borderId="4"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4"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4" xfId="0" applyNumberFormat="1" applyFont="1" applyFill="1" applyBorder="1" applyAlignment="1">
      <x:alignment horizontal="center" wrapText="1"/>
    </x:xf>
    <x:xf numFmtId="0" fontId="8" fillId="8" borderId="5" xfId="0" applyNumberFormat="1" applyFont="1" applyFill="1" applyBorder="1" applyAlignment="1">
      <x:alignment horizontal="center" wrapText="1"/>
    </x:xf>
    <x:xf numFmtId="0" fontId="8" fillId="8" borderId="6" xfId="0" applyNumberFormat="1" applyFont="1" applyFill="1" applyBorder="1" applyAlignment="1">
      <x:alignment horizontal="center" wrapText="1"/>
    </x:xf>
    <x:xf numFmtId="0" fontId="8" fillId="8" borderId="4" xfId="0" applyNumberFormat="1" applyFont="1" applyFill="1" applyBorder="1" applyAlignment="1">
      <x:alignment horizontal="center" vertical="center" wrapText="1"/>
    </x:xf>
    <x:xf numFmtId="0" fontId="8" fillId="8" borderId="5" xfId="0" applyNumberFormat="1" applyFont="1" applyFill="1" applyBorder="1" applyAlignment="1">
      <x:alignment horizontal="center" vertical="center" wrapText="1"/>
    </x:xf>
    <x:xf numFmtId="0" fontId="8" fillId="8" borderId="6" xfId="0" applyNumberFormat="1" applyFont="1" applyFill="1" applyBorder="1" applyAlignment="1">
      <x:alignment horizontal="center" vertical="center" wrapText="1"/>
    </x:xf>
    <x:xf numFmtId="0" fontId="0" fillId="8" borderId="2" xfId="0" applyNumberFormat="1" applyFont="1" applyFill="1" applyBorder="1"/>
    <x:xf numFmtId="0" fontId="8" fillId="8" borderId="2" xfId="0" applyNumberFormat="1" applyFont="1" applyFill="1" applyBorder="1"/>
    <x:xf numFmtId="0" fontId="8" fillId="8" borderId="7"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7" xfId="0" applyNumberFormat="1" applyFont="1" applyFill="1" applyBorder="1" applyAlignment="1">
      <x:alignment wrapText="1"/>
    </x:xf>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7" xfId="0" applyNumberFormat="1" applyFont="1" applyFill="1" applyBorder="1" applyAlignment="1">
      <x:alignment horizontal="center" wrapText="1"/>
    </x:xf>
    <x:xf numFmtId="0" fontId="8" fillId="8" borderId="8" xfId="0" applyNumberFormat="1" applyFont="1" applyFill="1" applyBorder="1" applyAlignment="1">
      <x:alignment horizontal="center" wrapText="1"/>
    </x:xf>
    <x:xf numFmtId="0" fontId="8" fillId="8" borderId="9" xfId="0" applyNumberFormat="1" applyFont="1" applyFill="1" applyBorder="1" applyAlignment="1">
      <x:alignment horizontal="center" wrapText="1"/>
    </x:xf>
    <x:xf numFmtId="0" fontId="8" fillId="8" borderId="7" xfId="0" applyNumberFormat="1" applyFont="1" applyFill="1" applyBorder="1" applyAlignment="1">
      <x:alignment horizontal="center" vertical="center" wrapText="1"/>
    </x:xf>
    <x:xf numFmtId="0" fontId="8" fillId="8" borderId="8" xfId="0" applyNumberFormat="1" applyFont="1" applyFill="1" applyBorder="1" applyAlignment="1">
      <x:alignment horizontal="center" vertical="center" wrapText="1"/>
    </x:xf>
    <x:xf numFmtId="0" fontId="8" fillId="8" borderId="9" xfId="0" applyNumberFormat="1" applyFont="1" applyFill="1" applyBorder="1" applyAlignment="1">
      <x:alignment horizontal="center" vertical="center" wrapText="1"/>
    </x:xf>
    <x:xf numFmtId="0" fontId="0" fillId="9" borderId="0" xfId="0" applyNumberFormat="1" applyFont="1" applyFill="1" applyBorder="1"/>
    <x:xf numFmtId="0" fontId="8" fillId="9" borderId="0" xfId="0" applyNumberFormat="1" applyFont="1" applyFill="1" applyBorder="1"/>
    <x:xf numFmtId="0" fontId="8" fillId="9" borderId="4" xfId="0" applyNumberFormat="1" applyFont="1" applyFill="1" applyBorder="1"/>
    <x:xf numFmtId="0" fontId="8" fillId="9" borderId="5" xfId="0" applyNumberFormat="1" applyFont="1" applyFill="1" applyBorder="1"/>
    <x:xf numFmtId="0" fontId="8" fillId="9" borderId="6" xfId="0" applyNumberFormat="1" applyFont="1" applyFill="1" applyBorder="1"/>
    <x:xf numFmtId="0" fontId="8" fillId="9" borderId="4" xfId="0" applyNumberFormat="1" applyFont="1" applyFill="1" applyBorder="1" applyAlignment="1">
      <x:alignment wrapText="1"/>
    </x:xf>
    <x:xf numFmtId="0" fontId="8" fillId="9" borderId="5" xfId="0" applyNumberFormat="1" applyFont="1" applyFill="1" applyBorder="1" applyAlignment="1">
      <x:alignment wrapText="1"/>
    </x:xf>
    <x:xf numFmtId="0" fontId="8" fillId="9" borderId="6" xfId="0" applyNumberFormat="1" applyFont="1" applyFill="1" applyBorder="1" applyAlignment="1">
      <x:alignment wrapText="1"/>
    </x:xf>
    <x:xf numFmtId="0" fontId="8" fillId="9" borderId="4" xfId="0" applyNumberFormat="1" applyFont="1" applyFill="1" applyBorder="1" applyAlignment="1">
      <x:alignment horizontal="center" wrapText="1"/>
    </x:xf>
    <x:xf numFmtId="0" fontId="8" fillId="9" borderId="5" xfId="0" applyNumberFormat="1" applyFont="1" applyFill="1" applyBorder="1" applyAlignment="1">
      <x:alignment horizontal="center" wrapText="1"/>
    </x:xf>
    <x:xf numFmtId="0" fontId="8" fillId="9" borderId="6" xfId="0" applyNumberFormat="1" applyFont="1" applyFill="1" applyBorder="1" applyAlignment="1">
      <x:alignment horizontal="center" wrapText="1"/>
    </x:xf>
    <x:xf numFmtId="0" fontId="8" fillId="9" borderId="4" xfId="0" applyNumberFormat="1" applyFont="1" applyFill="1" applyBorder="1" applyAlignment="1">
      <x:alignment horizontal="center" vertical="center" wrapText="1"/>
    </x:xf>
    <x:xf numFmtId="0" fontId="8" fillId="9" borderId="5" xfId="0" applyNumberFormat="1" applyFont="1" applyFill="1" applyBorder="1" applyAlignment="1">
      <x:alignment horizontal="center" vertical="center" wrapText="1"/>
    </x:xf>
    <x:xf numFmtId="0" fontId="8" fillId="9" borderId="6" xfId="0" applyNumberFormat="1" applyFont="1" applyFill="1" applyBorder="1" applyAlignment="1">
      <x:alignment horizontal="center" vertical="center" wrapText="1"/>
    </x:xf>
    <x:xf numFmtId="0" fontId="0" fillId="9" borderId="2" xfId="0" applyNumberFormat="1" applyFont="1" applyFill="1" applyBorder="1"/>
    <x:xf numFmtId="0" fontId="8" fillId="9" borderId="2" xfId="0" applyNumberFormat="1" applyFont="1" applyFill="1" applyBorder="1"/>
    <x:xf numFmtId="0" fontId="8" fillId="9" borderId="7" xfId="0" applyNumberFormat="1" applyFont="1" applyFill="1" applyBorder="1"/>
    <x:xf numFmtId="0" fontId="8" fillId="9" borderId="8" xfId="0" applyNumberFormat="1" applyFont="1" applyFill="1" applyBorder="1"/>
    <x:xf numFmtId="0" fontId="8" fillId="9" borderId="9" xfId="0" applyNumberFormat="1" applyFont="1" applyFill="1" applyBorder="1"/>
    <x:xf numFmtId="0" fontId="8" fillId="9" borderId="7" xfId="0" applyNumberFormat="1" applyFont="1" applyFill="1" applyBorder="1" applyAlignment="1">
      <x:alignment wrapText="1"/>
    </x:xf>
    <x:xf numFmtId="0" fontId="8" fillId="9" borderId="8" xfId="0" applyNumberFormat="1" applyFont="1" applyFill="1" applyBorder="1" applyAlignment="1">
      <x:alignment wrapText="1"/>
    </x:xf>
    <x:xf numFmtId="0" fontId="8" fillId="9" borderId="9" xfId="0" applyNumberFormat="1" applyFont="1" applyFill="1" applyBorder="1" applyAlignment="1">
      <x:alignment wrapText="1"/>
    </x:xf>
    <x:xf numFmtId="0" fontId="8" fillId="9" borderId="7" xfId="0" applyNumberFormat="1" applyFont="1" applyFill="1" applyBorder="1" applyAlignment="1">
      <x:alignment horizontal="center" wrapText="1"/>
    </x:xf>
    <x:xf numFmtId="0" fontId="8" fillId="9" borderId="8" xfId="0" applyNumberFormat="1" applyFont="1" applyFill="1" applyBorder="1" applyAlignment="1">
      <x:alignment horizontal="center" wrapText="1"/>
    </x:xf>
    <x:xf numFmtId="0" fontId="8" fillId="9" borderId="9" xfId="0" applyNumberFormat="1" applyFont="1" applyFill="1" applyBorder="1" applyAlignment="1">
      <x:alignment horizontal="center" wrapText="1"/>
    </x:xf>
    <x:xf numFmtId="0" fontId="8" fillId="9" borderId="7" xfId="0" applyNumberFormat="1" applyFont="1" applyFill="1" applyBorder="1" applyAlignment="1">
      <x:alignment horizontal="center" vertical="center" wrapText="1"/>
    </x:xf>
    <x:xf numFmtId="0" fontId="8" fillId="9" borderId="8" xfId="0" applyNumberFormat="1" applyFont="1" applyFill="1" applyBorder="1" applyAlignment="1">
      <x:alignment horizontal="center" vertical="center" wrapText="1"/>
    </x:xf>
    <x:xf numFmtId="0" fontId="8" fillId="9" borderId="9" xfId="0" applyNumberFormat="1" applyFont="1" applyFill="1" applyBorder="1" applyAlignment="1">
      <x:alignment horizontal="center" vertical="center" wrapText="1"/>
    </x:xf>
    <x:xf numFmtId="0" fontId="0" fillId="10" borderId="0" xfId="0" applyNumberFormat="1" applyFont="1" applyFill="1" applyBorder="1"/>
    <x:xf numFmtId="0" fontId="8" fillId="10" borderId="0" xfId="0" applyNumberFormat="1" applyFont="1" applyFill="1" applyBorder="1"/>
    <x:xf numFmtId="0" fontId="8" fillId="10" borderId="4" xfId="0" applyNumberFormat="1" applyFont="1" applyFill="1" applyBorder="1"/>
    <x:xf numFmtId="0" fontId="8" fillId="10" borderId="5" xfId="0" applyNumberFormat="1" applyFont="1" applyFill="1" applyBorder="1"/>
    <x:xf numFmtId="0" fontId="8" fillId="10" borderId="6" xfId="0" applyNumberFormat="1" applyFont="1" applyFill="1" applyBorder="1"/>
    <x:xf numFmtId="0" fontId="8" fillId="10" borderId="4" xfId="0" applyNumberFormat="1" applyFont="1" applyFill="1" applyBorder="1" applyAlignment="1">
      <x:alignment wrapText="1"/>
    </x:xf>
    <x:xf numFmtId="0" fontId="8" fillId="10" borderId="5" xfId="0" applyNumberFormat="1" applyFont="1" applyFill="1" applyBorder="1" applyAlignment="1">
      <x:alignment wrapText="1"/>
    </x:xf>
    <x:xf numFmtId="0" fontId="8" fillId="10" borderId="6" xfId="0" applyNumberFormat="1" applyFont="1" applyFill="1" applyBorder="1" applyAlignment="1">
      <x:alignment wrapText="1"/>
    </x:xf>
    <x:xf numFmtId="0" fontId="8" fillId="10" borderId="4" xfId="0" applyNumberFormat="1" applyFont="1" applyFill="1" applyBorder="1" applyAlignment="1">
      <x:alignment horizontal="center" wrapText="1"/>
    </x:xf>
    <x:xf numFmtId="0" fontId="8" fillId="10" borderId="5" xfId="0" applyNumberFormat="1" applyFont="1" applyFill="1" applyBorder="1" applyAlignment="1">
      <x:alignment horizontal="center" wrapText="1"/>
    </x:xf>
    <x:xf numFmtId="0" fontId="8" fillId="10" borderId="6" xfId="0" applyNumberFormat="1" applyFont="1" applyFill="1" applyBorder="1" applyAlignment="1">
      <x:alignment horizontal="center" wrapText="1"/>
    </x:xf>
    <x:xf numFmtId="0" fontId="8" fillId="10" borderId="4" xfId="0" applyNumberFormat="1" applyFont="1" applyFill="1" applyBorder="1" applyAlignment="1">
      <x:alignment horizontal="center" vertical="center" wrapText="1"/>
    </x:xf>
    <x:xf numFmtId="0" fontId="8" fillId="10" borderId="5" xfId="0" applyNumberFormat="1" applyFont="1" applyFill="1" applyBorder="1" applyAlignment="1">
      <x:alignment horizontal="center" vertical="center" wrapText="1"/>
    </x:xf>
    <x:xf numFmtId="0" fontId="8" fillId="10" borderId="6" xfId="0" applyNumberFormat="1" applyFont="1" applyFill="1" applyBorder="1" applyAlignment="1">
      <x:alignment horizontal="center" vertical="center" wrapText="1"/>
    </x:xf>
    <x:xf numFmtId="0" fontId="0" fillId="10" borderId="2" xfId="0" applyNumberFormat="1" applyFont="1" applyFill="1" applyBorder="1"/>
    <x:xf numFmtId="0" fontId="8" fillId="10" borderId="2" xfId="0" applyNumberFormat="1" applyFont="1" applyFill="1" applyBorder="1"/>
    <x:xf numFmtId="0" fontId="8" fillId="10" borderId="7" xfId="0" applyNumberFormat="1" applyFont="1" applyFill="1" applyBorder="1"/>
    <x:xf numFmtId="0" fontId="8" fillId="10" borderId="8" xfId="0" applyNumberFormat="1" applyFont="1" applyFill="1" applyBorder="1"/>
    <x:xf numFmtId="0" fontId="8" fillId="10" borderId="9" xfId="0" applyNumberFormat="1" applyFont="1" applyFill="1" applyBorder="1"/>
    <x:xf numFmtId="0" fontId="8" fillId="10" borderId="7" xfId="0" applyNumberFormat="1" applyFont="1" applyFill="1" applyBorder="1" applyAlignment="1">
      <x:alignment wrapText="1"/>
    </x:xf>
    <x:xf numFmtId="0" fontId="8" fillId="10" borderId="8" xfId="0" applyNumberFormat="1" applyFont="1" applyFill="1" applyBorder="1" applyAlignment="1">
      <x:alignment wrapText="1"/>
    </x:xf>
    <x:xf numFmtId="0" fontId="8" fillId="10" borderId="9" xfId="0" applyNumberFormat="1" applyFont="1" applyFill="1" applyBorder="1" applyAlignment="1">
      <x:alignment wrapText="1"/>
    </x:xf>
    <x:xf numFmtId="0" fontId="8" fillId="10" borderId="7" xfId="0" applyNumberFormat="1" applyFont="1" applyFill="1" applyBorder="1" applyAlignment="1">
      <x:alignment horizontal="center" wrapText="1"/>
    </x:xf>
    <x:xf numFmtId="0" fontId="8" fillId="10" borderId="8" xfId="0" applyNumberFormat="1" applyFont="1" applyFill="1" applyBorder="1" applyAlignment="1">
      <x:alignment horizontal="center" wrapText="1"/>
    </x:xf>
    <x:xf numFmtId="0" fontId="8" fillId="10" borderId="9" xfId="0" applyNumberFormat="1" applyFont="1" applyFill="1" applyBorder="1" applyAlignment="1">
      <x:alignment horizontal="center" wrapText="1"/>
    </x:xf>
    <x:xf numFmtId="0" fontId="8" fillId="10" borderId="7" xfId="0" applyNumberFormat="1" applyFont="1" applyFill="1" applyBorder="1" applyAlignment="1">
      <x:alignment horizontal="center" vertical="center" wrapText="1"/>
    </x:xf>
    <x:xf numFmtId="0" fontId="8" fillId="10" borderId="8" xfId="0" applyNumberFormat="1" applyFont="1" applyFill="1" applyBorder="1" applyAlignment="1">
      <x:alignment horizontal="center" vertical="center" wrapText="1"/>
    </x:xf>
    <x:xf numFmtId="0" fontId="8" fillId="10" borderId="9" xfId="0" applyNumberFormat="1" applyFont="1" applyFill="1" applyBorder="1" applyAlignment="1">
      <x:alignment horizontal="center" vertical="center" wrapText="1"/>
    </x:xf>
    <x:xf numFmtId="0" fontId="0" fillId="11" borderId="0" xfId="0" applyNumberFormat="1" applyFont="1" applyFill="1" applyBorder="1"/>
    <x:xf numFmtId="0" fontId="9" fillId="11" borderId="0" xfId="0" applyNumberFormat="1" applyFont="1" applyFill="1" applyBorder="1"/>
    <x:xf numFmtId="0" fontId="9" fillId="11" borderId="10" xfId="0" applyNumberFormat="1" applyFont="1" applyFill="1" applyBorder="1"/>
    <x:xf numFmtId="0" fontId="9" fillId="11" borderId="11" xfId="0" applyNumberFormat="1" applyFont="1" applyFill="1" applyBorder="1"/>
    <x:xf numFmtId="0" fontId="9" fillId="11" borderId="12" xfId="0" applyNumberFormat="1" applyFont="1" applyFill="1" applyBorder="1"/>
    <x:xf numFmtId="0" fontId="9" fillId="11" borderId="10" xfId="0" applyNumberFormat="1" applyFont="1" applyFill="1" applyBorder="1" applyAlignment="1">
      <x:alignment horizontal="center"/>
    </x:xf>
    <x:xf numFmtId="0" fontId="9" fillId="11" borderId="11" xfId="0" applyNumberFormat="1" applyFont="1" applyFill="1" applyBorder="1" applyAlignment="1">
      <x:alignment horizontal="center"/>
    </x:xf>
    <x:xf numFmtId="0" fontId="9" fillId="11" borderId="12" xfId="0" applyNumberFormat="1" applyFont="1" applyFill="1" applyBorder="1" applyAlignment="1">
      <x:alignment horizontal="center"/>
    </x:xf>
    <x:xf numFmtId="0" fontId="9" fillId="11" borderId="10" xfId="0" applyNumberFormat="1" applyFont="1" applyFill="1" applyBorder="1" applyAlignment="1">
      <x:alignment horizontal="center" vertical="center"/>
    </x:xf>
    <x:xf numFmtId="0" fontId="9" fillId="11" borderId="11" xfId="0" applyNumberFormat="1" applyFont="1" applyFill="1" applyBorder="1" applyAlignment="1">
      <x:alignment horizontal="center" vertical="center"/>
    </x:xf>
    <x:xf numFmtId="0" fontId="9" fillId="11" borderId="12" xfId="0" applyNumberFormat="1" applyFont="1" applyFill="1" applyBorder="1" applyAlignment="1">
      <x:alignment horizontal="center" vertical="center"/>
    </x:xf>
    <x:xf numFmtId="0" fontId="0" fillId="11" borderId="2" xfId="0" applyNumberFormat="1" applyFont="1" applyFill="1" applyBorder="1"/>
    <x:xf numFmtId="0" fontId="9" fillId="11" borderId="2" xfId="0" applyNumberFormat="1" applyFont="1" applyFill="1" applyBorder="1"/>
    <x:xf numFmtId="0" fontId="9" fillId="11" borderId="13" xfId="0" applyNumberFormat="1" applyFont="1" applyFill="1" applyBorder="1"/>
    <x:xf numFmtId="0" fontId="9" fillId="11" borderId="14" xfId="0" applyNumberFormat="1" applyFont="1" applyFill="1" applyBorder="1"/>
    <x:xf numFmtId="0" fontId="9" fillId="11" borderId="15" xfId="0" applyNumberFormat="1" applyFont="1" applyFill="1" applyBorder="1"/>
    <x:xf numFmtId="0" fontId="9" fillId="11" borderId="13" xfId="0" applyNumberFormat="1" applyFont="1" applyFill="1" applyBorder="1" applyAlignment="1">
      <x:alignment horizontal="center"/>
    </x:xf>
    <x:xf numFmtId="0" fontId="9" fillId="11" borderId="14" xfId="0" applyNumberFormat="1" applyFont="1" applyFill="1" applyBorder="1" applyAlignment="1">
      <x:alignment horizontal="center"/>
    </x:xf>
    <x:xf numFmtId="0" fontId="9" fillId="11" borderId="15" xfId="0" applyNumberFormat="1" applyFont="1" applyFill="1" applyBorder="1" applyAlignment="1">
      <x:alignment horizontal="center"/>
    </x:xf>
    <x:xf numFmtId="0" fontId="9" fillId="11" borderId="13" xfId="0" applyNumberFormat="1" applyFont="1" applyFill="1" applyBorder="1" applyAlignment="1">
      <x:alignment horizontal="center" vertical="center"/>
    </x:xf>
    <x:xf numFmtId="0" fontId="9" fillId="11" borderId="14" xfId="0" applyNumberFormat="1" applyFont="1" applyFill="1" applyBorder="1" applyAlignment="1">
      <x:alignment horizontal="center" vertical="center"/>
    </x:xf>
    <x:xf numFmtId="0" fontId="9" fillId="11" borderId="15" xfId="0" applyNumberFormat="1" applyFont="1" applyFill="1" applyBorder="1" applyAlignment="1">
      <x:alignment horizontal="center" vertical="center"/>
    </x:xf>
    <x:xf numFmtId="0" fontId="0" fillId="12" borderId="0" xfId="0" applyNumberFormat="1" applyFont="1" applyFill="1" applyBorder="1"/>
    <x:xf numFmtId="0" fontId="9" fillId="12" borderId="0" xfId="0" applyNumberFormat="1" applyFont="1" applyFill="1" applyBorder="1"/>
    <x:xf numFmtId="0" fontId="9" fillId="12" borderId="10" xfId="0" applyNumberFormat="1" applyFont="1" applyFill="1" applyBorder="1"/>
    <x:xf numFmtId="0" fontId="9" fillId="12" borderId="11" xfId="0" applyNumberFormat="1" applyFont="1" applyFill="1" applyBorder="1"/>
    <x:xf numFmtId="0" fontId="9" fillId="12" borderId="12" xfId="0" applyNumberFormat="1" applyFont="1" applyFill="1" applyBorder="1"/>
    <x:xf numFmtId="0" fontId="9" fillId="12" borderId="10" xfId="0" applyNumberFormat="1" applyFont="1" applyFill="1" applyBorder="1" applyAlignment="1">
      <x:alignment horizontal="center"/>
    </x:xf>
    <x:xf numFmtId="0" fontId="9" fillId="12" borderId="11" xfId="0" applyNumberFormat="1" applyFont="1" applyFill="1" applyBorder="1" applyAlignment="1">
      <x:alignment horizontal="center"/>
    </x:xf>
    <x:xf numFmtId="0" fontId="9" fillId="12" borderId="12" xfId="0" applyNumberFormat="1" applyFont="1" applyFill="1" applyBorder="1" applyAlignment="1">
      <x:alignment horizontal="center"/>
    </x:xf>
    <x:xf numFmtId="0" fontId="9" fillId="12" borderId="10" xfId="0" applyNumberFormat="1" applyFont="1" applyFill="1" applyBorder="1" applyAlignment="1">
      <x:alignment horizontal="center" vertical="center"/>
    </x:xf>
    <x:xf numFmtId="0" fontId="9" fillId="12" borderId="11" xfId="0" applyNumberFormat="1" applyFont="1" applyFill="1" applyBorder="1" applyAlignment="1">
      <x:alignment horizontal="center" vertical="center"/>
    </x:xf>
    <x:xf numFmtId="0" fontId="9" fillId="12" borderId="12" xfId="0" applyNumberFormat="1" applyFont="1" applyFill="1" applyBorder="1" applyAlignment="1">
      <x:alignment horizontal="center" vertical="center"/>
    </x:xf>
    <x:xf numFmtId="0" fontId="0" fillId="12" borderId="2" xfId="0" applyNumberFormat="1" applyFont="1" applyFill="1" applyBorder="1"/>
    <x:xf numFmtId="0" fontId="9" fillId="12" borderId="2" xfId="0" applyNumberFormat="1" applyFont="1" applyFill="1" applyBorder="1"/>
    <x:xf numFmtId="0" fontId="9" fillId="12" borderId="13" xfId="0" applyNumberFormat="1" applyFont="1" applyFill="1" applyBorder="1"/>
    <x:xf numFmtId="0" fontId="9" fillId="12" borderId="14" xfId="0" applyNumberFormat="1" applyFont="1" applyFill="1" applyBorder="1"/>
    <x:xf numFmtId="0" fontId="9" fillId="12" borderId="15" xfId="0" applyNumberFormat="1" applyFont="1" applyFill="1" applyBorder="1"/>
    <x:xf numFmtId="0" fontId="9" fillId="12" borderId="13" xfId="0" applyNumberFormat="1" applyFont="1" applyFill="1" applyBorder="1" applyAlignment="1">
      <x:alignment horizontal="center"/>
    </x:xf>
    <x:xf numFmtId="0" fontId="9" fillId="12" borderId="14" xfId="0" applyNumberFormat="1" applyFont="1" applyFill="1" applyBorder="1" applyAlignment="1">
      <x:alignment horizontal="center"/>
    </x:xf>
    <x:xf numFmtId="0" fontId="9" fillId="12" borderId="15" xfId="0" applyNumberFormat="1" applyFont="1" applyFill="1" applyBorder="1" applyAlignment="1">
      <x:alignment horizontal="center"/>
    </x:xf>
    <x:xf numFmtId="0" fontId="9" fillId="12" borderId="13" xfId="0" applyNumberFormat="1" applyFont="1" applyFill="1" applyBorder="1" applyAlignment="1">
      <x:alignment horizontal="center" vertical="center"/>
    </x:xf>
    <x:xf numFmtId="0" fontId="9" fillId="12" borderId="14" xfId="0" applyNumberFormat="1" applyFont="1" applyFill="1" applyBorder="1" applyAlignment="1">
      <x:alignment horizontal="center" vertical="center"/>
    </x:xf>
    <x:xf numFmtId="0" fontId="9" fillId="12" borderId="15" xfId="0" applyNumberFormat="1" applyFont="1" applyFill="1" applyBorder="1" applyAlignment="1">
      <x:alignment horizontal="center" vertical="center"/>
    </x:xf>
    <x:xf numFmtId="0" fontId="0" fillId="13" borderId="0" xfId="0" applyNumberFormat="1" applyFont="1" applyFill="1" applyBorder="1"/>
    <x:xf numFmtId="0" fontId="9" fillId="13" borderId="0" xfId="0" applyNumberFormat="1" applyFont="1" applyFill="1" applyBorder="1"/>
    <x:xf numFmtId="0" fontId="9" fillId="13" borderId="10" xfId="0" applyNumberFormat="1" applyFont="1" applyFill="1" applyBorder="1"/>
    <x:xf numFmtId="0" fontId="9" fillId="13" borderId="11" xfId="0" applyNumberFormat="1" applyFont="1" applyFill="1" applyBorder="1"/>
    <x:xf numFmtId="0" fontId="9" fillId="13" borderId="12" xfId="0" applyNumberFormat="1" applyFont="1" applyFill="1" applyBorder="1"/>
    <x:xf numFmtId="0" fontId="9" fillId="13" borderId="10" xfId="0" applyNumberFormat="1" applyFont="1" applyFill="1" applyBorder="1" applyAlignment="1">
      <x:alignment horizontal="center"/>
    </x:xf>
    <x:xf numFmtId="0" fontId="9" fillId="13" borderId="11" xfId="0" applyNumberFormat="1" applyFont="1" applyFill="1" applyBorder="1" applyAlignment="1">
      <x:alignment horizontal="center"/>
    </x:xf>
    <x:xf numFmtId="0" fontId="9" fillId="13" borderId="12" xfId="0" applyNumberFormat="1" applyFont="1" applyFill="1" applyBorder="1" applyAlignment="1">
      <x:alignment horizontal="center"/>
    </x:xf>
    <x:xf numFmtId="0" fontId="9" fillId="13" borderId="10" xfId="0" applyNumberFormat="1" applyFont="1" applyFill="1" applyBorder="1" applyAlignment="1">
      <x:alignment horizontal="center" vertical="center"/>
    </x:xf>
    <x:xf numFmtId="0" fontId="9" fillId="13" borderId="11" xfId="0" applyNumberFormat="1" applyFont="1" applyFill="1" applyBorder="1" applyAlignment="1">
      <x:alignment horizontal="center" vertical="center"/>
    </x:xf>
    <x:xf numFmtId="0" fontId="9" fillId="13" borderId="12" xfId="0" applyNumberFormat="1" applyFont="1" applyFill="1" applyBorder="1" applyAlignment="1">
      <x:alignment horizontal="center" vertical="center"/>
    </x:xf>
    <x:xf numFmtId="0" fontId="0" fillId="13" borderId="2" xfId="0" applyNumberFormat="1" applyFont="1" applyFill="1" applyBorder="1"/>
    <x:xf numFmtId="0" fontId="9" fillId="13" borderId="2" xfId="0" applyNumberFormat="1" applyFont="1" applyFill="1" applyBorder="1"/>
    <x:xf numFmtId="0" fontId="9" fillId="13" borderId="13" xfId="0" applyNumberFormat="1" applyFont="1" applyFill="1" applyBorder="1"/>
    <x:xf numFmtId="0" fontId="9" fillId="13" borderId="14" xfId="0" applyNumberFormat="1" applyFont="1" applyFill="1" applyBorder="1"/>
    <x:xf numFmtId="0" fontId="9" fillId="13" borderId="15" xfId="0" applyNumberFormat="1" applyFont="1" applyFill="1" applyBorder="1"/>
    <x:xf numFmtId="0" fontId="9" fillId="13" borderId="13" xfId="0" applyNumberFormat="1" applyFont="1" applyFill="1" applyBorder="1" applyAlignment="1">
      <x:alignment horizontal="center"/>
    </x:xf>
    <x:xf numFmtId="0" fontId="9" fillId="13" borderId="14" xfId="0" applyNumberFormat="1" applyFont="1" applyFill="1" applyBorder="1" applyAlignment="1">
      <x:alignment horizontal="center"/>
    </x:xf>
    <x:xf numFmtId="0" fontId="9" fillId="13" borderId="15" xfId="0" applyNumberFormat="1" applyFont="1" applyFill="1" applyBorder="1" applyAlignment="1">
      <x:alignment horizontal="center"/>
    </x:xf>
    <x:xf numFmtId="0" fontId="9" fillId="13" borderId="13" xfId="0" applyNumberFormat="1" applyFont="1" applyFill="1" applyBorder="1" applyAlignment="1">
      <x:alignment horizontal="center" vertical="center"/>
    </x:xf>
    <x:xf numFmtId="0" fontId="9" fillId="13" borderId="14" xfId="0" applyNumberFormat="1" applyFont="1" applyFill="1" applyBorder="1" applyAlignment="1">
      <x:alignment horizontal="center" vertical="center"/>
    </x:xf>
    <x:xf numFmtId="0" fontId="9" fillId="13" borderId="15" xfId="0" applyNumberFormat="1" applyFont="1" applyFill="1" applyBorder="1" applyAlignment="1">
      <x:alignment horizontal="center" vertical="center"/>
    </x:xf>
    <x:xf numFmtId="0" fontId="10" fillId="5" borderId="0" xfId="0" applyNumberFormat="1" applyFont="1" applyFill="1" applyBorder="1"/>
    <x:xf numFmtId="0" fontId="10" fillId="5" borderId="10" xfId="0" applyNumberFormat="1" applyFont="1" applyFill="1" applyBorder="1"/>
    <x:xf numFmtId="0" fontId="10" fillId="5" borderId="11" xfId="0" applyNumberFormat="1" applyFont="1" applyFill="1" applyBorder="1"/>
    <x:xf numFmtId="0" fontId="10" fillId="5" borderId="12" xfId="0" applyNumberFormat="1" applyFont="1" applyFill="1" applyBorder="1"/>
    <x:xf numFmtId="0" fontId="10" fillId="5" borderId="10" xfId="0" applyNumberFormat="1" applyFont="1" applyFill="1" applyBorder="1" applyAlignment="1">
      <x:alignment wrapText="1"/>
    </x:xf>
    <x:xf numFmtId="0" fontId="10" fillId="5" borderId="11" xfId="0" applyNumberFormat="1" applyFont="1" applyFill="1" applyBorder="1" applyAlignment="1">
      <x:alignment wrapText="1"/>
    </x:xf>
    <x:xf numFmtId="0" fontId="10" fillId="5" borderId="12" xfId="0" applyNumberFormat="1" applyFont="1" applyFill="1" applyBorder="1" applyAlignment="1">
      <x:alignment wrapText="1"/>
    </x:xf>
    <x:xf numFmtId="0" fontId="10" fillId="5" borderId="10" xfId="0" applyNumberFormat="1" applyFont="1" applyFill="1" applyBorder="1" applyAlignment="1">
      <x:alignment horizontal="center" wrapText="1"/>
    </x:xf>
    <x:xf numFmtId="0" fontId="10" fillId="5" borderId="11" xfId="0" applyNumberFormat="1" applyFont="1" applyFill="1" applyBorder="1" applyAlignment="1">
      <x:alignment horizontal="center" wrapText="1"/>
    </x:xf>
    <x:xf numFmtId="0" fontId="10" fillId="5" borderId="12" xfId="0" applyNumberFormat="1" applyFont="1" applyFill="1" applyBorder="1" applyAlignment="1">
      <x:alignment horizontal="center" wrapText="1"/>
    </x:xf>
    <x:xf numFmtId="0" fontId="10" fillId="5" borderId="10" xfId="0" applyNumberFormat="1" applyFont="1" applyFill="1" applyBorder="1" applyAlignment="1">
      <x:alignment horizontal="center" vertical="center" wrapText="1"/>
    </x:xf>
    <x:xf numFmtId="0" fontId="10" fillId="5" borderId="11" xfId="0" applyNumberFormat="1" applyFont="1" applyFill="1" applyBorder="1" applyAlignment="1">
      <x:alignment horizontal="center" vertical="center" wrapText="1"/>
    </x:xf>
    <x:xf numFmtId="0" fontId="10" fillId="5" borderId="12" xfId="0" applyNumberFormat="1" applyFont="1" applyFill="1" applyBorder="1" applyAlignment="1">
      <x:alignment horizontal="center" vertical="center" wrapText="1"/>
    </x:xf>
    <x:xf numFmtId="0" fontId="10" fillId="5" borderId="2" xfId="0" applyNumberFormat="1" applyFont="1" applyFill="1" applyBorder="1"/>
    <x:xf numFmtId="0" fontId="10" fillId="5" borderId="13" xfId="0" applyNumberFormat="1" applyFont="1" applyFill="1" applyBorder="1"/>
    <x:xf numFmtId="0" fontId="10" fillId="5" borderId="14" xfId="0" applyNumberFormat="1" applyFont="1" applyFill="1" applyBorder="1"/>
    <x:xf numFmtId="0" fontId="10" fillId="5" borderId="15" xfId="0" applyNumberFormat="1" applyFont="1" applyFill="1" applyBorder="1"/>
    <x:xf numFmtId="0" fontId="10" fillId="5" borderId="13" xfId="0" applyNumberFormat="1" applyFont="1" applyFill="1" applyBorder="1" applyAlignment="1">
      <x:alignment wrapText="1"/>
    </x:xf>
    <x:xf numFmtId="0" fontId="10" fillId="5" borderId="14" xfId="0" applyNumberFormat="1" applyFont="1" applyFill="1" applyBorder="1" applyAlignment="1">
      <x:alignment wrapText="1"/>
    </x:xf>
    <x:xf numFmtId="0" fontId="10" fillId="5" borderId="15" xfId="0" applyNumberFormat="1" applyFont="1" applyFill="1" applyBorder="1" applyAlignment="1">
      <x:alignment wrapText="1"/>
    </x:xf>
    <x:xf numFmtId="0" fontId="10" fillId="5" borderId="13" xfId="0" applyNumberFormat="1" applyFont="1" applyFill="1" applyBorder="1" applyAlignment="1">
      <x:alignment horizontal="center" wrapText="1"/>
    </x:xf>
    <x:xf numFmtId="0" fontId="10" fillId="5" borderId="14" xfId="0" applyNumberFormat="1" applyFont="1" applyFill="1" applyBorder="1" applyAlignment="1">
      <x:alignment horizontal="center" wrapText="1"/>
    </x:xf>
    <x:xf numFmtId="0" fontId="10" fillId="5" borderId="15" xfId="0" applyNumberFormat="1" applyFont="1" applyFill="1" applyBorder="1" applyAlignment="1">
      <x:alignment horizontal="center" wrapText="1"/>
    </x:xf>
    <x:xf numFmtId="0" fontId="10" fillId="5" borderId="13" xfId="0" applyNumberFormat="1" applyFont="1" applyFill="1" applyBorder="1" applyAlignment="1">
      <x:alignment horizontal="center" vertical="center" wrapText="1"/>
    </x:xf>
    <x:xf numFmtId="0" fontId="10" fillId="5" borderId="14" xfId="0" applyNumberFormat="1" applyFont="1" applyFill="1" applyBorder="1" applyAlignment="1">
      <x:alignment horizontal="center" vertical="center" wrapText="1"/>
    </x:xf>
    <x:xf numFmtId="0" fontId="10" fillId="5" borderId="15" xfId="0" applyNumberFormat="1" applyFont="1" applyFill="1" applyBorder="1" applyAlignment="1">
      <x:alignment horizontal="center" vertical="center" wrapText="1"/>
    </x:xf>
    <x:xf numFmtId="0" fontId="0" fillId="14" borderId="0" xfId="0" applyNumberFormat="1" applyFont="1" applyFill="1" applyBorder="1"/>
    <x:xf numFmtId="0" fontId="11" fillId="14" borderId="0" xfId="0" applyNumberFormat="1" applyFont="1" applyFill="1" applyBorder="1"/>
    <x:xf numFmtId="0" fontId="11" fillId="14" borderId="16" xfId="0" applyNumberFormat="1" applyFont="1" applyFill="1" applyBorder="1"/>
    <x:xf numFmtId="0" fontId="11" fillId="14" borderId="17" xfId="0" applyNumberFormat="1" applyFont="1" applyFill="1" applyBorder="1"/>
    <x:xf numFmtId="0" fontId="11" fillId="14" borderId="18" xfId="0" applyNumberFormat="1" applyFont="1" applyFill="1" applyBorder="1"/>
    <x:xf numFmtId="0" fontId="11" fillId="14" borderId="19" xfId="0" applyNumberFormat="1" applyFont="1" applyFill="1" applyBorder="1"/>
    <x:xf numFmtId="0" fontId="11" fillId="14" borderId="20" xfId="0" applyNumberFormat="1" applyFont="1" applyFill="1" applyBorder="1"/>
    <x:xf numFmtId="0" fontId="11" fillId="14" borderId="21" xfId="0" applyNumberFormat="1" applyFont="1" applyFill="1" applyBorder="1"/>
    <x:xf numFmtId="0" fontId="11" fillId="14" borderId="22" xfId="0" applyNumberFormat="1" applyFont="1" applyFill="1" applyBorder="1"/>
    <x:xf numFmtId="0" fontId="11" fillId="14" borderId="23" xfId="0" applyNumberFormat="1" applyFont="1" applyFill="1" applyBorder="1"/>
    <x:xf numFmtId="0" fontId="11" fillId="14" borderId="16" xfId="0" applyNumberFormat="1" applyFont="1" applyFill="1" applyBorder="1" applyAlignment="1">
      <x:alignment wrapText="1"/>
    </x:xf>
    <x:xf numFmtId="0" fontId="11" fillId="14" borderId="17" xfId="0" applyNumberFormat="1" applyFont="1" applyFill="1" applyBorder="1" applyAlignment="1">
      <x:alignment wrapText="1"/>
    </x:xf>
    <x:xf numFmtId="0" fontId="11" fillId="14" borderId="18" xfId="0" applyNumberFormat="1" applyFont="1" applyFill="1" applyBorder="1" applyAlignment="1">
      <x:alignment wrapText="1"/>
    </x:xf>
    <x:xf numFmtId="0" fontId="11" fillId="14" borderId="19" xfId="0" applyNumberFormat="1" applyFont="1" applyFill="1" applyBorder="1" applyAlignment="1">
      <x:alignment wrapText="1"/>
    </x:xf>
    <x:xf numFmtId="0" fontId="11" fillId="14" borderId="0" xfId="0" applyNumberFormat="1" applyFont="1" applyFill="1" applyBorder="1" applyAlignment="1">
      <x:alignment wrapText="1"/>
    </x:xf>
    <x:xf numFmtId="0" fontId="11" fillId="14" borderId="20" xfId="0" applyNumberFormat="1" applyFont="1" applyFill="1" applyBorder="1" applyAlignment="1">
      <x:alignment wrapText="1"/>
    </x:xf>
    <x:xf numFmtId="0" fontId="11" fillId="14" borderId="21" xfId="0" applyNumberFormat="1" applyFont="1" applyFill="1" applyBorder="1" applyAlignment="1">
      <x:alignment wrapText="1"/>
    </x:xf>
    <x:xf numFmtId="0" fontId="11" fillId="14" borderId="22" xfId="0" applyNumberFormat="1" applyFont="1" applyFill="1" applyBorder="1" applyAlignment="1">
      <x:alignment wrapText="1"/>
    </x:xf>
    <x:xf numFmtId="0" fontId="11" fillId="14" borderId="23" xfId="0" applyNumberFormat="1" applyFont="1" applyFill="1" applyBorder="1" applyAlignment="1">
      <x:alignment wrapText="1"/>
    </x:xf>
    <x:xf numFmtId="0" fontId="11" fillId="14" borderId="16" xfId="0" applyNumberFormat="1" applyFont="1" applyFill="1" applyBorder="1" applyAlignment="1">
      <x:alignment vertical="center" wrapText="1"/>
    </x:xf>
    <x:xf numFmtId="0" fontId="11" fillId="14" borderId="17" xfId="0" applyNumberFormat="1" applyFont="1" applyFill="1" applyBorder="1" applyAlignment="1">
      <x:alignment vertical="center" wrapText="1"/>
    </x:xf>
    <x:xf numFmtId="0" fontId="11" fillId="14" borderId="18" xfId="0" applyNumberFormat="1" applyFont="1" applyFill="1" applyBorder="1" applyAlignment="1">
      <x:alignment vertical="center" wrapText="1"/>
    </x:xf>
    <x:xf numFmtId="0" fontId="11" fillId="14" borderId="19" xfId="0" applyNumberFormat="1" applyFont="1" applyFill="1" applyBorder="1" applyAlignment="1">
      <x:alignment vertical="center" wrapText="1"/>
    </x:xf>
    <x:xf numFmtId="0" fontId="11" fillId="14" borderId="0" xfId="0" applyNumberFormat="1" applyFont="1" applyFill="1" applyBorder="1" applyAlignment="1">
      <x:alignment vertical="center" wrapText="1"/>
    </x:xf>
    <x:xf numFmtId="0" fontId="11" fillId="14" borderId="20" xfId="0" applyNumberFormat="1" applyFont="1" applyFill="1" applyBorder="1" applyAlignment="1">
      <x:alignment vertical="center" wrapText="1"/>
    </x:xf>
    <x:xf numFmtId="0" fontId="11" fillId="14" borderId="21" xfId="0" applyNumberFormat="1" applyFont="1" applyFill="1" applyBorder="1" applyAlignment="1">
      <x:alignment vertical="center" wrapText="1"/>
    </x:xf>
    <x:xf numFmtId="0" fontId="11" fillId="14" borderId="22" xfId="0" applyNumberFormat="1" applyFont="1" applyFill="1" applyBorder="1" applyAlignment="1">
      <x:alignment vertical="center" wrapText="1"/>
    </x:xf>
    <x:xf numFmtId="0" fontId="11" fillId="14" borderId="23" xfId="0" applyNumberFormat="1" applyFont="1" applyFill="1" applyBorder="1" applyAlignment="1">
      <x:alignment vertical="center" wrapText="1"/>
    </x:xf>
    <x:xf numFmtId="0" fontId="0" fillId="14" borderId="2" xfId="0" applyNumberFormat="1" applyFont="1" applyFill="1" applyBorder="1"/>
    <x:xf numFmtId="0" fontId="11" fillId="14" borderId="2" xfId="0" applyNumberFormat="1" applyFont="1" applyFill="1" applyBorder="1"/>
    <x:xf numFmtId="0" fontId="11" fillId="14" borderId="24" xfId="0" applyNumberFormat="1" applyFont="1" applyFill="1" applyBorder="1"/>
    <x:xf numFmtId="0" fontId="11" fillId="14" borderId="25" xfId="0" applyNumberFormat="1" applyFont="1" applyFill="1" applyBorder="1"/>
    <x:xf numFmtId="0" fontId="11" fillId="14" borderId="26" xfId="0" applyNumberFormat="1" applyFont="1" applyFill="1" applyBorder="1"/>
    <x:xf numFmtId="0" fontId="11" fillId="14" borderId="27" xfId="0" applyNumberFormat="1" applyFont="1" applyFill="1" applyBorder="1"/>
    <x:xf numFmtId="0" fontId="11" fillId="14" borderId="28" xfId="0" applyNumberFormat="1" applyFont="1" applyFill="1" applyBorder="1"/>
    <x:xf numFmtId="0" fontId="11" fillId="14" borderId="29" xfId="0" applyNumberFormat="1" applyFont="1" applyFill="1" applyBorder="1"/>
    <x:xf numFmtId="0" fontId="11" fillId="14" borderId="30" xfId="0" applyNumberFormat="1" applyFont="1" applyFill="1" applyBorder="1"/>
    <x:xf numFmtId="0" fontId="11" fillId="14" borderId="31" xfId="0" applyNumberFormat="1" applyFont="1" applyFill="1" applyBorder="1"/>
    <x:xf numFmtId="0" fontId="11" fillId="14" borderId="24" xfId="0" applyNumberFormat="1" applyFont="1" applyFill="1" applyBorder="1" applyAlignment="1">
      <x:alignment wrapText="1"/>
    </x:xf>
    <x:xf numFmtId="0" fontId="11" fillId="14" borderId="25" xfId="0" applyNumberFormat="1" applyFont="1" applyFill="1" applyBorder="1" applyAlignment="1">
      <x:alignment wrapText="1"/>
    </x:xf>
    <x:xf numFmtId="0" fontId="11" fillId="14" borderId="26" xfId="0" applyNumberFormat="1" applyFont="1" applyFill="1" applyBorder="1" applyAlignment="1">
      <x:alignment wrapText="1"/>
    </x:xf>
    <x:xf numFmtId="0" fontId="11" fillId="14" borderId="27" xfId="0" applyNumberFormat="1" applyFont="1" applyFill="1" applyBorder="1" applyAlignment="1">
      <x:alignment wrapText="1"/>
    </x:xf>
    <x:xf numFmtId="0" fontId="11" fillId="14" borderId="2" xfId="0" applyNumberFormat="1" applyFont="1" applyFill="1" applyBorder="1" applyAlignment="1">
      <x:alignment wrapText="1"/>
    </x:xf>
    <x:xf numFmtId="0" fontId="11" fillId="14" borderId="28" xfId="0" applyNumberFormat="1" applyFont="1" applyFill="1" applyBorder="1" applyAlignment="1">
      <x:alignment wrapText="1"/>
    </x:xf>
    <x:xf numFmtId="0" fontId="11" fillId="14" borderId="29" xfId="0" applyNumberFormat="1" applyFont="1" applyFill="1" applyBorder="1" applyAlignment="1">
      <x:alignment wrapText="1"/>
    </x:xf>
    <x:xf numFmtId="0" fontId="11" fillId="14" borderId="30" xfId="0" applyNumberFormat="1" applyFont="1" applyFill="1" applyBorder="1" applyAlignment="1">
      <x:alignment wrapText="1"/>
    </x:xf>
    <x:xf numFmtId="0" fontId="11" fillId="14" borderId="31" xfId="0" applyNumberFormat="1" applyFont="1" applyFill="1" applyBorder="1" applyAlignment="1">
      <x:alignment wrapText="1"/>
    </x:xf>
    <x:xf numFmtId="0" fontId="11" fillId="14" borderId="24" xfId="0" applyNumberFormat="1" applyFont="1" applyFill="1" applyBorder="1" applyAlignment="1">
      <x:alignment vertical="center" wrapText="1"/>
    </x:xf>
    <x:xf numFmtId="0" fontId="11" fillId="14" borderId="25" xfId="0" applyNumberFormat="1" applyFont="1" applyFill="1" applyBorder="1" applyAlignment="1">
      <x:alignment vertical="center" wrapText="1"/>
    </x:xf>
    <x:xf numFmtId="0" fontId="11" fillId="14" borderId="26" xfId="0" applyNumberFormat="1" applyFont="1" applyFill="1" applyBorder="1" applyAlignment="1">
      <x:alignment vertical="center" wrapText="1"/>
    </x:xf>
    <x:xf numFmtId="0" fontId="11" fillId="14" borderId="27" xfId="0" applyNumberFormat="1" applyFont="1" applyFill="1" applyBorder="1" applyAlignment="1">
      <x:alignment vertical="center" wrapText="1"/>
    </x:xf>
    <x:xf numFmtId="0" fontId="11" fillId="14" borderId="2" xfId="0" applyNumberFormat="1" applyFont="1" applyFill="1" applyBorder="1" applyAlignment="1">
      <x:alignment vertical="center" wrapText="1"/>
    </x:xf>
    <x:xf numFmtId="0" fontId="11" fillId="14" borderId="28" xfId="0" applyNumberFormat="1" applyFont="1" applyFill="1" applyBorder="1" applyAlignment="1">
      <x:alignment vertical="center" wrapText="1"/>
    </x:xf>
    <x:xf numFmtId="0" fontId="11" fillId="14" borderId="29" xfId="0" applyNumberFormat="1" applyFont="1" applyFill="1" applyBorder="1" applyAlignment="1">
      <x:alignment vertical="center" wrapText="1"/>
    </x:xf>
    <x:xf numFmtId="0" fontId="11" fillId="14" borderId="30" xfId="0" applyNumberFormat="1" applyFont="1" applyFill="1" applyBorder="1" applyAlignment="1">
      <x:alignment vertical="center" wrapText="1"/>
    </x:xf>
    <x:xf numFmtId="0" fontId="11" fillId="14" borderId="31" xfId="0" applyNumberFormat="1" applyFont="1" applyFill="1" applyBorder="1" applyAlignment="1">
      <x:alignment vertical="center" wrapText="1"/>
    </x:xf>
    <x:xf numFmtId="0" fontId="11" fillId="15" borderId="17" xfId="0" applyNumberFormat="1" applyFont="1" applyFill="1" applyBorder="1" applyAlignment="1">
      <x:alignment vertical="center" wrapText="1"/>
    </x:xf>
    <x:xf numFmtId="0" fontId="11" fillId="15" borderId="25" xfId="0" applyNumberFormat="1" applyFont="1" applyFill="1" applyBorder="1" applyAlignment="1">
      <x:alignment vertical="center" wrapText="1"/>
    </x:xf>
    <x:xf numFmtId="0" fontId="12" fillId="15" borderId="17" xfId="0" applyNumberFormat="1" applyFont="1" applyFill="1" applyBorder="1" applyAlignment="1">
      <x:alignment vertical="center" wrapText="1"/>
    </x:xf>
    <x:xf numFmtId="0" fontId="12" fillId="15" borderId="25" xfId="0" applyNumberFormat="1" applyFont="1" applyFill="1" applyBorder="1" applyAlignment="1">
      <x:alignment vertical="center" wrapText="1"/>
    </x:xf>
    <x:xf numFmtId="0" fontId="11" fillId="16" borderId="17" xfId="0" applyNumberFormat="1" applyFont="1" applyFill="1" applyBorder="1" applyAlignment="1">
      <x:alignment vertical="center" wrapText="1"/>
    </x:xf>
    <x:xf numFmtId="0" fontId="13" fillId="16" borderId="17" xfId="0" applyNumberFormat="1" applyFont="1" applyFill="1" applyBorder="1" applyAlignment="1">
      <x:alignment vertical="center" wrapText="1"/>
    </x:xf>
    <x:xf numFmtId="0" fontId="13" fillId="16" borderId="32" xfId="0" applyNumberFormat="1" applyFont="1" applyFill="1" applyBorder="1" applyAlignment="1">
      <x:alignment vertical="center" wrapText="1"/>
    </x:xf>
    <x:xf numFmtId="0" fontId="13" fillId="16" borderId="32" xfId="0" applyNumberFormat="1" applyFont="1" applyFill="1" applyBorder="1" applyAlignment="1">
      <x:alignment horizontal="center" vertical="center" wrapText="1"/>
    </x:xf>
    <x:xf numFmtId="0" fontId="11" fillId="16" borderId="25" xfId="0" applyNumberFormat="1" applyFont="1" applyFill="1" applyBorder="1" applyAlignment="1">
      <x:alignment vertical="center" wrapText="1"/>
    </x:xf>
    <x:xf numFmtId="0" fontId="13" fillId="16" borderId="25" xfId="0" applyNumberFormat="1" applyFont="1" applyFill="1" applyBorder="1" applyAlignment="1">
      <x:alignment vertical="center" wrapText="1"/>
    </x:xf>
    <x:xf numFmtId="0" fontId="13" fillId="16" borderId="33" xfId="0" applyNumberFormat="1" applyFont="1" applyFill="1" applyBorder="1" applyAlignment="1">
      <x:alignment vertical="center" wrapText="1"/>
    </x:xf>
    <x:xf numFmtId="0" fontId="13" fillId="16" borderId="33" xfId="0" applyNumberFormat="1" applyFont="1" applyFill="1" applyBorder="1" applyAlignment="1">
      <x:alignment horizontal="center" vertical="center" wrapText="1"/>
    </x:xf>
    <x:xf numFmtId="0" fontId="11" fillId="15" borderId="0" xfId="0" applyNumberFormat="1" applyFont="1" applyFill="1" applyBorder="1" applyAlignment="1">
      <x:alignment vertical="center" wrapText="1"/>
    </x:xf>
    <x:xf numFmtId="0" fontId="11" fillId="15" borderId="2" xfId="0" applyNumberFormat="1" applyFont="1" applyFill="1" applyBorder="1" applyAlignment="1">
      <x:alignment vertical="center" wrapText="1"/>
    </x:xf>
    <x:xf numFmtId="0" fontId="12" fillId="15" borderId="0" xfId="0" applyNumberFormat="1" applyFont="1" applyFill="1" applyBorder="1" applyAlignment="1">
      <x:alignment vertical="center" wrapText="1"/>
    </x:xf>
    <x:xf numFmtId="0" fontId="12" fillId="15" borderId="2" xfId="0" applyNumberFormat="1" applyFont="1" applyFill="1" applyBorder="1" applyAlignment="1">
      <x:alignment vertical="center" wrapText="1"/>
    </x:xf>
    <x:xf numFmtId="0" fontId="11" fillId="16" borderId="0" xfId="0" applyNumberFormat="1" applyFont="1" applyFill="1" applyBorder="1" applyAlignment="1">
      <x:alignment vertical="center" wrapText="1"/>
    </x:xf>
    <x:xf numFmtId="0" fontId="13" fillId="16" borderId="0" xfId="0" applyNumberFormat="1" applyFont="1" applyFill="1" applyBorder="1" applyAlignment="1">
      <x:alignment vertical="center" wrapText="1"/>
    </x:xf>
    <x:xf numFmtId="0" fontId="11" fillId="16" borderId="2" xfId="0" applyNumberFormat="1" applyFont="1" applyFill="1" applyBorder="1" applyAlignment="1">
      <x:alignment vertical="center" wrapText="1"/>
    </x:xf>
    <x:xf numFmtId="0" fontId="13" fillId="16" borderId="2" xfId="0" applyNumberFormat="1" applyFont="1" applyFill="1" applyBorder="1" applyAlignment="1">
      <x:alignment vertical="center" wrapText="1"/>
    </x:xf>
    <x:xf numFmtId="0" fontId="11" fillId="7" borderId="0" xfId="0" applyNumberFormat="1" applyFont="1" applyFill="1" applyBorder="1" applyAlignment="1">
      <x:alignment vertical="center" wrapText="1"/>
    </x:xf>
    <x:xf numFmtId="0" fontId="11" fillId="7" borderId="2" xfId="0" applyNumberFormat="1" applyFont="1" applyFill="1" applyBorder="1" applyAlignment="1">
      <x:alignment vertical="center" wrapText="1"/>
    </x:xf>
    <x:xf numFmtId="0" fontId="12" fillId="7" borderId="0" xfId="0" applyNumberFormat="1" applyFont="1" applyFill="1" applyBorder="1" applyAlignment="1">
      <x:alignment vertical="center" wrapText="1"/>
    </x:xf>
    <x:xf numFmtId="0" fontId="12" fillId="7" borderId="2" xfId="0" applyNumberFormat="1" applyFont="1" applyFill="1" applyBorder="1" applyAlignment="1">
      <x:alignment vertical="center" wrapText="1"/>
    </x:xf>
    <x:xf numFmtId="0" fontId="11" fillId="17" borderId="0" xfId="0" applyNumberFormat="1" applyFont="1" applyFill="1" applyBorder="1" applyAlignment="1">
      <x:alignment vertical="center" wrapText="1"/>
    </x:xf>
    <x:xf numFmtId="0" fontId="13" fillId="17" borderId="0" xfId="0" applyNumberFormat="1" applyFont="1" applyFill="1" applyBorder="1" applyAlignment="1">
      <x:alignment vertical="center" wrapText="1"/>
    </x:xf>
    <x:xf numFmtId="0" fontId="13" fillId="17" borderId="32" xfId="0" applyNumberFormat="1" applyFont="1" applyFill="1" applyBorder="1" applyAlignment="1">
      <x:alignment vertical="center" wrapText="1"/>
    </x:xf>
    <x:xf numFmtId="0" fontId="13" fillId="17" borderId="32" xfId="0" applyNumberFormat="1" applyFont="1" applyFill="1" applyBorder="1" applyAlignment="1">
      <x:alignment horizontal="center" vertical="center" wrapText="1"/>
    </x:xf>
    <x:xf numFmtId="0" fontId="11" fillId="17" borderId="2" xfId="0" applyNumberFormat="1" applyFont="1" applyFill="1" applyBorder="1" applyAlignment="1">
      <x:alignment vertical="center" wrapText="1"/>
    </x:xf>
    <x:xf numFmtId="0" fontId="13" fillId="17" borderId="2" xfId="0" applyNumberFormat="1" applyFont="1" applyFill="1" applyBorder="1" applyAlignment="1">
      <x:alignment vertical="center" wrapText="1"/>
    </x:xf>
    <x:xf numFmtId="0" fontId="13" fillId="17" borderId="33" xfId="0" applyNumberFormat="1" applyFont="1" applyFill="1" applyBorder="1" applyAlignment="1">
      <x:alignment vertical="center" wrapText="1"/>
    </x:xf>
    <x:xf numFmtId="0" fontId="13" fillId="17" borderId="33" xfId="0" applyNumberFormat="1" applyFont="1" applyFill="1" applyBorder="1" applyAlignment="1">
      <x:alignment horizontal="center" vertical="center" wrapText="1"/>
    </x:xf>
    <x:xf numFmtId="0" fontId="11" fillId="9" borderId="0" xfId="0" applyNumberFormat="1" applyFont="1" applyFill="1" applyBorder="1" applyAlignment="1">
      <x:alignment vertical="center" wrapText="1"/>
    </x:xf>
    <x:xf numFmtId="0" fontId="11" fillId="9" borderId="2" xfId="0" applyNumberFormat="1" applyFont="1" applyFill="1" applyBorder="1" applyAlignment="1">
      <x:alignment vertical="center" wrapText="1"/>
    </x:xf>
    <x:xf numFmtId="0" fontId="12" fillId="9" borderId="0" xfId="0" applyNumberFormat="1" applyFont="1" applyFill="1" applyBorder="1" applyAlignment="1">
      <x:alignment vertical="center" wrapText="1"/>
    </x:xf>
    <x:xf numFmtId="0" fontId="12" fillId="9" borderId="2" xfId="0" applyNumberFormat="1" applyFont="1" applyFill="1" applyBorder="1" applyAlignment="1">
      <x:alignment vertical="center" wrapText="1"/>
    </x:xf>
    <x:xf numFmtId="0" fontId="11" fillId="18" borderId="0" xfId="0" applyNumberFormat="1" applyFont="1" applyFill="1" applyBorder="1" applyAlignment="1">
      <x:alignment vertical="center" wrapText="1"/>
    </x:xf>
    <x:xf numFmtId="0" fontId="13" fillId="18" borderId="0" xfId="0" applyNumberFormat="1" applyFont="1" applyFill="1" applyBorder="1" applyAlignment="1">
      <x:alignment vertical="center" wrapText="1"/>
    </x:xf>
    <x:xf numFmtId="0" fontId="13" fillId="18" borderId="32" xfId="0" applyNumberFormat="1" applyFont="1" applyFill="1" applyBorder="1" applyAlignment="1">
      <x:alignment vertical="center" wrapText="1"/>
    </x:xf>
    <x:xf numFmtId="0" fontId="13" fillId="18" borderId="32" xfId="0" applyNumberFormat="1" applyFont="1" applyFill="1" applyBorder="1" applyAlignment="1">
      <x:alignment horizontal="center" vertical="center" wrapText="1"/>
    </x:xf>
    <x:xf numFmtId="0" fontId="11" fillId="18" borderId="2" xfId="0" applyNumberFormat="1" applyFont="1" applyFill="1" applyBorder="1" applyAlignment="1">
      <x:alignment vertical="center" wrapText="1"/>
    </x:xf>
    <x:xf numFmtId="0" fontId="13" fillId="18" borderId="2" xfId="0" applyNumberFormat="1" applyFont="1" applyFill="1" applyBorder="1" applyAlignment="1">
      <x:alignment vertical="center" wrapText="1"/>
    </x:xf>
    <x:xf numFmtId="0" fontId="13" fillId="18" borderId="33" xfId="0" applyNumberFormat="1" applyFont="1" applyFill="1" applyBorder="1" applyAlignment="1">
      <x:alignment vertical="center" wrapText="1"/>
    </x:xf>
    <x:xf numFmtId="0" fontId="13" fillId="18" borderId="33" xfId="0" applyNumberFormat="1" applyFont="1" applyFill="1" applyBorder="1" applyAlignment="1">
      <x:alignment horizontal="center" vertical="center" wrapText="1"/>
    </x:xf>
    <x:xf numFmtId="0" fontId="11" fillId="18" borderId="20" xfId="0" applyNumberFormat="1" applyFont="1" applyFill="1" applyBorder="1" applyAlignment="1">
      <x:alignment vertical="center" wrapText="1"/>
    </x:xf>
    <x:xf numFmtId="0" fontId="13" fillId="18" borderId="20" xfId="0" applyNumberFormat="1" applyFont="1" applyFill="1" applyBorder="1" applyAlignment="1">
      <x:alignment vertical="center" wrapText="1"/>
    </x:xf>
    <x:xf numFmtId="0" fontId="11" fillId="18" borderId="28" xfId="0" applyNumberFormat="1" applyFont="1" applyFill="1" applyBorder="1" applyAlignment="1">
      <x:alignment vertical="center" wrapText="1"/>
    </x:xf>
    <x:xf numFmtId="0" fontId="13" fillId="18" borderId="28" xfId="0" applyNumberFormat="1" applyFont="1" applyFill="1" applyBorder="1" applyAlignment="1">
      <x:alignment vertical="center" wrapText="1"/>
    </x:xf>
    <x:xf numFmtId="0" fontId="11" fillId="9" borderId="22" xfId="0" applyNumberFormat="1" applyFont="1" applyFill="1" applyBorder="1" applyAlignment="1">
      <x:alignment vertical="center" wrapText="1"/>
    </x:xf>
    <x:xf numFmtId="0" fontId="11" fillId="9" borderId="30" xfId="0" applyNumberFormat="1" applyFont="1" applyFill="1" applyBorder="1" applyAlignment="1">
      <x:alignment vertical="center" wrapText="1"/>
    </x:xf>
    <x:xf numFmtId="0" fontId="12" fillId="9" borderId="22" xfId="0" applyNumberFormat="1" applyFont="1" applyFill="1" applyBorder="1" applyAlignment="1">
      <x:alignment vertical="center" wrapText="1"/>
    </x:xf>
    <x:xf numFmtId="0" fontId="12" fillId="9" borderId="30" xfId="0" applyNumberFormat="1" applyFont="1" applyFill="1" applyBorder="1" applyAlignment="1">
      <x:alignment vertical="center" wrapText="1"/>
    </x:xf>
    <x:xf numFmtId="0" fontId="11" fillId="18" borderId="23" xfId="0" applyNumberFormat="1" applyFont="1" applyFill="1" applyBorder="1" applyAlignment="1">
      <x:alignment vertical="center" wrapText="1"/>
    </x:xf>
    <x:xf numFmtId="0" fontId="13" fillId="18" borderId="23" xfId="0" applyNumberFormat="1" applyFont="1" applyFill="1" applyBorder="1" applyAlignment="1">
      <x:alignment vertical="center" wrapText="1"/>
    </x:xf>
    <x:xf numFmtId="0" fontId="11" fillId="18" borderId="31" xfId="0" applyNumberFormat="1" applyFont="1" applyFill="1" applyBorder="1" applyAlignment="1">
      <x:alignment vertical="center" wrapText="1"/>
    </x:xf>
    <x:xf numFmtId="0" fontId="13" fillId="18" borderId="31" xfId="0" applyNumberFormat="1" applyFont="1" applyFill="1" applyBorder="1" applyAlignment="1">
      <x:alignment vertical="center" wrapText="1"/>
    </x:xf>
    <x:xf numFmtId="0" fontId="11" fillId="14" borderId="16" xfId="0" applyNumberFormat="1" applyFont="1" applyFill="1" applyBorder="1" applyAlignment="1">
      <x:alignment horizontal="center" vertical="center" wrapText="1"/>
    </x:xf>
    <x:xf numFmtId="0" fontId="12" fillId="15" borderId="17" xfId="0" applyNumberFormat="1" applyFont="1" applyFill="1" applyBorder="1" applyAlignment="1">
      <x:alignment horizontal="center" vertical="center" wrapText="1"/>
    </x:xf>
    <x:xf numFmtId="0" fontId="11" fillId="14" borderId="19" xfId="0" applyNumberFormat="1" applyFont="1" applyFill="1" applyBorder="1" applyAlignment="1">
      <x:alignment horizontal="center" vertical="center" wrapText="1"/>
    </x:xf>
    <x:xf numFmtId="0" fontId="12" fillId="15" borderId="0" xfId="0" applyNumberFormat="1" applyFont="1" applyFill="1" applyBorder="1" applyAlignment="1">
      <x:alignment horizontal="center" vertical="center" wrapText="1"/>
    </x:xf>
    <x:xf numFmtId="0" fontId="12" fillId="7" borderId="0" xfId="0" applyNumberFormat="1" applyFont="1" applyFill="1" applyBorder="1" applyAlignment="1">
      <x:alignment horizontal="center" vertical="center" wrapText="1"/>
    </x:xf>
    <x:xf numFmtId="0" fontId="12" fillId="9" borderId="0" xfId="0" applyNumberFormat="1" applyFont="1" applyFill="1" applyBorder="1" applyAlignment="1">
      <x:alignment horizontal="center" vertical="center" wrapText="1"/>
    </x:xf>
    <x:xf numFmtId="0" fontId="11" fillId="14" borderId="21" xfId="0" applyNumberFormat="1" applyFont="1" applyFill="1" applyBorder="1" applyAlignment="1">
      <x:alignment horizontal="center" vertical="center" wrapText="1"/>
    </x:xf>
    <x:xf numFmtId="0" fontId="12" fillId="9" borderId="22" xfId="0" applyNumberFormat="1" applyFont="1" applyFill="1" applyBorder="1" applyAlignment="1">
      <x:alignment horizontal="center" vertical="center" wrapText="1"/>
    </x:xf>
    <x:xf numFmtId="0" fontId="11" fillId="14" borderId="24" xfId="0" applyNumberFormat="1" applyFont="1" applyFill="1" applyBorder="1" applyAlignment="1">
      <x:alignment horizontal="center" vertical="center" wrapText="1"/>
    </x:xf>
    <x:xf numFmtId="0" fontId="12" fillId="15" borderId="25" xfId="0" applyNumberFormat="1" applyFont="1" applyFill="1" applyBorder="1" applyAlignment="1">
      <x:alignment horizontal="center" vertical="center" wrapText="1"/>
    </x:xf>
    <x:xf numFmtId="0" fontId="11" fillId="14" borderId="27" xfId="0" applyNumberFormat="1" applyFont="1" applyFill="1" applyBorder="1" applyAlignment="1">
      <x:alignment horizontal="center" vertical="center" wrapText="1"/>
    </x:xf>
    <x:xf numFmtId="0" fontId="12" fillId="15" borderId="2" xfId="0" applyNumberFormat="1" applyFont="1" applyFill="1" applyBorder="1" applyAlignment="1">
      <x:alignment horizontal="center" vertical="center" wrapText="1"/>
    </x:xf>
    <x:xf numFmtId="0" fontId="12" fillId="7" borderId="2" xfId="0" applyNumberFormat="1" applyFont="1" applyFill="1" applyBorder="1" applyAlignment="1">
      <x:alignment horizontal="center" vertical="center" wrapText="1"/>
    </x:xf>
    <x:xf numFmtId="0" fontId="12" fillId="9" borderId="2" xfId="0" applyNumberFormat="1" applyFont="1" applyFill="1" applyBorder="1" applyAlignment="1">
      <x:alignment horizontal="center" vertical="center" wrapText="1"/>
    </x:xf>
    <x:xf numFmtId="0" fontId="11" fillId="14" borderId="29" xfId="0" applyNumberFormat="1" applyFont="1" applyFill="1" applyBorder="1" applyAlignment="1">
      <x:alignment horizontal="center" vertical="center" wrapText="1"/>
    </x:xf>
    <x:xf numFmtId="0" fontId="12" fillId="9" borderId="30" xfId="0" applyNumberFormat="1" applyFont="1" applyFill="1" applyBorder="1" applyAlignment="1">
      <x:alignment horizontal="center" vertical="center" wrapText="1"/>
    </x:xf>
    <x:xf numFmtId="0" fontId="11" fillId="14" borderId="17" xfId="0" applyNumberFormat="1" applyFont="1" applyFill="1" applyBorder="1" applyAlignment="1">
      <x:alignment horizontal="center" vertical="center" wrapText="1"/>
    </x:xf>
    <x:xf numFmtId="0" fontId="11" fillId="14" borderId="18" xfId="0" applyNumberFormat="1" applyFont="1" applyFill="1" applyBorder="1" applyAlignment="1">
      <x:alignment horizontal="center" vertical="center" wrapText="1"/>
    </x:xf>
    <x:xf numFmtId="0" fontId="11" fillId="14" borderId="0" xfId="0" applyNumberFormat="1" applyFont="1" applyFill="1" applyBorder="1" applyAlignment="1">
      <x:alignment horizontal="center" vertical="center" wrapText="1"/>
    </x:xf>
    <x:xf numFmtId="0" fontId="11" fillId="14" borderId="20" xfId="0" applyNumberFormat="1" applyFont="1" applyFill="1" applyBorder="1" applyAlignment="1">
      <x:alignment horizontal="center" vertical="center" wrapText="1"/>
    </x:xf>
    <x:xf numFmtId="0" fontId="11" fillId="14" borderId="22" xfId="0" applyNumberFormat="1" applyFont="1" applyFill="1" applyBorder="1" applyAlignment="1">
      <x:alignment horizontal="center" vertical="center" wrapText="1"/>
    </x:xf>
    <x:xf numFmtId="0" fontId="11" fillId="14" borderId="25" xfId="0" applyNumberFormat="1" applyFont="1" applyFill="1" applyBorder="1" applyAlignment="1">
      <x:alignment horizontal="center" vertical="center" wrapText="1"/>
    </x:xf>
    <x:xf numFmtId="0" fontId="11" fillId="14" borderId="26" xfId="0" applyNumberFormat="1" applyFont="1" applyFill="1" applyBorder="1" applyAlignment="1">
      <x:alignment horizontal="center" vertical="center" wrapText="1"/>
    </x:xf>
    <x:xf numFmtId="0" fontId="11" fillId="14" borderId="2" xfId="0" applyNumberFormat="1" applyFont="1" applyFill="1" applyBorder="1" applyAlignment="1">
      <x:alignment horizontal="center" vertical="center" wrapText="1"/>
    </x:xf>
    <x:xf numFmtId="0" fontId="11" fillId="14" borderId="28" xfId="0" applyNumberFormat="1" applyFont="1" applyFill="1" applyBorder="1" applyAlignment="1">
      <x:alignment horizontal="center" vertical="center" wrapText="1"/>
    </x:xf>
    <x:xf numFmtId="0" fontId="11" fillId="14" borderId="30" xfId="0" applyNumberFormat="1" applyFont="1" applyFill="1" applyBorder="1" applyAlignment="1">
      <x:alignment horizontal="center" vertical="center" wrapText="1"/>
    </x:xf>
    <x:xf numFmtId="0" fontId="0" fillId="19" borderId="0" xfId="0" applyNumberFormat="1" applyFont="1" applyFill="1" applyBorder="1"/>
    <x:xf numFmtId="0" fontId="14" fillId="19" borderId="0" xfId="0" applyNumberFormat="1" applyFont="1" applyFill="1" applyBorder="1"/>
    <x:xf numFmtId="0" fontId="14" fillId="19" borderId="0" xfId="0" applyNumberFormat="1" applyFont="1" applyFill="1" applyBorder="1" applyAlignment="1">
      <x:alignment wrapText="1"/>
    </x:xf>
    <x:xf numFmtId="0" fontId="14" fillId="19" borderId="0" xfId="0" applyNumberFormat="1" applyFont="1" applyFill="1" applyBorder="1" applyAlignment="1">
      <x:alignment vertical="center" wrapText="1"/>
    </x:xf>
    <x:xf numFmtId="0" fontId="0" fillId="19" borderId="2" xfId="0" applyNumberFormat="1" applyFont="1" applyFill="1" applyBorder="1"/>
    <x:xf numFmtId="0" fontId="14" fillId="19" borderId="2" xfId="0" applyNumberFormat="1" applyFont="1" applyFill="1" applyBorder="1"/>
    <x:xf numFmtId="0" fontId="14" fillId="19" borderId="2" xfId="0" applyNumberFormat="1" applyFont="1" applyFill="1" applyBorder="1" applyAlignment="1">
      <x:alignment wrapText="1"/>
    </x:xf>
    <x:xf numFmtId="0" fontId="14" fillId="19" borderId="2" xfId="0" applyNumberFormat="1" applyFont="1" applyFill="1" applyBorder="1" applyAlignment="1">
      <x:alignment vertical="center" wrapText="1"/>
    </x:xf>
    <x:xf numFmtId="0" fontId="9" fillId="11" borderId="10" xfId="0" applyNumberFormat="1" applyFont="1" applyFill="1" applyBorder="1" applyAlignment="1">
      <x:alignment horizontal="center" vertical="center" wrapText="1"/>
    </x:xf>
    <x:xf numFmtId="0" fontId="9" fillId="11" borderId="11" xfId="0" applyNumberFormat="1" applyFont="1" applyFill="1" applyBorder="1" applyAlignment="1">
      <x:alignment horizontal="center" vertical="center" wrapText="1"/>
    </x:xf>
    <x:xf numFmtId="0" fontId="9" fillId="11" borderId="12" xfId="0" applyNumberFormat="1" applyFont="1" applyFill="1" applyBorder="1" applyAlignment="1">
      <x:alignment horizontal="center" vertical="center" wrapText="1"/>
    </x:xf>
    <x:xf numFmtId="0" fontId="9" fillId="11" borderId="13" xfId="0" applyNumberFormat="1" applyFont="1" applyFill="1" applyBorder="1" applyAlignment="1">
      <x:alignment horizontal="center" vertical="center" wrapText="1"/>
    </x:xf>
    <x:xf numFmtId="0" fontId="9" fillId="11" borderId="14" xfId="0" applyNumberFormat="1" applyFont="1" applyFill="1" applyBorder="1" applyAlignment="1">
      <x:alignment horizontal="center" vertical="center" wrapText="1"/>
    </x:xf>
    <x:xf numFmtId="0" fontId="9" fillId="11" borderId="15" xfId="0" applyNumberFormat="1" applyFont="1" applyFill="1" applyBorder="1" applyAlignment="1">
      <x:alignment horizontal="center" vertical="center" wrapText="1"/>
    </x:xf>
    <x:xf numFmtId="0" fontId="15" fillId="11" borderId="10" xfId="0" applyNumberFormat="1" applyFont="1" applyFill="1" applyBorder="1" applyAlignment="1">
      <x:alignment horizontal="center" vertical="center" wrapText="1"/>
    </x:xf>
    <x:xf numFmtId="0" fontId="15" fillId="11" borderId="11" xfId="0" applyNumberFormat="1" applyFont="1" applyFill="1" applyBorder="1" applyAlignment="1">
      <x:alignment horizontal="center" vertical="center" wrapText="1"/>
    </x:xf>
    <x:xf numFmtId="0" fontId="15" fillId="11" borderId="12" xfId="0" applyNumberFormat="1" applyFont="1" applyFill="1" applyBorder="1" applyAlignment="1">
      <x:alignment horizontal="center" vertical="center" wrapText="1"/>
    </x:xf>
    <x:xf numFmtId="0" fontId="15" fillId="11" borderId="13" xfId="0" applyNumberFormat="1" applyFont="1" applyFill="1" applyBorder="1" applyAlignment="1">
      <x:alignment horizontal="center" vertical="center" wrapText="1"/>
    </x:xf>
    <x:xf numFmtId="0" fontId="15" fillId="11" borderId="14" xfId="0" applyNumberFormat="1" applyFont="1" applyFill="1" applyBorder="1" applyAlignment="1">
      <x:alignment horizontal="center" vertical="center" wrapText="1"/>
    </x:xf>
    <x:xf numFmtId="0" fontId="15" fillId="11" borderId="15" xfId="0" applyNumberFormat="1" applyFont="1" applyFill="1" applyBorder="1" applyAlignment="1">
      <x:alignment horizontal="center" vertical="center" wrapText="1"/>
    </x:xf>
    <x:xf numFmtId="0" fontId="9" fillId="12" borderId="10" xfId="0" applyNumberFormat="1" applyFont="1" applyFill="1" applyBorder="1" applyAlignment="1">
      <x:alignment horizontal="center" vertical="center" wrapText="1"/>
    </x:xf>
    <x:xf numFmtId="0" fontId="9" fillId="12" borderId="11" xfId="0" applyNumberFormat="1" applyFont="1" applyFill="1" applyBorder="1" applyAlignment="1">
      <x:alignment horizontal="center" vertical="center" wrapText="1"/>
    </x:xf>
    <x:xf numFmtId="0" fontId="9" fillId="12" borderId="12" xfId="0" applyNumberFormat="1" applyFont="1" applyFill="1" applyBorder="1" applyAlignment="1">
      <x:alignment horizontal="center" vertical="center" wrapText="1"/>
    </x:xf>
    <x:xf numFmtId="0" fontId="9" fillId="12" borderId="13" xfId="0" applyNumberFormat="1" applyFont="1" applyFill="1" applyBorder="1" applyAlignment="1">
      <x:alignment horizontal="center" vertical="center" wrapText="1"/>
    </x:xf>
    <x:xf numFmtId="0" fontId="9" fillId="12" borderId="14" xfId="0" applyNumberFormat="1" applyFont="1" applyFill="1" applyBorder="1" applyAlignment="1">
      <x:alignment horizontal="center" vertical="center" wrapText="1"/>
    </x:xf>
    <x:xf numFmtId="0" fontId="9" fillId="12" borderId="15" xfId="0" applyNumberFormat="1" applyFont="1" applyFill="1" applyBorder="1" applyAlignment="1">
      <x:alignment horizontal="center" vertical="center" wrapText="1"/>
    </x:xf>
    <x:xf numFmtId="0" fontId="15" fillId="12" borderId="10" xfId="0" applyNumberFormat="1" applyFont="1" applyFill="1" applyBorder="1" applyAlignment="1">
      <x:alignment horizontal="center" vertical="center" wrapText="1"/>
    </x:xf>
    <x:xf numFmtId="0" fontId="15" fillId="12" borderId="11" xfId="0" applyNumberFormat="1" applyFont="1" applyFill="1" applyBorder="1" applyAlignment="1">
      <x:alignment horizontal="center" vertical="center" wrapText="1"/>
    </x:xf>
    <x:xf numFmtId="0" fontId="15" fillId="12" borderId="12" xfId="0" applyNumberFormat="1" applyFont="1" applyFill="1" applyBorder="1" applyAlignment="1">
      <x:alignment horizontal="center" vertical="center" wrapText="1"/>
    </x:xf>
    <x:xf numFmtId="0" fontId="15" fillId="12" borderId="13" xfId="0" applyNumberFormat="1" applyFont="1" applyFill="1" applyBorder="1" applyAlignment="1">
      <x:alignment horizontal="center" vertical="center" wrapText="1"/>
    </x:xf>
    <x:xf numFmtId="0" fontId="15" fillId="12" borderId="14" xfId="0" applyNumberFormat="1" applyFont="1" applyFill="1" applyBorder="1" applyAlignment="1">
      <x:alignment horizontal="center" vertical="center" wrapText="1"/>
    </x:xf>
    <x:xf numFmtId="0" fontId="15" fillId="12" borderId="15" xfId="0" applyNumberFormat="1" applyFont="1" applyFill="1" applyBorder="1" applyAlignment="1">
      <x:alignment horizontal="center" vertical="center" wrapText="1"/>
    </x:xf>
    <x:xf numFmtId="0" fontId="9" fillId="13" borderId="10" xfId="0" applyNumberFormat="1" applyFont="1" applyFill="1" applyBorder="1" applyAlignment="1">
      <x:alignment horizontal="center" vertical="center" wrapText="1"/>
    </x:xf>
    <x:xf numFmtId="0" fontId="9" fillId="13" borderId="11" xfId="0" applyNumberFormat="1" applyFont="1" applyFill="1" applyBorder="1" applyAlignment="1">
      <x:alignment horizontal="center" vertical="center" wrapText="1"/>
    </x:xf>
    <x:xf numFmtId="0" fontId="9" fillId="13" borderId="12" xfId="0" applyNumberFormat="1" applyFont="1" applyFill="1" applyBorder="1" applyAlignment="1">
      <x:alignment horizontal="center" vertical="center" wrapText="1"/>
    </x:xf>
    <x:xf numFmtId="0" fontId="9" fillId="13" borderId="13" xfId="0" applyNumberFormat="1" applyFont="1" applyFill="1" applyBorder="1" applyAlignment="1">
      <x:alignment horizontal="center" vertical="center" wrapText="1"/>
    </x:xf>
    <x:xf numFmtId="0" fontId="9" fillId="13" borderId="14" xfId="0" applyNumberFormat="1" applyFont="1" applyFill="1" applyBorder="1" applyAlignment="1">
      <x:alignment horizontal="center" vertical="center" wrapText="1"/>
    </x:xf>
    <x:xf numFmtId="0" fontId="9" fillId="13" borderId="15" xfId="0" applyNumberFormat="1" applyFont="1" applyFill="1" applyBorder="1" applyAlignment="1">
      <x:alignment horizontal="center" vertical="center" wrapText="1"/>
    </x:xf>
    <x:xf numFmtId="0" fontId="15" fillId="13" borderId="10" xfId="0" applyNumberFormat="1" applyFont="1" applyFill="1" applyBorder="1" applyAlignment="1">
      <x:alignment horizontal="center" vertical="center" wrapText="1"/>
    </x:xf>
    <x:xf numFmtId="0" fontId="15" fillId="13" borderId="11" xfId="0" applyNumberFormat="1" applyFont="1" applyFill="1" applyBorder="1" applyAlignment="1">
      <x:alignment horizontal="center" vertical="center" wrapText="1"/>
    </x:xf>
    <x:xf numFmtId="0" fontId="15" fillId="13" borderId="12" xfId="0" applyNumberFormat="1" applyFont="1" applyFill="1" applyBorder="1" applyAlignment="1">
      <x:alignment horizontal="center" vertical="center" wrapText="1"/>
    </x:xf>
    <x:xf numFmtId="0" fontId="15" fillId="13" borderId="13" xfId="0" applyNumberFormat="1" applyFont="1" applyFill="1" applyBorder="1" applyAlignment="1">
      <x:alignment horizontal="center" vertical="center" wrapText="1"/>
    </x:xf>
    <x:xf numFmtId="0" fontId="15" fillId="13" borderId="14" xfId="0" applyNumberFormat="1" applyFont="1" applyFill="1" applyBorder="1" applyAlignment="1">
      <x:alignment horizontal="center" vertical="center" wrapText="1"/>
    </x:xf>
    <x:xf numFmtId="0" fontId="15" fillId="13" borderId="15" xfId="0" applyNumberFormat="1" applyFont="1" applyFill="1" applyBorder="1" applyAlignment="1">
      <x:alignment horizontal="center" vertical="center" wrapText="1"/>
    </x:xf>
    <x:xf numFmtId="0" fontId="0" fillId="0" borderId="0" xfId="0" applyNumberFormat="1" applyFont="1" applyFill="1" applyBorder="1"/>
    <x:xf numFmtId="0" fontId="3" fillId="2" borderId="1" xfId="0" applyNumberFormat="1" applyFont="1" applyFill="1" applyBorder="1" applyAlignment="1">
      <x:alignment horizontal="center" vertical="center" wrapText="1"/>
    </x:xf>
    <x:xf numFmtId="0" fontId="4" fillId="3" borderId="1" xfId="0" applyNumberFormat="1" applyFont="1" applyFill="1" applyBorder="1" applyAlignment="1">
      <x:alignment horizontal="center" vertical="center" wrapText="1"/>
    </x:xf>
    <x:xf numFmtId="0" fontId="4" fillId="3" borderId="1" xfId="0" applyNumberFormat="1" applyFont="1" applyFill="1" applyBorder="1" applyAlignment="1">
      <x:alignment horizontal="left" vertical="center" wrapText="1"/>
    </x:xf>
    <x:xf numFmtId="0" fontId="4" fillId="3" borderId="1" xfId="0" applyNumberFormat="1" applyFont="1" applyFill="1" applyBorder="1" applyAlignment="1">
      <x:alignment horizontal="left" vertical="top" wrapText="1"/>
    </x:xf>
    <x:xf numFmtId="0" fontId="5" fillId="2" borderId="1" xfId="0" applyNumberFormat="1" applyFont="1" applyFill="1" applyBorder="1" applyAlignment="1">
      <x:alignment horizontal="center" vertical="center" wrapText="1"/>
    </x:xf>
    <x:xf numFmtId="0" fontId="4" fillId="4" borderId="1" xfId="0" applyNumberFormat="1" applyFont="1" applyFill="1" applyBorder="1" applyAlignment="1">
      <x:alignment horizontal="center" vertical="center" wrapText="1"/>
    </x:xf>
    <x:xf numFmtId="0" fontId="4" fillId="4" borderId="1" xfId="0" applyNumberFormat="1" applyFont="1" applyFill="1" applyBorder="1" applyAlignment="1">
      <x:alignment horizontal="left" vertical="center" wrapText="1"/>
    </x:xf>
    <x:xf numFmtId="0" fontId="1" fillId="2" borderId="0" xfId="0" applyNumberFormat="1" applyFont="1" applyFill="1" applyBorder="1" applyAlignment="1">
      <x:alignment horizontal="left" vertical="center"/>
    </x:xf>
    <x:xf numFmtId="0" fontId="2" fillId="0" borderId="0" xfId="0" applyNumberFormat="1" applyFont="1" applyFill="1" applyBorder="1" applyAlignment="1">
      <x:alignment horizontal="left" vertical="center"/>
    </x:xf>
    <x:xf numFmtId="200" fontId="0" fillId="0" borderId="0" xfId="0" applyNumberFormat="1" applyFont="1" applyFill="1" applyBorder="1"/>
    <x:xf numFmtId="0" fontId="6" fillId="20" borderId="0" xfId="0" applyNumberFormat="1" applyFont="1" applyFill="1" applyBorder="1" applyAlignment="1">
      <x:alignment horizontal="left" vertical="center"/>
    </x:xf>
    <x:xf numFmtId="0" fontId="16" fillId="20" borderId="0" xfId="0" applyNumberFormat="1" applyFont="1" applyFill="1" applyBorder="1" applyAlignment="1">
      <x:alignment horizontal="left" vertical="center"/>
    </x:xf>
    <x:xf numFmtId="0" fontId="17" fillId="0" borderId="0" xfId="0" applyNumberFormat="1" applyFont="1" applyFill="1" applyBorder="1" applyAlignment="1">
      <x:alignment vertical="center" wrapText="1"/>
    </x:xf>
    <x:xf numFmtId="0" fontId="8" fillId="21" borderId="4" xfId="0" applyNumberFormat="1" applyFont="1" applyFill="1" applyBorder="1" applyAlignment="1">
      <x:alignment horizontal="center" vertical="center" wrapText="1"/>
    </x:xf>
    <x:xf numFmtId="0" fontId="8" fillId="21" borderId="5" xfId="0" applyNumberFormat="1" applyFont="1" applyFill="1" applyBorder="1" applyAlignment="1">
      <x:alignment horizontal="center" vertical="center" wrapText="1"/>
    </x:xf>
    <x:xf numFmtId="0" fontId="8" fillId="21" borderId="6" xfId="0" applyNumberFormat="1" applyFont="1" applyFill="1" applyBorder="1" applyAlignment="1">
      <x:alignment horizontal="center" vertical="center" wrapText="1"/>
    </x:xf>
    <x:xf numFmtId="0" fontId="0" fillId="21" borderId="0" xfId="0" applyNumberFormat="1" applyFont="1" applyFill="1" applyBorder="1"/>
    <x:xf numFmtId="0" fontId="12" fillId="21" borderId="4" xfId="0" applyNumberFormat="1" applyFont="1" applyFill="1" applyBorder="1" applyAlignment="1">
      <x:alignment horizontal="center" vertical="center" wrapText="1"/>
    </x:xf>
    <x:xf numFmtId="0" fontId="12" fillId="21" borderId="5" xfId="0" applyNumberFormat="1" applyFont="1" applyFill="1" applyBorder="1" applyAlignment="1">
      <x:alignment horizontal="center" vertical="center" wrapText="1"/>
    </x:xf>
    <x:xf numFmtId="0" fontId="12" fillId="21" borderId="6" xfId="0" applyNumberFormat="1" applyFont="1" applyFill="1" applyBorder="1" applyAlignment="1">
      <x:alignment horizontal="center" vertical="center" wrapText="1"/>
    </x:xf>
    <x:xf numFmtId="0" fontId="12" fillId="21" borderId="0" xfId="0" applyNumberFormat="1" applyFont="1" applyFill="1" applyBorder="1"/>
    <x:xf numFmtId="0" fontId="12" fillId="21" borderId="0" xfId="0" applyNumberFormat="1" applyFont="1" applyFill="1" applyBorder="1" applyAlignment="1">
      <x:alignment horizontal="center"/>
    </x:xf>
    <x:xf numFmtId="0" fontId="12" fillId="21" borderId="0" xfId="0" applyNumberFormat="1" applyFont="1" applyFill="1" applyBorder="1" applyAlignment="1">
      <x:alignment horizontal="center" vertical="center"/>
    </x:xf>
    <x:xf numFmtId="0" fontId="12" fillId="21" borderId="0" xfId="0" applyNumberFormat="1" applyFont="1" applyFill="1" applyBorder="1" applyAlignment="1">
      <x:alignment horizontal="center" vertical="center" wrapText="1"/>
    </x:xf>
    <x:xf numFmtId="0" fontId="8" fillId="22" borderId="4" xfId="0" applyNumberFormat="1" applyFont="1" applyFill="1" applyBorder="1" applyAlignment="1">
      <x:alignment horizontal="center" vertical="center" wrapText="1"/>
    </x:xf>
    <x:xf numFmtId="0" fontId="8" fillId="22" borderId="5" xfId="0" applyNumberFormat="1" applyFont="1" applyFill="1" applyBorder="1" applyAlignment="1">
      <x:alignment horizontal="center" vertical="center" wrapText="1"/>
    </x:xf>
    <x:xf numFmtId="0" fontId="8" fillId="22" borderId="6" xfId="0" applyNumberFormat="1" applyFont="1" applyFill="1" applyBorder="1" applyAlignment="1">
      <x:alignment horizontal="center" vertical="center" wrapText="1"/>
    </x:xf>
    <x:xf numFmtId="0" fontId="12" fillId="22" borderId="4" xfId="0" applyNumberFormat="1" applyFont="1" applyFill="1" applyBorder="1" applyAlignment="1">
      <x:alignment horizontal="center" vertical="center" wrapText="1"/>
    </x:xf>
    <x:xf numFmtId="0" fontId="12" fillId="22" borderId="5" xfId="0" applyNumberFormat="1" applyFont="1" applyFill="1" applyBorder="1" applyAlignment="1">
      <x:alignment horizontal="center" vertical="center" wrapText="1"/>
    </x:xf>
    <x:xf numFmtId="0" fontId="12" fillId="22" borderId="6" xfId="0" applyNumberFormat="1" applyFont="1" applyFill="1" applyBorder="1" applyAlignment="1">
      <x:alignment horizontal="center" vertical="center" wrapText="1"/>
    </x:xf>
    <x:xf numFmtId="0" fontId="0" fillId="23" borderId="0" xfId="0" applyNumberFormat="1" applyFont="1" applyFill="1" applyBorder="1"/>
    <x:xf numFmtId="0" fontId="8" fillId="23" borderId="4" xfId="0" applyNumberFormat="1" applyFont="1" applyFill="1" applyBorder="1" applyAlignment="1">
      <x:alignment horizontal="center" vertical="center" wrapText="1"/>
    </x:xf>
    <x:xf numFmtId="0" fontId="8" fillId="23" borderId="5" xfId="0" applyNumberFormat="1" applyFont="1" applyFill="1" applyBorder="1" applyAlignment="1">
      <x:alignment horizontal="center" vertical="center" wrapText="1"/>
    </x:xf>
    <x:xf numFmtId="0" fontId="12" fillId="23" borderId="0" xfId="0" applyNumberFormat="1" applyFont="1" applyFill="1" applyBorder="1"/>
    <x:xf numFmtId="0" fontId="12" fillId="23" borderId="4" xfId="0" applyNumberFormat="1" applyFont="1" applyFill="1" applyBorder="1" applyAlignment="1">
      <x:alignment horizontal="center" vertical="center" wrapText="1"/>
    </x:xf>
    <x:xf numFmtId="0" fontId="12" fillId="23" borderId="5" xfId="0" applyNumberFormat="1" applyFont="1" applyFill="1" applyBorder="1" applyAlignment="1">
      <x:alignment horizontal="center" vertical="center" wrapText="1"/>
    </x:xf>
    <x:xf numFmtId="0" fontId="12" fillId="23" borderId="0" xfId="0" applyNumberFormat="1" applyFont="1" applyFill="1" applyBorder="1" applyAlignment="1">
      <x:alignment horizontal="center"/>
    </x:xf>
    <x:xf numFmtId="0" fontId="12" fillId="23" borderId="0" xfId="0" applyNumberFormat="1" applyFont="1" applyFill="1" applyBorder="1" applyAlignment="1">
      <x:alignment horizontal="center" vertical="center"/>
    </x:xf>
    <x:xf numFmtId="0" fontId="12" fillId="23" borderId="0" xfId="0" applyNumberFormat="1" applyFont="1" applyFill="1" applyBorder="1" applyAlignment="1">
      <x:alignment horizontal="center" vertical="center" wrapText="1"/>
    </x:xf>
    <x:xf numFmtId="0" fontId="8" fillId="24" borderId="6" xfId="0" applyNumberFormat="1" applyFont="1" applyFill="1" applyBorder="1" applyAlignment="1">
      <x:alignment horizontal="center" vertical="center" wrapText="1"/>
    </x:xf>
    <x:xf numFmtId="0" fontId="0" fillId="24" borderId="0" xfId="0" applyNumberFormat="1" applyFont="1" applyFill="1" applyBorder="1"/>
    <x:xf numFmtId="0" fontId="8" fillId="24" borderId="4" xfId="0" applyNumberFormat="1" applyFont="1" applyFill="1" applyBorder="1" applyAlignment="1">
      <x:alignment horizontal="center" vertical="center" wrapText="1"/>
    </x:xf>
    <x:xf numFmtId="0" fontId="12" fillId="24" borderId="6" xfId="0" applyNumberFormat="1" applyFont="1" applyFill="1" applyBorder="1" applyAlignment="1">
      <x:alignment horizontal="center" vertical="center" wrapText="1"/>
    </x:xf>
    <x:xf numFmtId="0" fontId="12" fillId="24" borderId="0" xfId="0" applyNumberFormat="1" applyFont="1" applyFill="1" applyBorder="1"/>
    <x:xf numFmtId="0" fontId="12" fillId="24" borderId="4" xfId="0" applyNumberFormat="1" applyFont="1" applyFill="1" applyBorder="1" applyAlignment="1">
      <x:alignment horizontal="center" vertical="center" wrapText="1"/>
    </x:xf>
    <x:xf numFmtId="0" fontId="12" fillId="24" borderId="0" xfId="0" applyNumberFormat="1" applyFont="1" applyFill="1" applyBorder="1" applyAlignment="1">
      <x:alignment horizontal="center"/>
    </x:xf>
    <x:xf numFmtId="0" fontId="12" fillId="24" borderId="0" xfId="0" applyNumberFormat="1" applyFont="1" applyFill="1" applyBorder="1" applyAlignment="1">
      <x:alignment horizontal="center" vertical="center"/>
    </x:xf>
    <x:xf numFmtId="0" fontId="12" fillId="24" borderId="0" xfId="0" applyNumberFormat="1" applyFont="1" applyFill="1" applyBorder="1" applyAlignment="1">
      <x:alignment horizontal="center" vertical="center" wrapText="1"/>
    </x:xf>
    <x:xf numFmtId="0" fontId="8" fillId="25" borderId="5" xfId="0" applyNumberFormat="1" applyFont="1" applyFill="1" applyBorder="1" applyAlignment="1">
      <x:alignment horizontal="center" vertical="center" wrapText="1"/>
    </x:xf>
    <x:xf numFmtId="0" fontId="8" fillId="25" borderId="6" xfId="0" applyNumberFormat="1" applyFont="1" applyFill="1" applyBorder="1" applyAlignment="1">
      <x:alignment horizontal="center" vertical="center" wrapText="1"/>
    </x:xf>
    <x:xf numFmtId="0" fontId="12" fillId="25" borderId="5" xfId="0" applyNumberFormat="1" applyFont="1" applyFill="1" applyBorder="1" applyAlignment="1">
      <x:alignment horizontal="center" vertical="center" wrapText="1"/>
    </x:xf>
    <x:xf numFmtId="0" fontId="12" fillId="25" borderId="6" xfId="0" applyNumberFormat="1" applyFont="1" applyFill="1" applyBorder="1" applyAlignment="1">
      <x:alignment horizontal="center" vertical="center" wrapText="1"/>
    </x:xf>
    <x:xf numFmtId="0" fontId="0" fillId="26" borderId="0" xfId="0" applyNumberFormat="1" applyFont="1" applyFill="1" applyBorder="1"/>
    <x:xf numFmtId="0" fontId="8" fillId="26" borderId="4" xfId="0" applyNumberFormat="1" applyFont="1" applyFill="1" applyBorder="1" applyAlignment="1">
      <x:alignment horizontal="center" vertical="center" wrapText="1"/>
    </x:xf>
    <x:xf numFmtId="0" fontId="12" fillId="26" borderId="0" xfId="0" applyNumberFormat="1" applyFont="1" applyFill="1" applyBorder="1"/>
    <x:xf numFmtId="0" fontId="12" fillId="26" borderId="4" xfId="0" applyNumberFormat="1" applyFont="1" applyFill="1" applyBorder="1" applyAlignment="1">
      <x:alignment horizontal="center" vertical="center" wrapText="1"/>
    </x:xf>
    <x:xf numFmtId="0" fontId="12" fillId="26" borderId="0" xfId="0" applyNumberFormat="1" applyFont="1" applyFill="1" applyBorder="1" applyAlignment="1">
      <x:alignment horizontal="center"/>
    </x:xf>
    <x:xf numFmtId="0" fontId="12" fillId="26" borderId="0" xfId="0" applyNumberFormat="1" applyFont="1" applyFill="1" applyBorder="1" applyAlignment="1">
      <x:alignment horizontal="center" vertical="center"/>
    </x:xf>
    <x:xf numFmtId="0" fontId="12" fillId="26" borderId="0" xfId="0" applyNumberFormat="1" applyFont="1" applyFill="1" applyBorder="1" applyAlignment="1">
      <x:alignment horizontal="center" vertical="center" wrapText="1"/>
    </x:xf>
    <x:xf numFmtId="0" fontId="8" fillId="27" borderId="5" xfId="0" applyNumberFormat="1" applyFont="1" applyFill="1" applyBorder="1" applyAlignment="1">
      <x:alignment horizontal="center" vertical="center" wrapText="1"/>
    </x:xf>
    <x:xf numFmtId="0" fontId="8" fillId="27" borderId="6" xfId="0" applyNumberFormat="1" applyFont="1" applyFill="1" applyBorder="1" applyAlignment="1">
      <x:alignment horizontal="center" vertical="center" wrapText="1"/>
    </x:xf>
    <x:xf numFmtId="0" fontId="12" fillId="27" borderId="5" xfId="0" applyNumberFormat="1" applyFont="1" applyFill="1" applyBorder="1" applyAlignment="1">
      <x:alignment horizontal="center" vertical="center" wrapText="1"/>
    </x:xf>
    <x:xf numFmtId="0" fontId="12" fillId="27" borderId="6" xfId="0" applyNumberFormat="1" applyFont="1" applyFill="1" applyBorder="1" applyAlignment="1">
      <x:alignment horizontal="center" vertical="center" wrapText="1"/>
    </x:xf>
    <x:xf numFmtId="0" fontId="15" fillId="28" borderId="10" xfId="0" applyNumberFormat="1" applyFont="1" applyFill="1" applyBorder="1" applyAlignment="1">
      <x:alignment horizontal="center" vertical="center" wrapText="1"/>
    </x:xf>
    <x:xf numFmtId="0" fontId="15" fillId="28" borderId="11" xfId="0" applyNumberFormat="1" applyFont="1" applyFill="1" applyBorder="1" applyAlignment="1">
      <x:alignment horizontal="center" vertical="center" wrapText="1"/>
    </x:xf>
    <x:xf numFmtId="0" fontId="15" fillId="29" borderId="12" xfId="0" applyNumberFormat="1" applyFont="1" applyFill="1" applyBorder="1" applyAlignment="1">
      <x:alignment horizontal="center" vertical="center" wrapText="1"/>
    </x:xf>
    <x:xf numFmtId="0" fontId="15" fillId="29" borderId="10" xfId="0" applyNumberFormat="1" applyFont="1" applyFill="1" applyBorder="1" applyAlignment="1">
      <x:alignment horizontal="center" vertical="center" wrapText="1"/>
    </x:xf>
    <x:xf numFmtId="0" fontId="15" fillId="29" borderId="11" xfId="0" applyNumberFormat="1" applyFont="1" applyFill="1" applyBorder="1" applyAlignment="1">
      <x:alignment horizontal="center" vertical="center" wrapText="1"/>
    </x:xf>
    <x:xf numFmtId="0" fontId="15" fillId="30" borderId="11" xfId="0" applyNumberFormat="1" applyFont="1" applyFill="1" applyBorder="1" applyAlignment="1">
      <x:alignment horizontal="center" vertical="center" wrapText="1"/>
    </x:xf>
    <x:xf numFmtId="0" fontId="15" fillId="31" borderId="12" xfId="0" applyNumberFormat="1" applyFont="1" applyFill="1" applyBorder="1" applyAlignment="1">
      <x:alignment horizontal="center" vertical="center" wrapText="1"/>
    </x:xf>
    <x:xf numFmtId="0" fontId="15" fillId="32" borderId="10" xfId="0" applyNumberFormat="1" applyFont="1" applyFill="1" applyBorder="1" applyAlignment="1">
      <x:alignment horizontal="center" vertical="center" wrapText="1"/>
    </x:xf>
    <x:xf numFmtId="0" fontId="15" fillId="32" borderId="11" xfId="0" applyNumberFormat="1" applyFont="1" applyFill="1" applyBorder="1" applyAlignment="1">
      <x:alignment horizontal="center" vertical="center" wrapText="1"/>
    </x:xf>
    <x:xf numFmtId="0" fontId="15" fillId="33" borderId="11" xfId="0" applyNumberFormat="1" applyFont="1" applyFill="1" applyBorder="1" applyAlignment="1">
      <x:alignment horizontal="center" vertical="center" wrapText="1"/>
    </x:xf>
    <x:xf numFmtId="0" fontId="15" fillId="33" borderId="12" xfId="0" applyNumberFormat="1" applyFont="1" applyFill="1" applyBorder="1" applyAlignment="1">
      <x:alignment horizontal="center" vertical="center" wrapText="1"/>
    </x:xf>
    <x:xf numFmtId="0" fontId="10" fillId="20" borderId="10" xfId="0" applyNumberFormat="1" applyFont="1" applyFill="1" applyBorder="1" applyAlignment="1">
      <x:alignment horizontal="center" vertical="center" wrapText="1"/>
    </x:xf>
    <x:xf numFmtId="0" fontId="10" fillId="20" borderId="11" xfId="0" applyNumberFormat="1" applyFont="1" applyFill="1" applyBorder="1" applyAlignment="1">
      <x:alignment horizontal="center" vertical="center" wrapText="1"/>
    </x:xf>
    <x:xf numFmtId="0" fontId="10" fillId="20" borderId="12" xfId="0" applyNumberFormat="1" applyFont="1" applyFill="1" applyBorder="1" applyAlignment="1">
      <x:alignment horizontal="center" vertical="center" wrapText="1"/>
    </x:xf>
    <x:xf numFmtId="0" fontId="15" fillId="20" borderId="10" xfId="0" applyNumberFormat="1" applyFont="1" applyFill="1" applyBorder="1" applyAlignment="1">
      <x:alignment horizontal="center" vertical="center" wrapText="1"/>
    </x:xf>
    <x:xf numFmtId="0" fontId="15" fillId="20" borderId="11" xfId="0" applyNumberFormat="1" applyFont="1" applyFill="1" applyBorder="1" applyAlignment="1">
      <x:alignment horizontal="center" vertical="center" wrapText="1"/>
    </x:xf>
    <x:xf numFmtId="0" fontId="15" fillId="20" borderId="12" xfId="0" applyNumberFormat="1" applyFont="1" applyFill="1" applyBorder="1" applyAlignment="1">
      <x:alignment horizontal="center" vertical="center" wrapText="1"/>
    </x:xf>
    <x:xf numFmtId="0" fontId="11" fillId="34" borderId="16" xfId="0" applyNumberFormat="1" applyFont="1" applyFill="1" applyBorder="1" applyAlignment="1">
      <x:alignment horizontal="center" vertical="center" wrapText="1"/>
    </x:xf>
    <x:xf numFmtId="0" fontId="12" fillId="34" borderId="17" xfId="0" applyNumberFormat="1" applyFont="1" applyFill="1" applyBorder="1" applyAlignment="1">
      <x:alignment horizontal="center" vertical="center" wrapText="1"/>
    </x:xf>
    <x:xf numFmtId="0" fontId="11" fillId="34" borderId="17" xfId="0" applyNumberFormat="1" applyFont="1" applyFill="1" applyBorder="1" applyAlignment="1">
      <x:alignment vertical="center" wrapText="1"/>
    </x:xf>
    <x:xf numFmtId="0" fontId="11" fillId="34" borderId="17" xfId="0" applyNumberFormat="1" applyFont="1" applyFill="1" applyBorder="1" applyAlignment="1">
      <x:alignment horizontal="center" vertical="center" wrapText="1"/>
    </x:xf>
    <x:xf numFmtId="0" fontId="13" fillId="34" borderId="32" xfId="0" applyNumberFormat="1" applyFont="1" applyFill="1" applyBorder="1" applyAlignment="1">
      <x:alignment horizontal="center" vertical="center" wrapText="1"/>
    </x:xf>
    <x:xf numFmtId="0" fontId="11" fillId="34" borderId="19" xfId="0" applyNumberFormat="1" applyFont="1" applyFill="1" applyBorder="1" applyAlignment="1">
      <x:alignment horizontal="center" vertical="center" wrapText="1"/>
    </x:xf>
    <x:xf numFmtId="0" fontId="12" fillId="34" borderId="0" xfId="0" applyNumberFormat="1" applyFont="1" applyFill="1" applyBorder="1" applyAlignment="1">
      <x:alignment horizontal="center" vertical="center" wrapText="1"/>
    </x:xf>
    <x:xf numFmtId="0" fontId="11" fillId="34" borderId="0" xfId="0" applyNumberFormat="1" applyFont="1" applyFill="1" applyBorder="1" applyAlignment="1">
      <x:alignment vertical="center" wrapText="1"/>
    </x:xf>
    <x:xf numFmtId="0" fontId="11" fillId="34" borderId="0" xfId="0" applyNumberFormat="1" applyFont="1" applyFill="1" applyBorder="1" applyAlignment="1">
      <x:alignment horizontal="center" vertical="center" wrapText="1"/>
    </x:xf>
    <x:xf numFmtId="0" fontId="18" fillId="34" borderId="16" xfId="0" applyNumberFormat="1" applyFont="1" applyFill="1" applyBorder="1" applyAlignment="1">
      <x:alignment horizontal="center" vertical="center" wrapText="1"/>
    </x:xf>
    <x:xf numFmtId="0" fontId="19" fillId="34" borderId="17" xfId="0" applyNumberFormat="1" applyFont="1" applyFill="1" applyBorder="1" applyAlignment="1">
      <x:alignment horizontal="center" vertical="center" wrapText="1"/>
    </x:xf>
    <x:xf numFmtId="0" fontId="18" fillId="34" borderId="17" xfId="0" applyNumberFormat="1" applyFont="1" applyFill="1" applyBorder="1" applyAlignment="1">
      <x:alignment vertical="center" wrapText="1"/>
    </x:xf>
    <x:xf numFmtId="0" fontId="18" fillId="34" borderId="17" xfId="0" applyNumberFormat="1" applyFont="1" applyFill="1" applyBorder="1" applyAlignment="1">
      <x:alignment horizontal="center" vertical="center" wrapText="1"/>
    </x:xf>
    <x:xf numFmtId="0" fontId="19" fillId="34" borderId="32" xfId="0" applyNumberFormat="1" applyFont="1" applyFill="1" applyBorder="1" applyAlignment="1">
      <x:alignment horizontal="center" vertical="center" wrapText="1"/>
    </x:xf>
    <x:xf numFmtId="0" fontId="18" fillId="34" borderId="19" xfId="0" applyNumberFormat="1" applyFont="1" applyFill="1" applyBorder="1" applyAlignment="1">
      <x:alignment horizontal="center" vertical="center" wrapText="1"/>
    </x:xf>
    <x:xf numFmtId="0" fontId="19" fillId="34" borderId="0" xfId="0" applyNumberFormat="1" applyFont="1" applyFill="1" applyBorder="1" applyAlignment="1">
      <x:alignment horizontal="center" vertical="center" wrapText="1"/>
    </x:xf>
    <x:xf numFmtId="0" fontId="18" fillId="34" borderId="0" xfId="0" applyNumberFormat="1" applyFont="1" applyFill="1" applyBorder="1" applyAlignment="1">
      <x:alignment vertical="center" wrapText="1"/>
    </x:xf>
    <x:xf numFmtId="0" fontId="18" fillId="34" borderId="0" xfId="0" applyNumberFormat="1" applyFont="1" applyFill="1" applyBorder="1" applyAlignment="1">
      <x:alignment horizontal="center" vertical="center" wrapText="1"/>
    </x:xf>
    <x:xf numFmtId="0" fontId="19" fillId="23" borderId="17" xfId="0" applyNumberFormat="1" applyFont="1" applyFill="1" applyBorder="1" applyAlignment="1">
      <x:alignment horizontal="center" vertical="center" wrapText="1"/>
    </x:xf>
    <x:xf numFmtId="0" fontId="19" fillId="23" borderId="32" xfId="0" applyNumberFormat="1" applyFont="1" applyFill="1" applyBorder="1" applyAlignment="1">
      <x:alignment horizontal="center" vertical="center" wrapText="1"/>
    </x:xf>
    <x:xf numFmtId="0" fontId="18" fillId="23" borderId="17" xfId="0" applyNumberFormat="1" applyFont="1" applyFill="1" applyBorder="1" applyAlignment="1">
      <x:alignment horizontal="center" vertical="center" wrapText="1"/>
    </x:xf>
    <x:xf numFmtId="0" fontId="19" fillId="23" borderId="0" xfId="0" applyNumberFormat="1" applyFont="1" applyFill="1" applyBorder="1" applyAlignment="1">
      <x:alignment horizontal="center" vertical="center" wrapText="1"/>
    </x:xf>
    <x:xf numFmtId="0" fontId="18" fillId="23" borderId="0" xfId="0" applyNumberFormat="1" applyFont="1" applyFill="1" applyBorder="1" applyAlignment="1">
      <x:alignment horizontal="center" vertical="center" wrapText="1"/>
    </x:xf>
    <x:xf numFmtId="0" fontId="19" fillId="24" borderId="0" xfId="0" applyNumberFormat="1" applyFont="1" applyFill="1" applyBorder="1" applyAlignment="1">
      <x:alignment horizontal="center" vertical="center" wrapText="1"/>
    </x:xf>
    <x:xf numFmtId="0" fontId="18" fillId="24" borderId="0" xfId="0" applyNumberFormat="1" applyFont="1" applyFill="1" applyBorder="1" applyAlignment="1">
      <x:alignment horizontal="center" vertical="center" wrapText="1"/>
    </x:xf>
    <x:xf numFmtId="0" fontId="19" fillId="24" borderId="32" xfId="0" applyNumberFormat="1" applyFont="1" applyFill="1" applyBorder="1" applyAlignment="1">
      <x:alignment horizontal="center" vertical="center" wrapText="1"/>
    </x:xf>
    <x:xf numFmtId="0" fontId="19" fillId="25" borderId="0" xfId="0" applyNumberFormat="1" applyFont="1" applyFill="1" applyBorder="1" applyAlignment="1">
      <x:alignment horizontal="center" vertical="center" wrapText="1"/>
    </x:xf>
    <x:xf numFmtId="0" fontId="18" fillId="25" borderId="0" xfId="0" applyNumberFormat="1" applyFont="1" applyFill="1" applyBorder="1" applyAlignment="1">
      <x:alignment horizontal="center" vertical="center" wrapText="1"/>
    </x:xf>
    <x:xf numFmtId="0" fontId="19" fillId="22" borderId="0" xfId="0" applyNumberFormat="1" applyFont="1" applyFill="1" applyBorder="1" applyAlignment="1">
      <x:alignment horizontal="center" vertical="center" wrapText="1"/>
    </x:xf>
    <x:xf numFmtId="0" fontId="18" fillId="22" borderId="0" xfId="0" applyNumberFormat="1" applyFont="1" applyFill="1" applyBorder="1" applyAlignment="1">
      <x:alignment horizontal="center" vertical="center" wrapText="1"/>
    </x:xf>
    <x:xf numFmtId="0" fontId="19" fillId="26" borderId="0" xfId="0" applyNumberFormat="1" applyFont="1" applyFill="1" applyBorder="1" applyAlignment="1">
      <x:alignment horizontal="center" vertical="center" wrapText="1"/>
    </x:xf>
    <x:xf numFmtId="0" fontId="18" fillId="26" borderId="0" xfId="0" applyNumberFormat="1" applyFont="1" applyFill="1" applyBorder="1" applyAlignment="1">
      <x:alignment horizontal="center" vertical="center" wrapText="1"/>
    </x:xf>
    <x:xf numFmtId="0" fontId="13" fillId="23" borderId="32" xfId="0" applyNumberFormat="1" applyFont="1" applyFill="1" applyBorder="1" applyAlignment="1">
      <x:alignment horizontal="center" vertical="center" wrapText="1"/>
    </x:xf>
    <x:xf numFmtId="0" fontId="13" fillId="23" borderId="17" xfId="0" applyNumberFormat="1" applyFont="1" applyFill="1" applyBorder="1" applyAlignment="1">
      <x:alignment horizontal="center" vertical="center" wrapText="1"/>
    </x:xf>
    <x:xf numFmtId="0" fontId="13" fillId="34" borderId="17" xfId="0" applyNumberFormat="1" applyFont="1" applyFill="1" applyBorder="1" applyAlignment="1">
      <x:alignment horizontal="center" vertical="center" wrapText="1"/>
    </x:xf>
    <x:xf numFmtId="0" fontId="13" fillId="23" borderId="0" xfId="0" applyNumberFormat="1" applyFont="1" applyFill="1" applyBorder="1" applyAlignment="1">
      <x:alignment horizontal="center" vertical="center" wrapText="1"/>
    </x:xf>
    <x:xf numFmtId="0" fontId="13" fillId="34" borderId="0" xfId="0" applyNumberFormat="1" applyFont="1" applyFill="1" applyBorder="1" applyAlignment="1">
      <x:alignment horizontal="center" vertical="center" wrapText="1"/>
    </x:xf>
    <x:xf numFmtId="0" fontId="13" fillId="24" borderId="0" xfId="0" applyNumberFormat="1" applyFont="1" applyFill="1" applyBorder="1" applyAlignment="1">
      <x:alignment horizontal="center" vertical="center" wrapText="1"/>
    </x:xf>
    <x:xf numFmtId="0" fontId="13" fillId="24" borderId="32" xfId="0" applyNumberFormat="1" applyFont="1" applyFill="1" applyBorder="1" applyAlignment="1">
      <x:alignment horizontal="center" vertical="center" wrapText="1"/>
    </x:xf>
    <x:xf numFmtId="0" fontId="13" fillId="25" borderId="0" xfId="0" applyNumberFormat="1" applyFont="1" applyFill="1" applyBorder="1" applyAlignment="1">
      <x:alignment horizontal="center" vertical="center" wrapText="1"/>
    </x:xf>
    <x:xf numFmtId="0" fontId="13" fillId="22" borderId="0" xfId="0" applyNumberFormat="1" applyFont="1" applyFill="1" applyBorder="1" applyAlignment="1">
      <x:alignment horizontal="center" vertical="center" wrapText="1"/>
    </x:xf>
    <x:xf numFmtId="0" fontId="13" fillId="26" borderId="0" xfId="0" applyNumberFormat="1" applyFont="1" applyFill="1" applyBorder="1" applyAlignment="1">
      <x:alignment horizontal="center" vertical="center" wrapText="1"/>
    </x:xf>
    <x:xf numFmtId="0" fontId="15" fillId="20" borderId="34" xfId="0" applyNumberFormat="1" applyFont="1" applyFill="1" applyBorder="1" applyAlignment="1">
      <x:alignment horizontal="center" vertical="center" wrapText="1"/>
    </x:xf>
    <x:xf numFmtId="0" fontId="15" fillId="20" borderId="35" xfId="0" applyNumberFormat="1" applyFont="1" applyFill="1" applyBorder="1" applyAlignment="1">
      <x:alignment horizontal="center" vertical="center" wrapText="1"/>
    </x:xf>
    <x:xf numFmtId="0" fontId="15" fillId="20" borderId="36" xfId="0" applyNumberFormat="1" applyFont="1" applyFill="1" applyBorder="1" applyAlignment="1">
      <x:alignment horizontal="center" vertical="center" wrapText="1"/>
    </x:xf>
    <x:xf numFmtId="0" fontId="18" fillId="34" borderId="37" xfId="0" applyNumberFormat="1" applyFont="1" applyFill="1" applyBorder="1" applyAlignment="1">
      <x:alignment horizontal="center" vertical="center" wrapText="1"/>
    </x:xf>
    <x:xf numFmtId="0" fontId="13" fillId="34" borderId="38" xfId="0" applyNumberFormat="1" applyFont="1" applyFill="1" applyBorder="1" applyAlignment="1">
      <x:alignment horizontal="center" vertical="center" wrapText="1"/>
    </x:xf>
    <x:xf numFmtId="0" fontId="18" fillId="34" borderId="39" xfId="0" applyNumberFormat="1" applyFont="1" applyFill="1" applyBorder="1" applyAlignment="1">
      <x:alignment horizontal="center" vertical="center" wrapText="1"/>
    </x:xf>
    <x:xf numFmtId="0" fontId="19" fillId="23" xfId="0" applyNumberFormat="1" applyFont="1" applyFill="1" applyBorder="0" applyAlignment="1">
      <x:alignment horizontal="center" vertical="center" wrapText="1"/>
    </x:xf>
    <x:xf numFmtId="0" fontId="18" fillId="34" xfId="0" applyNumberFormat="1" applyFont="1" applyFill="1" applyBorder="0" applyAlignment="1">
      <x:alignment vertical="center" wrapText="1"/>
    </x:xf>
    <x:xf numFmtId="0" fontId="18" fillId="34" xfId="0" applyNumberFormat="1" applyFont="1" applyFill="1" applyBorder="0" applyAlignment="1">
      <x:alignment horizontal="center" vertical="center" wrapText="1"/>
    </x:xf>
    <x:xf numFmtId="0" fontId="13" fillId="23" xfId="0" applyNumberFormat="1" applyFont="1" applyFill="1" applyBorder="0" applyAlignment="1">
      <x:alignment horizontal="center" vertical="center" wrapText="1"/>
    </x:xf>
    <x:xf numFmtId="0" fontId="13" fillId="34" xfId="0" applyNumberFormat="1" applyFont="1" applyFill="1" applyBorder="0" applyAlignment="1">
      <x:alignment horizontal="center" vertical="center" wrapText="1"/>
    </x:xf>
    <x:xf numFmtId="0" fontId="13" fillId="34" borderId="40" xfId="0" applyNumberFormat="1" applyFont="1" applyFill="1" applyBorder="1" applyAlignment="1">
      <x:alignment horizontal="center" vertical="center" wrapText="1"/>
    </x:xf>
    <x:xf numFmtId="0" fontId="19" fillId="24" xfId="0" applyNumberFormat="1" applyFont="1" applyFill="1" applyBorder="0" applyAlignment="1">
      <x:alignment horizontal="center" vertical="center" wrapText="1"/>
    </x:xf>
    <x:xf numFmtId="0" fontId="13" fillId="24" xfId="0" applyNumberFormat="1" applyFont="1" applyFill="1" applyBorder="0" applyAlignment="1">
      <x:alignment horizontal="center" vertical="center" wrapText="1"/>
    </x:xf>
    <x:xf numFmtId="0" fontId="19" fillId="25" xfId="0" applyNumberFormat="1" applyFont="1" applyFill="1" applyBorder="0" applyAlignment="1">
      <x:alignment horizontal="center" vertical="center" wrapText="1"/>
    </x:xf>
    <x:xf numFmtId="0" fontId="13" fillId="25" xfId="0" applyNumberFormat="1" applyFont="1" applyFill="1" applyBorder="0" applyAlignment="1">
      <x:alignment horizontal="center" vertical="center" wrapText="1"/>
    </x:xf>
    <x:xf numFmtId="0" fontId="19" fillId="22" xfId="0" applyNumberFormat="1" applyFont="1" applyFill="1" applyBorder="0" applyAlignment="1">
      <x:alignment horizontal="center" vertical="center" wrapText="1"/>
    </x:xf>
    <x:xf numFmtId="0" fontId="13" fillId="22" xfId="0" applyNumberFormat="1" applyFont="1" applyFill="1" applyBorder="0" applyAlignment="1">
      <x:alignment horizontal="center" vertical="center" wrapText="1"/>
    </x:xf>
    <x:xf numFmtId="0" fontId="19" fillId="26" xfId="0" applyNumberFormat="1" applyFont="1" applyFill="1" applyBorder="0" applyAlignment="1">
      <x:alignment horizontal="center" vertical="center" wrapText="1"/>
    </x:xf>
    <x:xf numFmtId="0" fontId="13" fillId="26" xfId="0" applyNumberFormat="1" applyFont="1" applyFill="1" applyBorder="0" applyAlignment="1">
      <x:alignment horizontal="center" vertical="center" wrapText="1"/>
    </x:xf>
    <x:xf numFmtId="0" fontId="13" fillId="26" borderId="40" xfId="0" applyNumberFormat="1" applyFont="1" applyFill="1" applyBorder="1" applyAlignment="1">
      <x:alignment horizontal="center" vertical="center" wrapText="1"/>
    </x:xf>
    <x:xf numFmtId="0" fontId="18" fillId="34" borderId="41" xfId="0" applyNumberFormat="1" applyFont="1" applyFill="1" applyBorder="1" applyAlignment="1">
      <x:alignment horizontal="center" vertical="center" wrapText="1"/>
    </x:xf>
    <x:xf numFmtId="0" fontId="19" fillId="26" borderId="42" xfId="0" applyNumberFormat="1" applyFont="1" applyFill="1" applyBorder="1" applyAlignment="1">
      <x:alignment horizontal="center" vertical="center" wrapText="1"/>
    </x:xf>
    <x:xf numFmtId="0" fontId="18" fillId="34" borderId="42" xfId="0" applyNumberFormat="1" applyFont="1" applyFill="1" applyBorder="1" applyAlignment="1">
      <x:alignment vertical="center" wrapText="1"/>
    </x:xf>
    <x:xf numFmtId="0" fontId="18" fillId="34" borderId="42" xfId="0" applyNumberFormat="1" applyFont="1" applyFill="1" applyBorder="1" applyAlignment="1">
      <x:alignment horizontal="center" vertical="center" wrapText="1"/>
    </x:xf>
    <x:xf numFmtId="0" fontId="13" fillId="34" borderId="42" xfId="0" applyNumberFormat="1" applyFont="1" applyFill="1" applyBorder="1" applyAlignment="1">
      <x:alignment horizontal="center" vertical="center" wrapText="1"/>
    </x:xf>
    <x:xf numFmtId="0" fontId="13" fillId="34" borderId="43" xfId="0" applyNumberFormat="1" applyFont="1" applyFill="1" applyBorder="1" applyAlignment="1">
      <x:alignment horizontal="center" vertical="center" wrapText="1"/>
    </x:xf>
    <x:xf numFmtId="0" fontId="13" fillId="26" borderId="42" xfId="0" applyNumberFormat="1" applyFont="1" applyFill="1" applyBorder="1" applyAlignment="1">
      <x:alignment horizontal="center" vertical="center" wrapText="1"/>
    </x:xf>
    <x:xf numFmtId="0" fontId="13" fillId="26" borderId="44" xfId="0" applyNumberFormat="1" applyFont="1" applyFill="1" applyBorder="1" applyAlignment="1">
      <x:alignment horizontal="center" vertical="center" wrapText="1"/>
    </x:xf>
    <x:xf numFmtId="0" fontId="11" fillId="35" borderId="19" xfId="0" applyNumberFormat="1" applyFont="1" applyFill="1" applyBorder="1" applyAlignment="1">
      <x:alignment horizontal="center" vertical="center" wrapText="1"/>
    </x:xf>
    <x:xf numFmtId="0" fontId="12" fillId="35" borderId="0" xfId="0" applyNumberFormat="1" applyFont="1" applyFill="1" applyBorder="1" applyAlignment="1">
      <x:alignment horizontal="center" vertical="center" wrapText="1"/>
    </x:xf>
    <x:xf numFmtId="0" fontId="11" fillId="35" borderId="0" xfId="0" applyNumberFormat="1" applyFont="1" applyFill="1" applyBorder="1" applyAlignment="1">
      <x:alignment vertical="center" wrapText="1"/>
    </x:xf>
    <x:xf numFmtId="0" fontId="11" fillId="35" borderId="0" xfId="0" applyNumberFormat="1" applyFont="1" applyFill="1" applyBorder="1" applyAlignment="1">
      <x:alignment horizontal="center" vertical="center" wrapText="1"/>
    </x:xf>
    <x:xf numFmtId="0" fontId="13" fillId="35" borderId="32" xfId="0" applyNumberFormat="1" applyFont="1" applyFill="1" applyBorder="1" applyAlignment="1">
      <x:alignment horizontal="center" vertical="center" wrapText="1"/>
    </x:xf>
    <x:xf numFmtId="0" fontId="11" fillId="35" borderId="20" xfId="0" applyNumberFormat="1" applyFont="1" applyFill="1" applyBorder="1" applyAlignment="1">
      <x:alignment horizontal="center" vertical="center" wrapText="1"/>
    </x:xf>
    <x:xf numFmtId="0" fontId="20" fillId="35" borderId="19" xfId="0" applyNumberFormat="1" applyFont="1" applyFill="1" applyBorder="1" applyAlignment="1">
      <x:alignment horizontal="center" vertical="center" wrapText="1"/>
    </x:xf>
    <x:xf numFmtId="0" fontId="21" fillId="35" borderId="0" xfId="0" applyNumberFormat="1" applyFont="1" applyFill="1" applyBorder="1" applyAlignment="1">
      <x:alignment horizontal="center" vertical="center" wrapText="1"/>
    </x:xf>
    <x:xf numFmtId="0" fontId="20" fillId="35" borderId="0" xfId="0" applyNumberFormat="1" applyFont="1" applyFill="1" applyBorder="1" applyAlignment="1">
      <x:alignment vertical="center" wrapText="1"/>
    </x:xf>
    <x:xf numFmtId="0" fontId="20" fillId="35" borderId="0" xfId="0" applyNumberFormat="1" applyFont="1" applyFill="1" applyBorder="1" applyAlignment="1">
      <x:alignment horizontal="center" vertical="center" wrapText="1"/>
    </x:xf>
    <x:xf numFmtId="0" fontId="21" fillId="35" borderId="32" xfId="0" applyNumberFormat="1" applyFont="1" applyFill="1" applyBorder="1" applyAlignment="1">
      <x:alignment horizontal="center" vertical="center" wrapText="1"/>
    </x:xf>
    <x:xf numFmtId="0" fontId="20" fillId="35" borderId="20" xfId="0" applyNumberFormat="1" applyFont="1" applyFill="1" applyBorder="1" applyAlignment="1">
      <x:alignment horizontal="center" vertical="center" wrapText="1"/>
    </x:xf>
    <x:xf numFmtId="0" fontId="0" fillId="20" borderId="0" xfId="0" applyNumberFormat="1" applyFont="1" applyFill="1" applyBorder="1"/>
    <x:xf numFmtId="0" fontId="15" fillId="20" borderId="0" xfId="0" applyNumberFormat="1" applyFont="1" applyFill="1" applyBorder="1"/>
    <x:xf numFmtId="0" fontId="15" fillId="20" borderId="0" xfId="0" applyNumberFormat="1" applyFont="1" applyFill="1" applyBorder="1" applyAlignment="1">
      <x:alignment horizontal="center"/>
    </x:xf>
    <x:xf numFmtId="0" fontId="15" fillId="20" borderId="0" xfId="0" applyNumberFormat="1" applyFont="1" applyFill="1" applyBorder="1" applyAlignment="1">
      <x:alignment horizontal="center" vertical="center"/>
    </x:xf>
    <x:xf numFmtId="0" fontId="15" fillId="20" borderId="0" xfId="0" applyNumberFormat="1" applyFont="1" applyFill="1" applyBorder="1" applyAlignment="1">
      <x:alignment horizontal="center" vertical="center" wrapText="1"/>
    </x:xf>
    <x:xf numFmtId="0" fontId="0" fillId="34" borderId="0" xfId="0" applyNumberFormat="1" applyFont="1" applyFill="1" applyBorder="1"/>
    <x:xf numFmtId="200" fontId="0" fillId="34" borderId="0" xfId="0" applyNumberFormat="1" applyFont="1" applyFill="1" applyBorder="1"/>
    <x:xf numFmtId="0" fontId="18" fillId="34" borderId="0" xfId="0" applyNumberFormat="1" applyFont="1" applyFill="1" applyBorder="1"/>
    <x:xf numFmtId="200" fontId="18" fillId="34" borderId="0" xfId="0" applyNumberFormat="1" applyFont="1" applyFill="1" applyBorder="1"/>
    <x:xf numFmtId="0" fontId="18" fillId="34" borderId="0" xfId="0" applyNumberFormat="1" applyFont="1" applyFill="1" applyBorder="1" applyAlignment="1">
      <x:alignment vertical="center"/>
    </x:xf>
    <x:xf numFmtId="200" fontId="18" fillId="34" borderId="0" xfId="0" applyNumberFormat="1" applyFont="1" applyFill="1" applyBorder="1" applyAlignment="1">
      <x:alignment vertical="center"/>
    </x:xf>
    <x:xf numFmtId="200" fontId="18" fillId="34" borderId="0" xfId="0" applyNumberFormat="1" applyFont="1" applyFill="1" applyBorder="1" applyAlignment="1">
      <x:alignment vertical="center" wrapText="1"/>
    </x:xf>
    <x:xf numFmtId="0" fontId="18" fillId="34" borderId="45" xfId="0" applyNumberFormat="1" applyFont="1" applyFill="1" applyBorder="1" applyAlignment="1">
      <x:alignment vertical="center" wrapText="1"/>
    </x:xf>
    <x:xf numFmtId="200" fontId="18" fillId="34" borderId="46" xfId="0" applyNumberFormat="1" applyFont="1" applyFill="1" applyBorder="1" applyAlignment="1">
      <x:alignment vertical="center" wrapText="1"/>
    </x:xf>
    <x:xf numFmtId="0" fontId="18" fillId="34" borderId="47" xfId="0" applyNumberFormat="1" applyFont="1" applyFill="1" applyBorder="1" applyAlignment="1">
      <x:alignment vertical="center" wrapText="1"/>
    </x:xf>
    <x:xf numFmtId="0" fontId="18" fillId="34" borderId="39" xfId="0" applyNumberFormat="1" applyFont="1" applyFill="1" applyBorder="1" applyAlignment="1">
      <x:alignment vertical="center" wrapText="1"/>
    </x:xf>
    <x:xf numFmtId="200" fontId="18" fillId="34" xfId="0" applyNumberFormat="1" applyFont="1" applyFill="1" applyBorder="0" applyAlignment="1">
      <x:alignment vertical="center" wrapText="1"/>
    </x:xf>
    <x:xf numFmtId="0" fontId="18" fillId="34" borderId="40" xfId="0" applyNumberFormat="1" applyFont="1" applyFill="1" applyBorder="1" applyAlignment="1">
      <x:alignment vertical="center" wrapText="1"/>
    </x:xf>
    <x:xf numFmtId="0" fontId="18" fillId="34" borderId="41" xfId="0" applyNumberFormat="1" applyFont="1" applyFill="1" applyBorder="1" applyAlignment="1">
      <x:alignment vertical="center" wrapText="1"/>
    </x:xf>
    <x:xf numFmtId="200" fontId="18" fillId="34" borderId="42" xfId="0" applyNumberFormat="1" applyFont="1" applyFill="1" applyBorder="1" applyAlignment="1">
      <x:alignment vertical="center" wrapText="1"/>
    </x:xf>
    <x:xf numFmtId="0" fontId="18" fillId="34" borderId="44" xfId="0" applyNumberFormat="1" applyFont="1" applyFill="1" applyBorder="1" applyAlignment="1">
      <x:alignment vertical="center" wrapText="1"/>
    </x:xf>
    <x:xf numFmtId="200" fontId="18" fillId="34" borderId="46" xfId="0" applyNumberFormat="1" applyFont="1" applyFill="1" applyBorder="1" applyAlignment="1">
      <x:alignment horizontal="center" vertical="center" wrapText="1"/>
    </x:xf>
    <x:xf numFmtId="200" fontId="18" fillId="34" xfId="0" applyNumberFormat="1" applyFont="1" applyFill="1" applyBorder="0" applyAlignment="1">
      <x:alignment horizontal="center" vertical="center" wrapText="1"/>
    </x:xf>
    <x:xf numFmtId="200" fontId="18" fillId="34" borderId="42" xfId="0" applyNumberFormat="1" applyFont="1" applyFill="1" applyBorder="1" applyAlignment="1">
      <x:alignment horizontal="center" vertical="center" wrapText="1"/>
    </x:xf>
    <x:xf numFmtId="0" fontId="17" fillId="36" borderId="0" xfId="0" applyNumberFormat="1" applyFont="1" applyFill="1" applyBorder="1" applyAlignment="1">
      <x:alignment vertical="center" wrapText="1"/>
    </x:xf>
    <x:xf numFmtId="0" fontId="17" fillId="36" borderId="0" xfId="0" applyNumberFormat="1" applyFont="1" applyFill="1" applyBorder="1" applyAlignment="1">
      <x:alignment vertical="center" wrapText="0"/>
    </x:xf>
    <x:xf numFmtId="0" fontId="0" fillId="35" borderId="0" xfId="0" applyNumberFormat="1" applyFont="1" applyFill="1" applyBorder="1"/>
    <x:xf numFmtId="0" fontId="20" fillId="35" borderId="0" xfId="0" applyNumberFormat="1" applyFont="1" applyFill="1" applyBorder="1"/>
    <x:xf numFmtId="0" fontId="20" fillId="35" borderId="0" xfId="0" applyNumberFormat="1" applyFont="1" applyFill="1" applyBorder="1" applyAlignment="1">
      <x:alignment vertical="center"/>
    </x:xf>
    <x:xf numFmtId="0" fontId="16" fillId="5" borderId="0" xfId="0" applyNumberFormat="1" applyFont="1" applyFill="1" applyBorder="1" applyAlignment="1">
      <x:alignment horizontal="left" vertical="center"/>
    </x:xf>
    <x:xf numFmtId="0" fontId="0" fillId="15" borderId="0" xfId="0" applyNumberFormat="1" applyFont="1" applyFill="1" applyBorder="1"/>
    <x:xf numFmtId="0" fontId="8" fillId="15" borderId="4" xfId="0" applyNumberFormat="1" applyFont="1" applyFill="1" applyBorder="1" applyAlignment="1">
      <x:alignment horizontal="center" vertical="center" wrapText="1"/>
    </x:xf>
    <x:xf numFmtId="0" fontId="8" fillId="15" borderId="5" xfId="0" applyNumberFormat="1" applyFont="1" applyFill="1" applyBorder="1" applyAlignment="1">
      <x:alignment horizontal="center" vertical="center" wrapText="1"/>
    </x:xf>
    <x:xf numFmtId="0" fontId="12" fillId="15" borderId="0" xfId="0" applyNumberFormat="1" applyFont="1" applyFill="1" applyBorder="1"/>
    <x:xf numFmtId="0" fontId="12" fillId="15" borderId="4" xfId="0" applyNumberFormat="1" applyFont="1" applyFill="1" applyBorder="1" applyAlignment="1">
      <x:alignment horizontal="center" vertical="center" wrapText="1"/>
    </x:xf>
    <x:xf numFmtId="0" fontId="12" fillId="15" borderId="5" xfId="0" applyNumberFormat="1" applyFont="1" applyFill="1" applyBorder="1" applyAlignment="1">
      <x:alignment horizontal="center" vertical="center" wrapText="1"/>
    </x:xf>
    <x:xf numFmtId="0" fontId="12" fillId="15" borderId="0" xfId="0" applyNumberFormat="1" applyFont="1" applyFill="1" applyBorder="1" applyAlignment="1">
      <x:alignment horizontal="center"/>
    </x:xf>
    <x:xf numFmtId="0" fontId="12" fillId="15" borderId="0" xfId="0" applyNumberFormat="1" applyFont="1" applyFill="1" applyBorder="1" applyAlignment="1">
      <x:alignment horizontal="center" vertical="center"/>
    </x:xf>
    <x:xf numFmtId="0" fontId="12" fillId="7" borderId="6" xfId="0" applyNumberFormat="1" applyFont="1" applyFill="1" applyBorder="1" applyAlignment="1">
      <x:alignment horizontal="center" vertical="center" wrapText="1"/>
    </x:xf>
    <x:xf numFmtId="0" fontId="12" fillId="7" borderId="0" xfId="0" applyNumberFormat="1" applyFont="1" applyFill="1" applyBorder="1"/>
    <x:xf numFmtId="0" fontId="12" fillId="7" borderId="4" xfId="0" applyNumberFormat="1" applyFont="1" applyFill="1" applyBorder="1" applyAlignment="1">
      <x:alignment horizontal="center" vertical="center" wrapText="1"/>
    </x:xf>
    <x:xf numFmtId="0" fontId="12" fillId="7" borderId="0" xfId="0" applyNumberFormat="1" applyFont="1" applyFill="1" applyBorder="1" applyAlignment="1">
      <x:alignment horizontal="center"/>
    </x:xf>
    <x:xf numFmtId="0" fontId="12" fillId="7" borderId="0" xfId="0" applyNumberFormat="1" applyFont="1" applyFill="1" applyBorder="1" applyAlignment="1">
      <x:alignment horizontal="center" vertical="center"/>
    </x:xf>
    <x:xf numFmtId="0" fontId="12" fillId="9" borderId="5" xfId="0" applyNumberFormat="1" applyFont="1" applyFill="1" applyBorder="1" applyAlignment="1">
      <x:alignment horizontal="center" vertical="center" wrapText="1"/>
    </x:xf>
    <x:xf numFmtId="0" fontId="12" fillId="9" borderId="6" xfId="0" applyNumberFormat="1" applyFont="1" applyFill="1" applyBorder="1" applyAlignment="1">
      <x:alignment horizontal="center" vertical="center" wrapText="1"/>
    </x:xf>
    <x:xf numFmtId="0" fontId="12" fillId="10" borderId="5" xfId="0" applyNumberFormat="1" applyFont="1" applyFill="1" applyBorder="1" applyAlignment="1">
      <x:alignment horizontal="center" vertical="center" wrapText="1"/>
    </x:xf>
    <x:xf numFmtId="0" fontId="12" fillId="10" borderId="6" xfId="0" applyNumberFormat="1" applyFont="1" applyFill="1" applyBorder="1" applyAlignment="1">
      <x:alignment horizontal="center" vertical="center" wrapText="1"/>
    </x:xf>
    <x:xf numFmtId="0" fontId="15" fillId="5" borderId="10" xfId="0" applyNumberFormat="1" applyFont="1" applyFill="1" applyBorder="1" applyAlignment="1">
      <x:alignment horizontal="center" vertical="center" wrapText="1"/>
    </x:xf>
    <x:xf numFmtId="0" fontId="15" fillId="5" borderId="11" xfId="0" applyNumberFormat="1" applyFont="1" applyFill="1" applyBorder="1" applyAlignment="1">
      <x:alignment horizontal="center" vertical="center" wrapText="1"/>
    </x:xf>
    <x:xf numFmtId="0" fontId="15" fillId="5" borderId="12" xfId="0" applyNumberFormat="1" applyFont="1" applyFill="1" applyBorder="1" applyAlignment="1">
      <x:alignment horizontal="center" vertical="center" wrapText="1"/>
    </x:xf>
    <x:xf numFmtId="0" fontId="19" fillId="15" borderId="17" xfId="0" applyNumberFormat="1" applyFont="1" applyFill="1" applyBorder="1" applyAlignment="1">
      <x:alignment horizontal="center" vertical="center" wrapText="1"/>
    </x:xf>
    <x:xf numFmtId="0" fontId="19" fillId="15" borderId="32" xfId="0" applyNumberFormat="1" applyFont="1" applyFill="1" applyBorder="1" applyAlignment="1">
      <x:alignment horizontal="center" vertical="center" wrapText="1"/>
    </x:xf>
    <x:xf numFmtId="0" fontId="18" fillId="15" borderId="17" xfId="0" applyNumberFormat="1" applyFont="1" applyFill="1" applyBorder="1" applyAlignment="1">
      <x:alignment horizontal="center" vertical="center" wrapText="1"/>
    </x:xf>
    <x:xf numFmtId="0" fontId="19" fillId="15" borderId="0" xfId="0" applyNumberFormat="1" applyFont="1" applyFill="1" applyBorder="1" applyAlignment="1">
      <x:alignment horizontal="center" vertical="center" wrapText="1"/>
    </x:xf>
    <x:xf numFmtId="0" fontId="18" fillId="15" borderId="0" xfId="0" applyNumberFormat="1" applyFont="1" applyFill="1" applyBorder="1" applyAlignment="1">
      <x:alignment horizontal="center" vertical="center" wrapText="1"/>
    </x:xf>
    <x:xf numFmtId="0" fontId="19" fillId="7" borderId="0" xfId="0" applyNumberFormat="1" applyFont="1" applyFill="1" applyBorder="1" applyAlignment="1">
      <x:alignment horizontal="center" vertical="center" wrapText="1"/>
    </x:xf>
    <x:xf numFmtId="0" fontId="18" fillId="7" borderId="0" xfId="0" applyNumberFormat="1" applyFont="1" applyFill="1" applyBorder="1" applyAlignment="1">
      <x:alignment horizontal="center" vertical="center" wrapText="1"/>
    </x:xf>
    <x:xf numFmtId="0" fontId="19" fillId="7" borderId="32" xfId="0" applyNumberFormat="1" applyFont="1" applyFill="1" applyBorder="1" applyAlignment="1">
      <x:alignment horizontal="center" vertical="center" wrapText="1"/>
    </x:xf>
    <x:xf numFmtId="0" fontId="19" fillId="9" borderId="0" xfId="0" applyNumberFormat="1" applyFont="1" applyFill="1" applyBorder="1" applyAlignment="1">
      <x:alignment horizontal="center" vertical="center" wrapText="1"/>
    </x:xf>
    <x:xf numFmtId="0" fontId="18" fillId="9" borderId="0" xfId="0" applyNumberFormat="1" applyFont="1" applyFill="1" applyBorder="1" applyAlignment="1">
      <x:alignment horizontal="center" vertical="center" wrapText="1"/>
    </x:xf>
    <x:xf numFmtId="0" fontId="13" fillId="15" borderId="32" xfId="0" applyNumberFormat="1" applyFont="1" applyFill="1" applyBorder="1" applyAlignment="1">
      <x:alignment horizontal="center" vertical="center" wrapText="1"/>
    </x:xf>
    <x:xf numFmtId="0" fontId="13" fillId="15" borderId="17" xfId="0" applyNumberFormat="1" applyFont="1" applyFill="1" applyBorder="1" applyAlignment="1">
      <x:alignment horizontal="center" vertical="center" wrapText="1"/>
    </x:xf>
    <x:xf numFmtId="0" fontId="13" fillId="15" borderId="0" xfId="0" applyNumberFormat="1" applyFont="1" applyFill="1" applyBorder="1" applyAlignment="1">
      <x:alignment horizontal="center" vertical="center" wrapText="1"/>
    </x:xf>
    <x:xf numFmtId="0" fontId="13" fillId="7" borderId="0" xfId="0" applyNumberFormat="1" applyFont="1" applyFill="1" applyBorder="1" applyAlignment="1">
      <x:alignment horizontal="center" vertical="center" wrapText="1"/>
    </x:xf>
    <x:xf numFmtId="0" fontId="13" fillId="7" borderId="32" xfId="0" applyNumberFormat="1" applyFont="1" applyFill="1" applyBorder="1" applyAlignment="1">
      <x:alignment horizontal="center" vertical="center" wrapText="1"/>
    </x:xf>
    <x:xf numFmtId="0" fontId="13" fillId="9" borderId="0" xfId="0" applyNumberFormat="1" applyFont="1" applyFill="1" applyBorder="1" applyAlignment="1">
      <x:alignment horizontal="center" vertical="center" wrapText="1"/>
    </x:xf>
    <x:xf numFmtId="0" fontId="15" fillId="5" borderId="34" xfId="0" applyNumberFormat="1" applyFont="1" applyFill="1" applyBorder="1" applyAlignment="1">
      <x:alignment horizontal="center" vertical="center" wrapText="1"/>
    </x:xf>
    <x:xf numFmtId="0" fontId="15" fillId="5" borderId="35" xfId="0" applyNumberFormat="1" applyFont="1" applyFill="1" applyBorder="1" applyAlignment="1">
      <x:alignment horizontal="center" vertical="center" wrapText="1"/>
    </x:xf>
    <x:xf numFmtId="0" fontId="15" fillId="5" borderId="36" xfId="0" applyNumberFormat="1" applyFont="1" applyFill="1" applyBorder="1" applyAlignment="1">
      <x:alignment horizontal="center" vertical="center" wrapText="1"/>
    </x:xf>
    <x:xf numFmtId="0" fontId="19" fillId="15" xfId="0" applyNumberFormat="1" applyFont="1" applyFill="1" applyBorder="0" applyAlignment="1">
      <x:alignment horizontal="center" vertical="center" wrapText="1"/>
    </x:xf>
    <x:xf numFmtId="0" fontId="13" fillId="15" xfId="0" applyNumberFormat="1" applyFont="1" applyFill="1" applyBorder="0" applyAlignment="1">
      <x:alignment horizontal="center" vertical="center" wrapText="1"/>
    </x:xf>
    <x:xf numFmtId="0" fontId="19" fillId="7" xfId="0" applyNumberFormat="1" applyFont="1" applyFill="1" applyBorder="0" applyAlignment="1">
      <x:alignment horizontal="center" vertical="center" wrapText="1"/>
    </x:xf>
    <x:xf numFmtId="0" fontId="13" fillId="7" xfId="0" applyNumberFormat="1" applyFont="1" applyFill="1" applyBorder="0" applyAlignment="1">
      <x:alignment horizontal="center" vertical="center" wrapText="1"/>
    </x:xf>
    <x:xf numFmtId="0" fontId="19" fillId="9" xfId="0" applyNumberFormat="1" applyFont="1" applyFill="1" applyBorder="0" applyAlignment="1">
      <x:alignment horizontal="center" vertical="center" wrapText="1"/>
    </x:xf>
    <x:xf numFmtId="0" fontId="13" fillId="9" xfId="0" applyNumberFormat="1" applyFont="1" applyFill="1" applyBorder="0" applyAlignment="1">
      <x:alignment horizontal="center" vertical="center" wrapText="1"/>
    </x:xf>
    <x:xf numFmtId="0" fontId="15" fillId="5" borderId="0" xfId="0" applyNumberFormat="1" applyFont="1" applyFill="1" applyBorder="1"/>
    <x:xf numFmtId="0" fontId="15" fillId="5" borderId="0" xfId="0" applyNumberFormat="1" applyFont="1" applyFill="1" applyBorder="1" applyAlignment="1">
      <x:alignment horizontal="center"/>
    </x:xf>
    <x:xf numFmtId="0" fontId="15" fillId="5" borderId="0" xfId="0" applyNumberFormat="1" applyFont="1" applyFill="1" applyBorder="1" applyAlignment="1">
      <x:alignment horizontal="center" vertical="center"/>
    </x:xf>
    <x:xf numFmtId="0" fontId="15" fillId="5" borderId="0" xfId="0" applyNumberFormat="1" applyFont="1" applyFill="1" applyBorder="1" applyAlignment="1">
      <x:alignment horizontal="center" vertical="center" wrapText="1"/>
    </x:xf>
    <x:xf numFmtId="0" fontId="0" fillId="37" borderId="0" xfId="0" applyNumberFormat="1" applyFont="1" applyFill="1" applyBorder="1"/>
    <x:xf numFmtId="0" fontId="16" fillId="37" borderId="0" xfId="0" applyNumberFormat="1" applyFont="1" applyFill="1" applyBorder="1"/>
    <x:xf numFmtId="0" fontId="16" fillId="37" borderId="0" xfId="0" applyNumberFormat="1" applyFont="1" applyFill="1" applyBorder="1" applyAlignment="1">
      <x:alignment vertical="center"/>
    </x:xf>
    <x:xf numFmtId="0" fontId="0" fillId="38" borderId="0" xfId="0" applyNumberFormat="1" applyFont="1" applyFill="1" applyBorder="1"/>
    <x:xf numFmtId="0" fontId="22" fillId="38" borderId="0" xfId="0" applyNumberFormat="1" applyFont="1" applyFill="1" applyBorder="1"/>
    <x:xf numFmtId="0" fontId="22" fillId="38" borderId="0" xfId="0" applyNumberFormat="1" applyFont="1" applyFill="1" applyBorder="1" applyAlignment="1">
      <x:alignment vertical="center"/>
    </x:xf>
    <x:xf numFmtId="0" fontId="0" fillId="39" borderId="0" xfId="0" applyNumberFormat="1" applyFont="1" applyFill="1" applyBorder="1"/>
    <x:xf numFmtId="0" fontId="23" fillId="39" borderId="0" xfId="0" applyNumberFormat="1" applyFont="1" applyFill="1" applyBorder="1"/>
    <x:xf numFmtId="0" fontId="23" fillId="39" borderId="48" xfId="0" applyNumberFormat="1" applyFont="1" applyFill="1" applyBorder="1"/>
    <x:xf numFmtId="0" fontId="23" fillId="39" borderId="49" xfId="0" applyNumberFormat="1" applyFont="1" applyFill="1" applyBorder="1"/>
    <x:xf numFmtId="0" fontId="23" fillId="39" borderId="50" xfId="0" applyNumberFormat="1" applyFont="1" applyFill="1" applyBorder="1"/>
    <x:xf numFmtId="0" fontId="23" fillId="39" borderId="48" xfId="0" applyNumberFormat="1" applyFont="1" applyFill="1" applyBorder="1" applyAlignment="1">
      <x:alignment wrapText="1"/>
    </x:xf>
    <x:xf numFmtId="0" fontId="23" fillId="39" borderId="49" xfId="0" applyNumberFormat="1" applyFont="1" applyFill="1" applyBorder="1" applyAlignment="1">
      <x:alignment wrapText="1"/>
    </x:xf>
    <x:xf numFmtId="0" fontId="23" fillId="39" borderId="50" xfId="0" applyNumberFormat="1" applyFont="1" applyFill="1" applyBorder="1" applyAlignment="1">
      <x:alignment wrapText="1"/>
    </x:xf>
    <x:xf numFmtId="0" fontId="23" fillId="39" borderId="48" xfId="0" applyNumberFormat="1" applyFont="1" applyFill="1" applyBorder="1" applyAlignment="1">
      <x:alignment horizontal="center" wrapText="1"/>
    </x:xf>
    <x:xf numFmtId="0" fontId="23" fillId="39" borderId="49" xfId="0" applyNumberFormat="1" applyFont="1" applyFill="1" applyBorder="1" applyAlignment="1">
      <x:alignment horizontal="center" wrapText="1"/>
    </x:xf>
    <x:xf numFmtId="0" fontId="23" fillId="39" borderId="50" xfId="0" applyNumberFormat="1" applyFont="1" applyFill="1" applyBorder="1" applyAlignment="1">
      <x:alignment horizontal="center" wrapText="1"/>
    </x:xf>
    <x:xf numFmtId="0" fontId="23" fillId="39" borderId="48" xfId="0" applyNumberFormat="1" applyFont="1" applyFill="1" applyBorder="1" applyAlignment="1">
      <x:alignment horizontal="center" vertical="center" wrapText="1"/>
    </x:xf>
    <x:xf numFmtId="0" fontId="23" fillId="39" borderId="49" xfId="0" applyNumberFormat="1" applyFont="1" applyFill="1" applyBorder="1" applyAlignment="1">
      <x:alignment horizontal="center" vertical="center" wrapText="1"/>
    </x:xf>
    <x:xf numFmtId="0" fontId="23" fillId="39" borderId="50" xfId="0" applyNumberFormat="1" applyFont="1" applyFill="1" applyBorder="1" applyAlignment="1">
      <x:alignment horizontal="center" vertical="center" wrapText="1"/>
    </x:xf>
    <x:xf numFmtId="0" fontId="0" fillId="40" borderId="0" xfId="0" applyNumberFormat="1" applyFont="1" applyFill="1" applyBorder="1"/>
    <x:xf numFmtId="200" fontId="0" fillId="40" borderId="0" xfId="0" applyNumberFormat="1" applyFont="1" applyFill="1" applyBorder="1"/>
    <x:xf numFmtId="0" fontId="24" fillId="40" borderId="0" xfId="0" applyNumberFormat="1" applyFont="1" applyFill="1" applyBorder="1"/>
    <x:xf numFmtId="200" fontId="24" fillId="40" borderId="0" xfId="0" applyNumberFormat="1" applyFont="1" applyFill="1" applyBorder="1"/>
    <x:xf numFmtId="0" fontId="24" fillId="40" borderId="51" xfId="0" applyNumberFormat="1" applyFont="1" applyFill="1" applyBorder="1"/>
    <x:xf numFmtId="0" fontId="24" fillId="40" borderId="52" xfId="0" applyNumberFormat="1" applyFont="1" applyFill="1" applyBorder="1"/>
    <x:xf numFmtId="200" fontId="24" fillId="40" borderId="52" xfId="0" applyNumberFormat="1" applyFont="1" applyFill="1" applyBorder="1"/>
    <x:xf numFmtId="0" fontId="24" fillId="40" borderId="53" xfId="0" applyNumberFormat="1" applyFont="1" applyFill="1" applyBorder="1"/>
    <x:xf numFmtId="0" fontId="24" fillId="40" borderId="54" xfId="0" applyNumberFormat="1" applyFont="1" applyFill="1" applyBorder="1"/>
    <x:xf numFmtId="0" fontId="24" fillId="40" xfId="0" applyNumberFormat="1" applyFont="1" applyFill="1" applyBorder="0"/>
    <x:xf numFmtId="200" fontId="24" fillId="40" xfId="0" applyNumberFormat="1" applyFont="1" applyFill="1" applyBorder="0"/>
    <x:xf numFmtId="0" fontId="24" fillId="40" borderId="55" xfId="0" applyNumberFormat="1" applyFont="1" applyFill="1" applyBorder="1"/>
    <x:xf numFmtId="0" fontId="24" fillId="40" borderId="56" xfId="0" applyNumberFormat="1" applyFont="1" applyFill="1" applyBorder="1"/>
    <x:xf numFmtId="0" fontId="24" fillId="40" borderId="57" xfId="0" applyNumberFormat="1" applyFont="1" applyFill="1" applyBorder="1"/>
    <x:xf numFmtId="200" fontId="24" fillId="40" borderId="57" xfId="0" applyNumberFormat="1" applyFont="1" applyFill="1" applyBorder="1"/>
    <x:xf numFmtId="0" fontId="24" fillId="40" borderId="58" xfId="0" applyNumberFormat="1" applyFont="1" applyFill="1" applyBorder="1"/>
    <x:xf numFmtId="0" fontId="24" fillId="40" borderId="51" xfId="0" applyNumberFormat="1" applyFont="1" applyFill="1" applyBorder="1" applyAlignment="1">
      <x:alignment wrapText="1"/>
    </x:xf>
    <x:xf numFmtId="0" fontId="24" fillId="40" borderId="52" xfId="0" applyNumberFormat="1" applyFont="1" applyFill="1" applyBorder="1" applyAlignment="1">
      <x:alignment wrapText="1"/>
    </x:xf>
    <x:xf numFmtId="200" fontId="24" fillId="40" borderId="52" xfId="0" applyNumberFormat="1" applyFont="1" applyFill="1" applyBorder="1" applyAlignment="1">
      <x:alignment wrapText="1"/>
    </x:xf>
    <x:xf numFmtId="0" fontId="24" fillId="40" borderId="53" xfId="0" applyNumberFormat="1" applyFont="1" applyFill="1" applyBorder="1" applyAlignment="1">
      <x:alignment wrapText="1"/>
    </x:xf>
    <x:xf numFmtId="0" fontId="24" fillId="40" borderId="54" xfId="0" applyNumberFormat="1" applyFont="1" applyFill="1" applyBorder="1" applyAlignment="1">
      <x:alignment wrapText="1"/>
    </x:xf>
    <x:xf numFmtId="0" fontId="24" fillId="40" xfId="0" applyNumberFormat="1" applyFont="1" applyFill="1" applyBorder="0" applyAlignment="1">
      <x:alignment wrapText="1"/>
    </x:xf>
    <x:xf numFmtId="200" fontId="24" fillId="40" xfId="0" applyNumberFormat="1" applyFont="1" applyFill="1" applyBorder="0" applyAlignment="1">
      <x:alignment wrapText="1"/>
    </x:xf>
    <x:xf numFmtId="0" fontId="24" fillId="40" borderId="55" xfId="0" applyNumberFormat="1" applyFont="1" applyFill="1" applyBorder="1" applyAlignment="1">
      <x:alignment wrapText="1"/>
    </x:xf>
    <x:xf numFmtId="0" fontId="24" fillId="40" borderId="56" xfId="0" applyNumberFormat="1" applyFont="1" applyFill="1" applyBorder="1" applyAlignment="1">
      <x:alignment wrapText="1"/>
    </x:xf>
    <x:xf numFmtId="0" fontId="24" fillId="40" borderId="57" xfId="0" applyNumberFormat="1" applyFont="1" applyFill="1" applyBorder="1" applyAlignment="1">
      <x:alignment wrapText="1"/>
    </x:xf>
    <x:xf numFmtId="200" fontId="24" fillId="40" borderId="57" xfId="0" applyNumberFormat="1" applyFont="1" applyFill="1" applyBorder="1" applyAlignment="1">
      <x:alignment wrapText="1"/>
    </x:xf>
    <x:xf numFmtId="0" fontId="24" fillId="40" borderId="58" xfId="0" applyNumberFormat="1" applyFont="1" applyFill="1" applyBorder="1" applyAlignment="1">
      <x:alignment wrapText="1"/>
    </x:xf>
    <x:xf numFmtId="0" fontId="24" fillId="40" borderId="51" xfId="0" applyNumberFormat="1" applyFont="1" applyFill="1" applyBorder="1" applyAlignment="1">
      <x:alignment vertical="top" wrapText="1"/>
    </x:xf>
    <x:xf numFmtId="0" fontId="24" fillId="40" borderId="52" xfId="0" applyNumberFormat="1" applyFont="1" applyFill="1" applyBorder="1" applyAlignment="1">
      <x:alignment vertical="top" wrapText="1"/>
    </x:xf>
    <x:xf numFmtId="200" fontId="24" fillId="40" borderId="52" xfId="0" applyNumberFormat="1" applyFont="1" applyFill="1" applyBorder="1" applyAlignment="1">
      <x:alignment vertical="top" wrapText="1"/>
    </x:xf>
    <x:xf numFmtId="0" fontId="24" fillId="40" borderId="53" xfId="0" applyNumberFormat="1" applyFont="1" applyFill="1" applyBorder="1" applyAlignment="1">
      <x:alignment vertical="top" wrapText="1"/>
    </x:xf>
    <x:xf numFmtId="0" fontId="24" fillId="40" borderId="54" xfId="0" applyNumberFormat="1" applyFont="1" applyFill="1" applyBorder="1" applyAlignment="1">
      <x:alignment vertical="top" wrapText="1"/>
    </x:xf>
    <x:xf numFmtId="0" fontId="24" fillId="40" xfId="0" applyNumberFormat="1" applyFont="1" applyFill="1" applyBorder="0" applyAlignment="1">
      <x:alignment vertical="top" wrapText="1"/>
    </x:xf>
    <x:xf numFmtId="200" fontId="24" fillId="40" xfId="0" applyNumberFormat="1" applyFont="1" applyFill="1" applyBorder="0" applyAlignment="1">
      <x:alignment vertical="top" wrapText="1"/>
    </x:xf>
    <x:xf numFmtId="0" fontId="24" fillId="40" borderId="55" xfId="0" applyNumberFormat="1" applyFont="1" applyFill="1" applyBorder="1" applyAlignment="1">
      <x:alignment vertical="top" wrapText="1"/>
    </x:xf>
    <x:xf numFmtId="0" fontId="24" fillId="40" borderId="56" xfId="0" applyNumberFormat="1" applyFont="1" applyFill="1" applyBorder="1" applyAlignment="1">
      <x:alignment vertical="top" wrapText="1"/>
    </x:xf>
    <x:xf numFmtId="0" fontId="24" fillId="40" borderId="57" xfId="0" applyNumberFormat="1" applyFont="1" applyFill="1" applyBorder="1" applyAlignment="1">
      <x:alignment vertical="top" wrapText="1"/>
    </x:xf>
    <x:xf numFmtId="200" fontId="24" fillId="40" borderId="57" xfId="0" applyNumberFormat="1" applyFont="1" applyFill="1" applyBorder="1" applyAlignment="1">
      <x:alignment vertical="top" wrapText="1"/>
    </x:xf>
    <x:xf numFmtId="0" fontId="24" fillId="40" borderId="58" xfId="0" applyNumberFormat="1" applyFont="1" applyFill="1" applyBorder="1" applyAlignment="1">
      <x:alignment vertical="top" wrapText="1"/>
    </x:xf>
    <x:xf numFmtId="0" fontId="24" fillId="41" borderId="51" xfId="0" applyNumberFormat="1" applyFont="1" applyFill="1" applyBorder="1" applyAlignment="1">
      <x:alignment vertical="top" wrapText="1"/>
    </x:xf>
    <x:xf numFmtId="0" fontId="24" fillId="41" borderId="52" xfId="0" applyNumberFormat="1" applyFont="1" applyFill="1" applyBorder="1" applyAlignment="1">
      <x:alignment vertical="top" wrapText="1"/>
    </x:xf>
    <x:xf numFmtId="200" fontId="24" fillId="41" borderId="52" xfId="0" applyNumberFormat="1" applyFont="1" applyFill="1" applyBorder="1" applyAlignment="1">
      <x:alignment vertical="top" wrapText="1"/>
    </x:xf>
    <x:xf numFmtId="0" fontId="24" fillId="41" borderId="53" xfId="0" applyNumberFormat="1" applyFont="1" applyFill="1" applyBorder="1" applyAlignment="1">
      <x:alignment vertical="top" wrapText="1"/>
    </x:xf>
    <x:xf numFmtId="0" fontId="24" fillId="41" borderId="54" xfId="0" applyNumberFormat="1" applyFont="1" applyFill="1" applyBorder="1" applyAlignment="1">
      <x:alignment vertical="top" wrapText="1"/>
    </x:xf>
    <x:xf numFmtId="0" fontId="24" fillId="41" xfId="0" applyNumberFormat="1" applyFont="1" applyFill="1" applyBorder="0" applyAlignment="1">
      <x:alignment vertical="top" wrapText="1"/>
    </x:xf>
    <x:xf numFmtId="200" fontId="24" fillId="41" xfId="0" applyNumberFormat="1" applyFont="1" applyFill="1" applyBorder="0" applyAlignment="1">
      <x:alignment vertical="top" wrapText="1"/>
    </x:xf>
    <x:xf numFmtId="0" fontId="24" fillId="41" borderId="55" xfId="0" applyNumberFormat="1" applyFont="1" applyFill="1" applyBorder="1" applyAlignment="1">
      <x:alignment vertical="top" wrapText="1"/>
    </x:xf>
    <x:xf numFmtId="0" fontId="24" fillId="42" borderId="54" xfId="0" applyNumberFormat="1" applyFont="1" applyFill="1" applyBorder="1" applyAlignment="1">
      <x:alignment vertical="top" wrapText="1"/>
    </x:xf>
    <x:xf numFmtId="0" fontId="24" fillId="42" xfId="0" applyNumberFormat="1" applyFont="1" applyFill="1" applyBorder="0" applyAlignment="1">
      <x:alignment vertical="top" wrapText="1"/>
    </x:xf>
    <x:xf numFmtId="200" fontId="24" fillId="42" xfId="0" applyNumberFormat="1" applyFont="1" applyFill="1" applyBorder="0" applyAlignment="1">
      <x:alignment vertical="top" wrapText="1"/>
    </x:xf>
    <x:xf numFmtId="0" fontId="24" fillId="42" borderId="55" xfId="0" applyNumberFormat="1" applyFont="1" applyFill="1" applyBorder="1" applyAlignment="1">
      <x:alignment vertical="top" wrapText="1"/>
    </x:xf>
    <x:xf numFmtId="0" fontId="24" fillId="43" borderId="54" xfId="0" applyNumberFormat="1" applyFont="1" applyFill="1" applyBorder="1" applyAlignment="1">
      <x:alignment vertical="top" wrapText="1"/>
    </x:xf>
    <x:xf numFmtId="0" fontId="24" fillId="43" xfId="0" applyNumberFormat="1" applyFont="1" applyFill="1" applyBorder="0" applyAlignment="1">
      <x:alignment vertical="top" wrapText="1"/>
    </x:xf>
    <x:xf numFmtId="200" fontId="24" fillId="43" xfId="0" applyNumberFormat="1" applyFont="1" applyFill="1" applyBorder="0" applyAlignment="1">
      <x:alignment vertical="top" wrapText="1"/>
    </x:xf>
    <x:xf numFmtId="0" fontId="24" fillId="43" borderId="55" xfId="0" applyNumberFormat="1" applyFont="1" applyFill="1" applyBorder="1" applyAlignment="1">
      <x:alignment vertical="top" wrapText="1"/>
    </x:xf>
    <x:xf numFmtId="0" fontId="24" fillId="38" borderId="55" xfId="0" applyNumberFormat="1" applyFont="1" applyFill="1" applyBorder="1" applyAlignment="1">
      <x:alignment vertical="top" wrapText="1"/>
    </x:xf>
    <x:xf numFmtId="0" fontId="25" fillId="38" borderId="55" xfId="0" applyNumberFormat="1" applyFont="1" applyFill="1" applyBorder="1" applyAlignment="1">
      <x:alignment vertical="top" wrapText="1"/>
    </x:xf>
    <x:xf numFmtId="0" fontId="24" fillId="44" borderId="54" xfId="0" applyNumberFormat="1" applyFont="1" applyFill="1" applyBorder="1" applyAlignment="1">
      <x:alignment vertical="top" wrapText="1"/>
    </x:xf>
    <x:xf numFmtId="0" fontId="24" fillId="44" xfId="0" applyNumberFormat="1" applyFont="1" applyFill="1" applyBorder="0" applyAlignment="1">
      <x:alignment vertical="top" wrapText="1"/>
    </x:xf>
    <x:xf numFmtId="200" fontId="24" fillId="44" xfId="0" applyNumberFormat="1" applyFont="1" applyFill="1" applyBorder="0" applyAlignment="1">
      <x:alignment vertical="top" wrapText="1"/>
    </x:xf>
    <x:xf numFmtId="0" fontId="24" fillId="44" borderId="55" xfId="0" applyNumberFormat="1" applyFont="1" applyFill="1" applyBorder="1" applyAlignment="1">
      <x:alignment vertical="top" wrapText="1"/>
    </x:xf>
    <x:xf numFmtId="0" fontId="24" fillId="45" borderId="54" xfId="0" applyNumberFormat="1" applyFont="1" applyFill="1" applyBorder="1" applyAlignment="1">
      <x:alignment vertical="top" wrapText="1"/>
    </x:xf>
    <x:xf numFmtId="0" fontId="24" fillId="45" xfId="0" applyNumberFormat="1" applyFont="1" applyFill="1" applyBorder="0" applyAlignment="1">
      <x:alignment vertical="top" wrapText="1"/>
    </x:xf>
    <x:xf numFmtId="200" fontId="24" fillId="45" xfId="0" applyNumberFormat="1" applyFont="1" applyFill="1" applyBorder="0" applyAlignment="1">
      <x:alignment vertical="top" wrapText="1"/>
    </x:xf>
    <x:xf numFmtId="0" fontId="24" fillId="45" borderId="55" xfId="0" applyNumberFormat="1" applyFont="1" applyFill="1" applyBorder="1" applyAlignment="1">
      <x:alignment vertical="top" wrapText="1"/>
    </x:xf>
    <x:xf numFmtId="0" fontId="24" fillId="46" borderId="54" xfId="0" applyNumberFormat="1" applyFont="1" applyFill="1" applyBorder="1" applyAlignment="1">
      <x:alignment vertical="top" wrapText="1"/>
    </x:xf>
    <x:xf numFmtId="0" fontId="24" fillId="46" xfId="0" applyNumberFormat="1" applyFont="1" applyFill="1" applyBorder="0" applyAlignment="1">
      <x:alignment vertical="top" wrapText="1"/>
    </x:xf>
    <x:xf numFmtId="200" fontId="24" fillId="46" xfId="0" applyNumberFormat="1" applyFont="1" applyFill="1" applyBorder="0" applyAlignment="1">
      <x:alignment vertical="top" wrapText="1"/>
    </x:xf>
    <x:xf numFmtId="0" fontId="24" fillId="46" borderId="55" xfId="0" applyNumberFormat="1" applyFont="1" applyFill="1" applyBorder="1" applyAlignment="1">
      <x:alignment vertical="top" wrapText="1"/>
    </x:xf>
    <x:xf numFmtId="0" fontId="24" fillId="43" borderId="56" xfId="0" applyNumberFormat="1" applyFont="1" applyFill="1" applyBorder="1" applyAlignment="1">
      <x:alignment vertical="top" wrapText="1"/>
    </x:xf>
    <x:xf numFmtId="0" fontId="24" fillId="43" borderId="57" xfId="0" applyNumberFormat="1" applyFont="1" applyFill="1" applyBorder="1" applyAlignment="1">
      <x:alignment vertical="top" wrapText="1"/>
    </x:xf>
    <x:xf numFmtId="200" fontId="24" fillId="43" borderId="57" xfId="0" applyNumberFormat="1" applyFont="1" applyFill="1" applyBorder="1" applyAlignment="1">
      <x:alignment vertical="top" wrapText="1"/>
    </x:xf>
    <x:xf numFmtId="0" fontId="24" fillId="43" borderId="58" xfId="0" applyNumberFormat="1" applyFont="1" applyFill="1" applyBorder="1" applyAlignment="1">
      <x:alignment vertical="top" wrapText="1"/>
    </x:xf>
    <x:xf numFmtId="0" fontId="24" fillId="41" borderId="51" xfId="0" applyNumberFormat="1" applyFont="1" applyFill="1" applyBorder="1" applyAlignment="1">
      <x:alignment horizontal="center" vertical="top" wrapText="1"/>
    </x:xf>
    <x:xf numFmtId="0" fontId="24" fillId="41" borderId="54" xfId="0" applyNumberFormat="1" applyFont="1" applyFill="1" applyBorder="1" applyAlignment="1">
      <x:alignment horizontal="center" vertical="top" wrapText="1"/>
    </x:xf>
    <x:xf numFmtId="0" fontId="24" fillId="42" borderId="54" xfId="0" applyNumberFormat="1" applyFont="1" applyFill="1" applyBorder="1" applyAlignment="1">
      <x:alignment horizontal="center" vertical="top" wrapText="1"/>
    </x:xf>
    <x:xf numFmtId="0" fontId="24" fillId="43" borderId="54" xfId="0" applyNumberFormat="1" applyFont="1" applyFill="1" applyBorder="1" applyAlignment="1">
      <x:alignment horizontal="center" vertical="top" wrapText="1"/>
    </x:xf>
    <x:xf numFmtId="0" fontId="24" fillId="44" borderId="54" xfId="0" applyNumberFormat="1" applyFont="1" applyFill="1" applyBorder="1" applyAlignment="1">
      <x:alignment horizontal="center" vertical="top" wrapText="1"/>
    </x:xf>
    <x:xf numFmtId="0" fontId="24" fillId="45" borderId="54" xfId="0" applyNumberFormat="1" applyFont="1" applyFill="1" applyBorder="1" applyAlignment="1">
      <x:alignment horizontal="center" vertical="top" wrapText="1"/>
    </x:xf>
    <x:xf numFmtId="0" fontId="24" fillId="46" borderId="54" xfId="0" applyNumberFormat="1" applyFont="1" applyFill="1" applyBorder="1" applyAlignment="1">
      <x:alignment horizontal="center" vertical="top" wrapText="1"/>
    </x:xf>
    <x:xf numFmtId="0" fontId="24" fillId="43" borderId="56" xfId="0" applyNumberFormat="1" applyFont="1" applyFill="1" applyBorder="1" applyAlignment="1">
      <x:alignment horizontal="center" vertical="top" wrapText="1"/>
    </x:xf>
    <x:xf numFmtId="200" fontId="24" fillId="41" borderId="52" xfId="0" applyNumberFormat="1" applyFont="1" applyFill="1" applyBorder="1" applyAlignment="1">
      <x:alignment horizontal="center" vertical="top" wrapText="1"/>
    </x:xf>
    <x:xf numFmtId="200" fontId="24" fillId="41" xfId="0" applyNumberFormat="1" applyFont="1" applyFill="1" applyBorder="0" applyAlignment="1">
      <x:alignment horizontal="center" vertical="top" wrapText="1"/>
    </x:xf>
    <x:xf numFmtId="200" fontId="24" fillId="42" xfId="0" applyNumberFormat="1" applyFont="1" applyFill="1" applyBorder="0" applyAlignment="1">
      <x:alignment horizontal="center" vertical="top" wrapText="1"/>
    </x:xf>
    <x:xf numFmtId="200" fontId="24" fillId="43" xfId="0" applyNumberFormat="1" applyFont="1" applyFill="1" applyBorder="0" applyAlignment="1">
      <x:alignment horizontal="center" vertical="top" wrapText="1"/>
    </x:xf>
    <x:xf numFmtId="200" fontId="24" fillId="44" xfId="0" applyNumberFormat="1" applyFont="1" applyFill="1" applyBorder="0" applyAlignment="1">
      <x:alignment horizontal="center" vertical="top" wrapText="1"/>
    </x:xf>
    <x:xf numFmtId="200" fontId="24" fillId="45" xfId="0" applyNumberFormat="1" applyFont="1" applyFill="1" applyBorder="0" applyAlignment="1">
      <x:alignment horizontal="center" vertical="top" wrapText="1"/>
    </x:xf>
    <x:xf numFmtId="200" fontId="24" fillId="46" xfId="0" applyNumberFormat="1" applyFont="1" applyFill="1" applyBorder="0" applyAlignment="1">
      <x:alignment horizontal="center" vertical="top" wrapText="1"/>
    </x:xf>
    <x:xf numFmtId="200" fontId="24" fillId="43" borderId="57" xfId="0" applyNumberFormat="1" applyFont="1" applyFill="1" applyBorder="1" applyAlignment="1">
      <x:alignment horizontal="center" vertical="top" wrapText="1"/>
    </x:xf>
    <x:xf numFmtId="0" fontId="16" fillId="5" borderId="0" xfId="0" applyNumberFormat="1" applyFont="1" applyFill="1" applyBorder="1"/>
    <x:xf numFmtId="0" fontId="16" fillId="5" borderId="0" xfId="0" applyNumberFormat="1" applyFont="1" applyFill="1" applyBorder="1" applyAlignment="1">
      <x:alignment vertical="center"/>
    </x:xf>
    <x:xf numFmtId="0" fontId="24" fillId="7" borderId="54" xfId="0" applyNumberFormat="1" applyFont="1" applyFill="1" applyBorder="1" applyAlignment="1">
      <x:alignment vertical="top" wrapText="1"/>
    </x:xf>
    <x:xf numFmtId="0" fontId="24" fillId="7" xfId="0" applyNumberFormat="1" applyFont="1" applyFill="1" applyBorder="0" applyAlignment="1">
      <x:alignment vertical="top" wrapText="1"/>
    </x:xf>
    <x:xf numFmtId="200" fontId="24" fillId="7" xfId="0" applyNumberFormat="1" applyFont="1" applyFill="1" applyBorder="0" applyAlignment="1">
      <x:alignment vertical="top" wrapText="1"/>
    </x:xf>
    <x:xf numFmtId="0" fontId="24" fillId="7" borderId="55" xfId="0" applyNumberFormat="1" applyFont="1" applyFill="1" applyBorder="1" applyAlignment="1">
      <x:alignment vertical="top" wrapText="1"/>
    </x:xf>
    <x:xf numFmtId="0" fontId="24" fillId="9" borderId="54" xfId="0" applyNumberFormat="1" applyFont="1" applyFill="1" applyBorder="1" applyAlignment="1">
      <x:alignment vertical="top" wrapText="1"/>
    </x:xf>
    <x:xf numFmtId="0" fontId="24" fillId="9" xfId="0" applyNumberFormat="1" applyFont="1" applyFill="1" applyBorder="0" applyAlignment="1">
      <x:alignment vertical="top" wrapText="1"/>
    </x:xf>
    <x:xf numFmtId="200" fontId="24" fillId="9" xfId="0" applyNumberFormat="1" applyFont="1" applyFill="1" applyBorder="0" applyAlignment="1">
      <x:alignment vertical="top" wrapText="1"/>
    </x:xf>
    <x:xf numFmtId="0" fontId="24" fillId="9" borderId="55" xfId="0" applyNumberFormat="1" applyFont="1" applyFill="1" applyBorder="1" applyAlignment="1">
      <x:alignment vertical="top" wrapText="1"/>
    </x:xf>
    <x:xf numFmtId="0" fontId="24" fillId="10" borderId="54" xfId="0" applyNumberFormat="1" applyFont="1" applyFill="1" applyBorder="1" applyAlignment="1">
      <x:alignment vertical="top" wrapText="1"/>
    </x:xf>
    <x:xf numFmtId="0" fontId="24" fillId="10" xfId="0" applyNumberFormat="1" applyFont="1" applyFill="1" applyBorder="0" applyAlignment="1">
      <x:alignment vertical="top" wrapText="1"/>
    </x:xf>
    <x:xf numFmtId="200" fontId="24" fillId="10" xfId="0" applyNumberFormat="1" applyFont="1" applyFill="1" applyBorder="0" applyAlignment="1">
      <x:alignment vertical="top" wrapText="1"/>
    </x:xf>
    <x:xf numFmtId="0" fontId="24" fillId="10" borderId="55" xfId="0" applyNumberFormat="1" applyFont="1" applyFill="1" applyBorder="1" applyAlignment="1">
      <x:alignment vertical="top" wrapText="1"/>
    </x:xf>
    <x:xf numFmtId="0" fontId="24" fillId="7" borderId="56" xfId="0" applyNumberFormat="1" applyFont="1" applyFill="1" applyBorder="1" applyAlignment="1">
      <x:alignment vertical="top" wrapText="1"/>
    </x:xf>
    <x:xf numFmtId="0" fontId="24" fillId="7" borderId="57" xfId="0" applyNumberFormat="1" applyFont="1" applyFill="1" applyBorder="1" applyAlignment="1">
      <x:alignment vertical="top" wrapText="1"/>
    </x:xf>
    <x:xf numFmtId="200" fontId="24" fillId="7" borderId="57" xfId="0" applyNumberFormat="1" applyFont="1" applyFill="1" applyBorder="1" applyAlignment="1">
      <x:alignment vertical="top" wrapText="1"/>
    </x:xf>
    <x:xf numFmtId="0" fontId="24" fillId="7" borderId="58" xfId="0" applyNumberFormat="1" applyFont="1" applyFill="1" applyBorder="1" applyAlignment="1">
      <x:alignment vertical="top" wrapText="1"/>
    </x:xf>
    <x:xf numFmtId="0" fontId="24" fillId="7" borderId="54" xfId="0" applyNumberFormat="1" applyFont="1" applyFill="1" applyBorder="1" applyAlignment="1">
      <x:alignment horizontal="center" vertical="top" wrapText="1"/>
    </x:xf>
    <x:xf numFmtId="0" fontId="24" fillId="9" borderId="54" xfId="0" applyNumberFormat="1" applyFont="1" applyFill="1" applyBorder="1" applyAlignment="1">
      <x:alignment horizontal="center" vertical="top" wrapText="1"/>
    </x:xf>
    <x:xf numFmtId="0" fontId="24" fillId="10" borderId="54" xfId="0" applyNumberFormat="1" applyFont="1" applyFill="1" applyBorder="1" applyAlignment="1">
      <x:alignment horizontal="center" vertical="top" wrapText="1"/>
    </x:xf>
    <x:xf numFmtId="0" fontId="24" fillId="7" borderId="56" xfId="0" applyNumberFormat="1" applyFont="1" applyFill="1" applyBorder="1" applyAlignment="1">
      <x:alignment horizontal="center" vertical="top" wrapText="1"/>
    </x:xf>
    <x:xf numFmtId="200" fontId="24" fillId="7" xfId="0" applyNumberFormat="1" applyFont="1" applyFill="1" applyBorder="0" applyAlignment="1">
      <x:alignment horizontal="center" vertical="top" wrapText="1"/>
    </x:xf>
    <x:xf numFmtId="200" fontId="24" fillId="9" xfId="0" applyNumberFormat="1" applyFont="1" applyFill="1" applyBorder="0" applyAlignment="1">
      <x:alignment horizontal="center" vertical="top" wrapText="1"/>
    </x:xf>
    <x:xf numFmtId="200" fontId="24" fillId="10" xfId="0" applyNumberFormat="1" applyFont="1" applyFill="1" applyBorder="0" applyAlignment="1">
      <x:alignment horizontal="center" vertical="top" wrapText="1"/>
    </x:xf>
    <x:xf numFmtId="200" fontId="24" fillId="7" borderId="57" xfId="0" applyNumberFormat="1" applyFont="1" applyFill="1" applyBorder="1" applyAlignment="1">
      <x:alignment horizontal="center" vertical="top" wrapText="1"/>
    </x:xf>
    <x:xf numFmtId="0" fontId="0" fillId="47" borderId="0" xfId="0" applyNumberFormat="1" applyFont="1" applyFill="1" applyBorder="1"/>
    <x:xf numFmtId="0" fontId="16" fillId="47" borderId="0" xfId="0" applyNumberFormat="1" applyFont="1" applyFill="1" applyBorder="1"/>
    <x:xf numFmtId="0" fontId="16" fillId="47" borderId="0" xfId="0" applyNumberFormat="1" applyFont="1" applyFill="1" applyBorder="1" applyAlignment="1">
      <x:alignment vertical="center"/>
    </x:xf>
    <x:xf numFmtId="0" fontId="0" fillId="48" borderId="0" xfId="0" applyNumberFormat="1" applyFont="1" applyFill="1" applyBorder="1"/>
    <x:xf numFmtId="0" fontId="22" fillId="48" borderId="0" xfId="0" applyNumberFormat="1" applyFont="1" applyFill="1" applyBorder="1"/>
    <x:xf numFmtId="0" fontId="22" fillId="48" borderId="0" xfId="0" applyNumberFormat="1" applyFont="1" applyFill="1" applyBorder="1" applyAlignment="1">
      <x:alignment wrapText="1"/>
    </x:xf>
    <x:xf numFmtId="0" fontId="22" fillId="48" borderId="0" xfId="0" applyNumberFormat="1" applyFont="1" applyFill="1" applyBorder="1" applyAlignment="1">
      <x:alignment vertical="center" wrapText="1"/>
    </x:xf>
    <x:xf numFmtId="0" fontId="0" fillId="49" borderId="0" xfId="0" applyNumberFormat="1" applyFont="1" applyFill="1" applyBorder="1"/>
    <x:xf numFmtId="0" fontId="26" fillId="49" borderId="0" xfId="0" applyNumberFormat="1" applyFont="1" applyFill="1" applyBorder="1"/>
    <x:xf numFmtId="0" fontId="26" fillId="49" borderId="48" xfId="0" applyNumberFormat="1" applyFont="1" applyFill="1" applyBorder="1"/>
    <x:xf numFmtId="0" fontId="26" fillId="49" borderId="49" xfId="0" applyNumberFormat="1" applyFont="1" applyFill="1" applyBorder="1"/>
    <x:xf numFmtId="0" fontId="26" fillId="49" borderId="50" xfId="0" applyNumberFormat="1" applyFont="1" applyFill="1" applyBorder="1"/>
    <x:xf numFmtId="0" fontId="26" fillId="49" borderId="48" xfId="0" applyNumberFormat="1" applyFont="1" applyFill="1" applyBorder="1" applyAlignment="1">
      <x:alignment wrapText="1"/>
    </x:xf>
    <x:xf numFmtId="0" fontId="26" fillId="49" borderId="49" xfId="0" applyNumberFormat="1" applyFont="1" applyFill="1" applyBorder="1" applyAlignment="1">
      <x:alignment wrapText="1"/>
    </x:xf>
    <x:xf numFmtId="0" fontId="26" fillId="49" borderId="50" xfId="0" applyNumberFormat="1" applyFont="1" applyFill="1" applyBorder="1" applyAlignment="1">
      <x:alignment wrapText="1"/>
    </x:xf>
    <x:xf numFmtId="0" fontId="26" fillId="49" borderId="48" xfId="0" applyNumberFormat="1" applyFont="1" applyFill="1" applyBorder="1" applyAlignment="1">
      <x:alignment horizontal="center" wrapText="1"/>
    </x:xf>
    <x:xf numFmtId="0" fontId="26" fillId="49" borderId="49" xfId="0" applyNumberFormat="1" applyFont="1" applyFill="1" applyBorder="1" applyAlignment="1">
      <x:alignment horizontal="center" wrapText="1"/>
    </x:xf>
    <x:xf numFmtId="0" fontId="26" fillId="49" borderId="50" xfId="0" applyNumberFormat="1" applyFont="1" applyFill="1" applyBorder="1" applyAlignment="1">
      <x:alignment horizontal="center" wrapText="1"/>
    </x:xf>
    <x:xf numFmtId="0" fontId="26" fillId="49" borderId="48" xfId="0" applyNumberFormat="1" applyFont="1" applyFill="1" applyBorder="1" applyAlignment="1">
      <x:alignment horizontal="center" vertical="center" wrapText="1"/>
    </x:xf>
    <x:xf numFmtId="0" fontId="26" fillId="49" borderId="49" xfId="0" applyNumberFormat="1" applyFont="1" applyFill="1" applyBorder="1" applyAlignment="1">
      <x:alignment horizontal="center" vertical="center" wrapText="1"/>
    </x:xf>
    <x:xf numFmtId="0" fontId="26" fillId="49" borderId="50" xfId="0" applyNumberFormat="1" applyFont="1" applyFill="1" applyBorder="1" applyAlignment="1">
      <x:alignment horizontal="center" vertical="center" wrapText="1"/>
    </x:xf>
    <x:xf numFmtId="0" fontId="0" fillId="50" borderId="0" xfId="0" applyNumberFormat="1" applyFont="1" applyFill="1" applyBorder="1"/>
    <x:xf numFmtId="200" fontId="0" fillId="50" borderId="0" xfId="0" applyNumberFormat="1" applyFont="1" applyFill="1" applyBorder="1"/>
    <x:xf numFmtId="0" fontId="27" fillId="50" borderId="0" xfId="0" applyNumberFormat="1" applyFont="1" applyFill="1" applyBorder="1"/>
    <x:xf numFmtId="200" fontId="27" fillId="50" borderId="0" xfId="0" applyNumberFormat="1" applyFont="1" applyFill="1" applyBorder="1"/>
    <x:xf numFmtId="0" fontId="27" fillId="50" borderId="51" xfId="0" applyNumberFormat="1" applyFont="1" applyFill="1" applyBorder="1"/>
    <x:xf numFmtId="0" fontId="27" fillId="50" borderId="52" xfId="0" applyNumberFormat="1" applyFont="1" applyFill="1" applyBorder="1"/>
    <x:xf numFmtId="200" fontId="27" fillId="50" borderId="52" xfId="0" applyNumberFormat="1" applyFont="1" applyFill="1" applyBorder="1"/>
    <x:xf numFmtId="0" fontId="27" fillId="50" borderId="53" xfId="0" applyNumberFormat="1" applyFont="1" applyFill="1" applyBorder="1"/>
    <x:xf numFmtId="0" fontId="27" fillId="50" borderId="54" xfId="0" applyNumberFormat="1" applyFont="1" applyFill="1" applyBorder="1"/>
    <x:xf numFmtId="0" fontId="27" fillId="50" xfId="0" applyNumberFormat="1" applyFont="1" applyFill="1" applyBorder="0"/>
    <x:xf numFmtId="200" fontId="27" fillId="50" xfId="0" applyNumberFormat="1" applyFont="1" applyFill="1" applyBorder="0"/>
    <x:xf numFmtId="0" fontId="27" fillId="50" borderId="55" xfId="0" applyNumberFormat="1" applyFont="1" applyFill="1" applyBorder="1"/>
    <x:xf numFmtId="0" fontId="27" fillId="50" borderId="56" xfId="0" applyNumberFormat="1" applyFont="1" applyFill="1" applyBorder="1"/>
    <x:xf numFmtId="0" fontId="27" fillId="50" borderId="57" xfId="0" applyNumberFormat="1" applyFont="1" applyFill="1" applyBorder="1"/>
    <x:xf numFmtId="200" fontId="27" fillId="50" borderId="57" xfId="0" applyNumberFormat="1" applyFont="1" applyFill="1" applyBorder="1"/>
    <x:xf numFmtId="0" fontId="27" fillId="50" borderId="58" xfId="0" applyNumberFormat="1" applyFont="1" applyFill="1" applyBorder="1"/>
    <x:xf numFmtId="0" fontId="27" fillId="50" borderId="51" xfId="0" applyNumberFormat="1" applyFont="1" applyFill="1" applyBorder="1" applyAlignment="1">
      <x:alignment wrapText="1"/>
    </x:xf>
    <x:xf numFmtId="0" fontId="27" fillId="50" borderId="52" xfId="0" applyNumberFormat="1" applyFont="1" applyFill="1" applyBorder="1" applyAlignment="1">
      <x:alignment wrapText="1"/>
    </x:xf>
    <x:xf numFmtId="200" fontId="27" fillId="50" borderId="52" xfId="0" applyNumberFormat="1" applyFont="1" applyFill="1" applyBorder="1" applyAlignment="1">
      <x:alignment wrapText="1"/>
    </x:xf>
    <x:xf numFmtId="0" fontId="27" fillId="50" borderId="53" xfId="0" applyNumberFormat="1" applyFont="1" applyFill="1" applyBorder="1" applyAlignment="1">
      <x:alignment wrapText="1"/>
    </x:xf>
    <x:xf numFmtId="0" fontId="27" fillId="50" borderId="54" xfId="0" applyNumberFormat="1" applyFont="1" applyFill="1" applyBorder="1" applyAlignment="1">
      <x:alignment wrapText="1"/>
    </x:xf>
    <x:xf numFmtId="0" fontId="27" fillId="50" xfId="0" applyNumberFormat="1" applyFont="1" applyFill="1" applyBorder="0" applyAlignment="1">
      <x:alignment wrapText="1"/>
    </x:xf>
    <x:xf numFmtId="200" fontId="27" fillId="50" xfId="0" applyNumberFormat="1" applyFont="1" applyFill="1" applyBorder="0" applyAlignment="1">
      <x:alignment wrapText="1"/>
    </x:xf>
    <x:xf numFmtId="0" fontId="27" fillId="50" borderId="55" xfId="0" applyNumberFormat="1" applyFont="1" applyFill="1" applyBorder="1" applyAlignment="1">
      <x:alignment wrapText="1"/>
    </x:xf>
    <x:xf numFmtId="0" fontId="27" fillId="50" borderId="56" xfId="0" applyNumberFormat="1" applyFont="1" applyFill="1" applyBorder="1" applyAlignment="1">
      <x:alignment wrapText="1"/>
    </x:xf>
    <x:xf numFmtId="0" fontId="27" fillId="50" borderId="57" xfId="0" applyNumberFormat="1" applyFont="1" applyFill="1" applyBorder="1" applyAlignment="1">
      <x:alignment wrapText="1"/>
    </x:xf>
    <x:xf numFmtId="200" fontId="27" fillId="50" borderId="57" xfId="0" applyNumberFormat="1" applyFont="1" applyFill="1" applyBorder="1" applyAlignment="1">
      <x:alignment wrapText="1"/>
    </x:xf>
    <x:xf numFmtId="0" fontId="27" fillId="50" borderId="58" xfId="0" applyNumberFormat="1" applyFont="1" applyFill="1" applyBorder="1" applyAlignment="1">
      <x:alignment wrapText="1"/>
    </x:xf>
    <x:xf numFmtId="0" fontId="27" fillId="50" borderId="51" xfId="0" applyNumberFormat="1" applyFont="1" applyFill="1" applyBorder="1" applyAlignment="1">
      <x:alignment vertical="top" wrapText="1"/>
    </x:xf>
    <x:xf numFmtId="0" fontId="27" fillId="50" borderId="52" xfId="0" applyNumberFormat="1" applyFont="1" applyFill="1" applyBorder="1" applyAlignment="1">
      <x:alignment vertical="top" wrapText="1"/>
    </x:xf>
    <x:xf numFmtId="200" fontId="27" fillId="50" borderId="52" xfId="0" applyNumberFormat="1" applyFont="1" applyFill="1" applyBorder="1" applyAlignment="1">
      <x:alignment vertical="top" wrapText="1"/>
    </x:xf>
    <x:xf numFmtId="0" fontId="27" fillId="50" borderId="53" xfId="0" applyNumberFormat="1" applyFont="1" applyFill="1" applyBorder="1" applyAlignment="1">
      <x:alignment vertical="top" wrapText="1"/>
    </x:xf>
    <x:xf numFmtId="0" fontId="27" fillId="50" borderId="54" xfId="0" applyNumberFormat="1" applyFont="1" applyFill="1" applyBorder="1" applyAlignment="1">
      <x:alignment vertical="top" wrapText="1"/>
    </x:xf>
    <x:xf numFmtId="0" fontId="27" fillId="50" xfId="0" applyNumberFormat="1" applyFont="1" applyFill="1" applyBorder="0" applyAlignment="1">
      <x:alignment vertical="top" wrapText="1"/>
    </x:xf>
    <x:xf numFmtId="200" fontId="27" fillId="50" xfId="0" applyNumberFormat="1" applyFont="1" applyFill="1" applyBorder="0" applyAlignment="1">
      <x:alignment vertical="top" wrapText="1"/>
    </x:xf>
    <x:xf numFmtId="0" fontId="27" fillId="50" borderId="55" xfId="0" applyNumberFormat="1" applyFont="1" applyFill="1" applyBorder="1" applyAlignment="1">
      <x:alignment vertical="top" wrapText="1"/>
    </x:xf>
    <x:xf numFmtId="0" fontId="27" fillId="50" borderId="56" xfId="0" applyNumberFormat="1" applyFont="1" applyFill="1" applyBorder="1" applyAlignment="1">
      <x:alignment vertical="top" wrapText="1"/>
    </x:xf>
    <x:xf numFmtId="0" fontId="27" fillId="50" borderId="57" xfId="0" applyNumberFormat="1" applyFont="1" applyFill="1" applyBorder="1" applyAlignment="1">
      <x:alignment vertical="top" wrapText="1"/>
    </x:xf>
    <x:xf numFmtId="200" fontId="27" fillId="50" borderId="57" xfId="0" applyNumberFormat="1" applyFont="1" applyFill="1" applyBorder="1" applyAlignment="1">
      <x:alignment vertical="top" wrapText="1"/>
    </x:xf>
    <x:xf numFmtId="0" fontId="27" fillId="50" borderId="58" xfId="0" applyNumberFormat="1" applyFont="1" applyFill="1" applyBorder="1" applyAlignment="1">
      <x:alignment vertical="top" wrapText="1"/>
    </x:xf>
    <x:xf numFmtId="0" fontId="27" fillId="51" borderId="54" xfId="0" applyNumberFormat="1" applyFont="1" applyFill="1" applyBorder="1" applyAlignment="1">
      <x:alignment vertical="top" wrapText="1"/>
    </x:xf>
    <x:xf numFmtId="0" fontId="27" fillId="51" xfId="0" applyNumberFormat="1" applyFont="1" applyFill="1" applyBorder="0" applyAlignment="1">
      <x:alignment vertical="top" wrapText="1"/>
    </x:xf>
    <x:xf numFmtId="200" fontId="27" fillId="51" xfId="0" applyNumberFormat="1" applyFont="1" applyFill="1" applyBorder="0" applyAlignment="1">
      <x:alignment vertical="top" wrapText="1"/>
    </x:xf>
    <x:xf numFmtId="0" fontId="27" fillId="51" borderId="55" xfId="0" applyNumberFormat="1" applyFont="1" applyFill="1" applyBorder="1" applyAlignment="1">
      <x:alignment vertical="top" wrapText="1"/>
    </x:xf>
    <x:xf numFmtId="0" fontId="27" fillId="51" borderId="56" xfId="0" applyNumberFormat="1" applyFont="1" applyFill="1" applyBorder="1" applyAlignment="1">
      <x:alignment vertical="top" wrapText="1"/>
    </x:xf>
    <x:xf numFmtId="0" fontId="27" fillId="51" borderId="57" xfId="0" applyNumberFormat="1" applyFont="1" applyFill="1" applyBorder="1" applyAlignment="1">
      <x:alignment vertical="top" wrapText="1"/>
    </x:xf>
    <x:xf numFmtId="200" fontId="27" fillId="51" borderId="57" xfId="0" applyNumberFormat="1" applyFont="1" applyFill="1" applyBorder="1" applyAlignment="1">
      <x:alignment vertical="top" wrapText="1"/>
    </x:xf>
    <x:xf numFmtId="0" fontId="27" fillId="51" borderId="58" xfId="0" applyNumberFormat="1" applyFont="1" applyFill="1" applyBorder="1" applyAlignment="1">
      <x:alignment vertical="top" wrapText="1"/>
    </x:xf>
    <x:xf numFmtId="0" fontId="27" fillId="52" borderId="54" xfId="0" applyNumberFormat="1" applyFont="1" applyFill="1" applyBorder="1" applyAlignment="1">
      <x:alignment vertical="top" wrapText="1"/>
    </x:xf>
    <x:xf numFmtId="0" fontId="27" fillId="52" xfId="0" applyNumberFormat="1" applyFont="1" applyFill="1" applyBorder="0" applyAlignment="1">
      <x:alignment vertical="top" wrapText="1"/>
    </x:xf>
    <x:xf numFmtId="200" fontId="27" fillId="52" xfId="0" applyNumberFormat="1" applyFont="1" applyFill="1" applyBorder="0" applyAlignment="1">
      <x:alignment vertical="top" wrapText="1"/>
    </x:xf>
    <x:xf numFmtId="0" fontId="27" fillId="52" borderId="55" xfId="0" applyNumberFormat="1" applyFont="1" applyFill="1" applyBorder="1" applyAlignment="1">
      <x:alignment vertical="top" wrapText="1"/>
    </x:xf>
    <x:xf numFmtId="0" fontId="27" fillId="52" borderId="56" xfId="0" applyNumberFormat="1" applyFont="1" applyFill="1" applyBorder="1" applyAlignment="1">
      <x:alignment vertical="top" wrapText="1"/>
    </x:xf>
    <x:xf numFmtId="0" fontId="27" fillId="52" borderId="57" xfId="0" applyNumberFormat="1" applyFont="1" applyFill="1" applyBorder="1" applyAlignment="1">
      <x:alignment vertical="top" wrapText="1"/>
    </x:xf>
    <x:xf numFmtId="200" fontId="27" fillId="52" borderId="57" xfId="0" applyNumberFormat="1" applyFont="1" applyFill="1" applyBorder="1" applyAlignment="1">
      <x:alignment vertical="top" wrapText="1"/>
    </x:xf>
    <x:xf numFmtId="0" fontId="27" fillId="52" borderId="58" xfId="0" applyNumberFormat="1" applyFont="1" applyFill="1" applyBorder="1" applyAlignment="1">
      <x:alignment vertical="top" wrapText="1"/>
    </x:xf>
    <x:xf numFmtId="0" fontId="23" fillId="49" borderId="0" xfId="0" applyNumberFormat="1" applyFont="1" applyFill="1" applyBorder="1"/>
    <x:xf numFmtId="0" fontId="23" fillId="49" borderId="0" xfId="0" applyNumberFormat="1" applyFont="1" applyFill="1" applyBorder="1" applyAlignment="1">
      <x:alignment wrapText="1"/>
    </x:xf>
    <x:xf numFmtId="0" fontId="23" fillId="49" borderId="0" xfId="0" applyNumberFormat="1" applyFont="1" applyFill="1" applyBorder="1" applyAlignment="1">
      <x:alignment horizontal="center" wrapText="1"/>
    </x:xf>
    <x:xf numFmtId="0" fontId="23" fillId="49" borderId="0" xfId="0" applyNumberFormat="1" applyFont="1" applyFill="1" applyBorder="1" applyAlignment="1">
      <x:alignment horizontal="center" vertical="center" wrapText="1"/>
    </x:xf>
    <x:xf numFmtId="0" fontId="24" fillId="50" borderId="0" xfId="0" applyNumberFormat="1" applyFont="1" applyFill="1" applyBorder="1"/>
    <x:xf numFmtId="0" fontId="24" fillId="50" xfId="0" applyNumberFormat="1" applyFont="1" applyFill="1" applyBorder="0"/>
    <x:xf numFmtId="0" fontId="24" fillId="50" borderId="57" xfId="0" applyNumberFormat="1" applyFont="1" applyFill="1" applyBorder="1"/>
    <x:xf numFmtId="0" fontId="24" fillId="50" xfId="0" applyNumberFormat="1" applyFont="1" applyFill="1" applyBorder="0" applyAlignment="1">
      <x:alignment wrapText="1"/>
    </x:xf>
    <x:xf numFmtId="0" fontId="24" fillId="50" borderId="57" xfId="0" applyNumberFormat="1" applyFont="1" applyFill="1" applyBorder="1" applyAlignment="1">
      <x:alignment wrapText="1"/>
    </x:xf>
    <x:xf numFmtId="0" fontId="24" fillId="50" xfId="0" applyNumberFormat="1" applyFont="1" applyFill="1" applyBorder="0" applyAlignment="1">
      <x:alignment vertical="top" wrapText="1"/>
    </x:xf>
    <x:xf numFmtId="0" fontId="24" fillId="50" borderId="57" xfId="0" applyNumberFormat="1" applyFont="1" applyFill="1" applyBorder="1" applyAlignment="1">
      <x:alignment vertical="top" wrapText="1"/>
    </x:xf>
    <x:xf numFmtId="0" fontId="26" fillId="49" borderId="0" xfId="0" applyNumberFormat="1" applyFont="1" applyFill="1" applyBorder="1" applyAlignment="1">
      <x:alignment wrapText="1"/>
    </x:xf>
    <x:xf numFmtId="0" fontId="26" fillId="49" borderId="0" xfId="0" applyNumberFormat="1" applyFont="1" applyFill="1" applyBorder="1" applyAlignment="1">
      <x:alignment horizontal="center" wrapText="1"/>
    </x:xf>
    <x:xf numFmtId="0" fontId="26" fillId="49" borderId="0" xfId="0" applyNumberFormat="1" applyFont="1" applyFill="1" applyBorder="1" applyAlignment="1">
      <x:alignment horizontal="center" vertical="center" wrapText="1"/>
    </x:xf>
    <x:xf numFmtId="200" fontId="27" fillId="50" borderId="53" xfId="0" applyNumberFormat="1" applyFont="1" applyFill="1" applyBorder="1"/>
    <x:xf numFmtId="200" fontId="27" fillId="50" borderId="55" xfId="0" applyNumberFormat="1" applyFont="1" applyFill="1" applyBorder="1"/>
    <x:xf numFmtId="200" fontId="27" fillId="50" borderId="58" xfId="0" applyNumberFormat="1" applyFont="1" applyFill="1" applyBorder="1"/>
    <x:xf numFmtId="200" fontId="27" fillId="50" borderId="53" xfId="0" applyNumberFormat="1" applyFont="1" applyFill="1" applyBorder="1" applyAlignment="1">
      <x:alignment wrapText="1"/>
    </x:xf>
    <x:xf numFmtId="200" fontId="27" fillId="50" borderId="55" xfId="0" applyNumberFormat="1" applyFont="1" applyFill="1" applyBorder="1" applyAlignment="1">
      <x:alignment wrapText="1"/>
    </x:xf>
    <x:xf numFmtId="200" fontId="27" fillId="50" borderId="58" xfId="0" applyNumberFormat="1" applyFont="1" applyFill="1" applyBorder="1" applyAlignment="1">
      <x:alignment wrapText="1"/>
    </x:xf>
    <x:xf numFmtId="200" fontId="27" fillId="50" borderId="53" xfId="0" applyNumberFormat="1" applyFont="1" applyFill="1" applyBorder="1" applyAlignment="1">
      <x:alignment vertical="top" wrapText="1"/>
    </x:xf>
    <x:xf numFmtId="200" fontId="27" fillId="50" borderId="55" xfId="0" applyNumberFormat="1" applyFont="1" applyFill="1" applyBorder="1" applyAlignment="1">
      <x:alignment vertical="top" wrapText="1"/>
    </x:xf>
    <x:xf numFmtId="200" fontId="27" fillId="50" borderId="58" xfId="0" applyNumberFormat="1" applyFont="1" applyFill="1" applyBorder="1" applyAlignment="1">
      <x:alignment vertical="top" wrapText="1"/>
    </x:xf>
    <x:xf numFmtId="200" fontId="27" fillId="52" borderId="55" xfId="0" applyNumberFormat="1" applyFont="1" applyFill="1" applyBorder="1" applyAlignment="1">
      <x:alignment vertical="top" wrapText="1"/>
    </x:xf>
    <x:xf numFmtId="200" fontId="27" fillId="52" borderId="58" xfId="0" applyNumberFormat="1" applyFont="1" applyFill="1" applyBorder="1" applyAlignment="1">
      <x:alignment vertical="top" wrapText="1"/>
    </x:xf>
    <x:xf numFmtId="0" fontId="22" fillId="38" borderId="0" xfId="0" applyNumberFormat="1" applyFont="1" applyFill="1" applyBorder="1" applyAlignment="1">
      <x:alignment wrapText="1"/>
    </x:xf>
    <x:xf numFmtId="0" fontId="22" fillId="38" borderId="0" xfId="0" applyNumberFormat="1" applyFont="1" applyFill="1" applyBorder="1" applyAlignment="1">
      <x:alignment vertical="center" wrapText="1"/>
    </x:xf>
    <x:xf numFmtId="0" fontId="26" fillId="39" borderId="0" xfId="0" applyNumberFormat="1" applyFont="1" applyFill="1" applyBorder="1"/>
    <x:xf numFmtId="0" fontId="26" fillId="39" borderId="48" xfId="0" applyNumberFormat="1" applyFont="1" applyFill="1" applyBorder="1"/>
    <x:xf numFmtId="0" fontId="26" fillId="39" borderId="49" xfId="0" applyNumberFormat="1" applyFont="1" applyFill="1" applyBorder="1"/>
    <x:xf numFmtId="0" fontId="26" fillId="39" borderId="50" xfId="0" applyNumberFormat="1" applyFont="1" applyFill="1" applyBorder="1"/>
    <x:xf numFmtId="0" fontId="26" fillId="39" borderId="48" xfId="0" applyNumberFormat="1" applyFont="1" applyFill="1" applyBorder="1" applyAlignment="1">
      <x:alignment wrapText="1"/>
    </x:xf>
    <x:xf numFmtId="0" fontId="26" fillId="39" borderId="49" xfId="0" applyNumberFormat="1" applyFont="1" applyFill="1" applyBorder="1" applyAlignment="1">
      <x:alignment wrapText="1"/>
    </x:xf>
    <x:xf numFmtId="0" fontId="26" fillId="39" borderId="50" xfId="0" applyNumberFormat="1" applyFont="1" applyFill="1" applyBorder="1" applyAlignment="1">
      <x:alignment wrapText="1"/>
    </x:xf>
    <x:xf numFmtId="0" fontId="26" fillId="39" borderId="48" xfId="0" applyNumberFormat="1" applyFont="1" applyFill="1" applyBorder="1" applyAlignment="1">
      <x:alignment horizontal="center" wrapText="1"/>
    </x:xf>
    <x:xf numFmtId="0" fontId="26" fillId="39" borderId="49" xfId="0" applyNumberFormat="1" applyFont="1" applyFill="1" applyBorder="1" applyAlignment="1">
      <x:alignment horizontal="center" wrapText="1"/>
    </x:xf>
    <x:xf numFmtId="0" fontId="26" fillId="39" borderId="50" xfId="0" applyNumberFormat="1" applyFont="1" applyFill="1" applyBorder="1" applyAlignment="1">
      <x:alignment horizontal="center" wrapText="1"/>
    </x:xf>
    <x:xf numFmtId="0" fontId="26" fillId="39" borderId="48" xfId="0" applyNumberFormat="1" applyFont="1" applyFill="1" applyBorder="1" applyAlignment="1">
      <x:alignment horizontal="center" vertical="center" wrapText="1"/>
    </x:xf>
    <x:xf numFmtId="0" fontId="26" fillId="39" borderId="49" xfId="0" applyNumberFormat="1" applyFont="1" applyFill="1" applyBorder="1" applyAlignment="1">
      <x:alignment horizontal="center" vertical="center" wrapText="1"/>
    </x:xf>
    <x:xf numFmtId="0" fontId="26" fillId="39" borderId="50" xfId="0" applyNumberFormat="1" applyFont="1" applyFill="1" applyBorder="1" applyAlignment="1">
      <x:alignment horizontal="center" vertical="center" wrapText="1"/>
    </x:xf>
    <x:xf numFmtId="0" fontId="27" fillId="40" borderId="0" xfId="0" applyNumberFormat="1" applyFont="1" applyFill="1" applyBorder="1"/>
    <x:xf numFmtId="200" fontId="27" fillId="40" borderId="0" xfId="0" applyNumberFormat="1" applyFont="1" applyFill="1" applyBorder="1"/>
    <x:xf numFmtId="0" fontId="27" fillId="40" borderId="51" xfId="0" applyNumberFormat="1" applyFont="1" applyFill="1" applyBorder="1"/>
    <x:xf numFmtId="0" fontId="27" fillId="40" borderId="52" xfId="0" applyNumberFormat="1" applyFont="1" applyFill="1" applyBorder="1"/>
    <x:xf numFmtId="200" fontId="27" fillId="40" borderId="52" xfId="0" applyNumberFormat="1" applyFont="1" applyFill="1" applyBorder="1"/>
    <x:xf numFmtId="0" fontId="27" fillId="40" borderId="53" xfId="0" applyNumberFormat="1" applyFont="1" applyFill="1" applyBorder="1"/>
    <x:xf numFmtId="0" fontId="27" fillId="40" borderId="54" xfId="0" applyNumberFormat="1" applyFont="1" applyFill="1" applyBorder="1"/>
    <x:xf numFmtId="0" fontId="27" fillId="40" xfId="0" applyNumberFormat="1" applyFont="1" applyFill="1" applyBorder="0"/>
    <x:xf numFmtId="200" fontId="27" fillId="40" xfId="0" applyNumberFormat="1" applyFont="1" applyFill="1" applyBorder="0"/>
    <x:xf numFmtId="0" fontId="27" fillId="40" borderId="55" xfId="0" applyNumberFormat="1" applyFont="1" applyFill="1" applyBorder="1"/>
    <x:xf numFmtId="0" fontId="27" fillId="40" borderId="56" xfId="0" applyNumberFormat="1" applyFont="1" applyFill="1" applyBorder="1"/>
    <x:xf numFmtId="0" fontId="27" fillId="40" borderId="57" xfId="0" applyNumberFormat="1" applyFont="1" applyFill="1" applyBorder="1"/>
    <x:xf numFmtId="200" fontId="27" fillId="40" borderId="57" xfId="0" applyNumberFormat="1" applyFont="1" applyFill="1" applyBorder="1"/>
    <x:xf numFmtId="0" fontId="27" fillId="40" borderId="58" xfId="0" applyNumberFormat="1" applyFont="1" applyFill="1" applyBorder="1"/>
    <x:xf numFmtId="0" fontId="27" fillId="40" borderId="51" xfId="0" applyNumberFormat="1" applyFont="1" applyFill="1" applyBorder="1" applyAlignment="1">
      <x:alignment wrapText="1"/>
    </x:xf>
    <x:xf numFmtId="0" fontId="27" fillId="40" borderId="52" xfId="0" applyNumberFormat="1" applyFont="1" applyFill="1" applyBorder="1" applyAlignment="1">
      <x:alignment wrapText="1"/>
    </x:xf>
    <x:xf numFmtId="200" fontId="27" fillId="40" borderId="52" xfId="0" applyNumberFormat="1" applyFont="1" applyFill="1" applyBorder="1" applyAlignment="1">
      <x:alignment wrapText="1"/>
    </x:xf>
    <x:xf numFmtId="0" fontId="27" fillId="40" borderId="53" xfId="0" applyNumberFormat="1" applyFont="1" applyFill="1" applyBorder="1" applyAlignment="1">
      <x:alignment wrapText="1"/>
    </x:xf>
    <x:xf numFmtId="0" fontId="27" fillId="40" borderId="54" xfId="0" applyNumberFormat="1" applyFont="1" applyFill="1" applyBorder="1" applyAlignment="1">
      <x:alignment wrapText="1"/>
    </x:xf>
    <x:xf numFmtId="0" fontId="27" fillId="40" xfId="0" applyNumberFormat="1" applyFont="1" applyFill="1" applyBorder="0" applyAlignment="1">
      <x:alignment wrapText="1"/>
    </x:xf>
    <x:xf numFmtId="200" fontId="27" fillId="40" xfId="0" applyNumberFormat="1" applyFont="1" applyFill="1" applyBorder="0" applyAlignment="1">
      <x:alignment wrapText="1"/>
    </x:xf>
    <x:xf numFmtId="0" fontId="27" fillId="40" borderId="55" xfId="0" applyNumberFormat="1" applyFont="1" applyFill="1" applyBorder="1" applyAlignment="1">
      <x:alignment wrapText="1"/>
    </x:xf>
    <x:xf numFmtId="0" fontId="27" fillId="40" borderId="56" xfId="0" applyNumberFormat="1" applyFont="1" applyFill="1" applyBorder="1" applyAlignment="1">
      <x:alignment wrapText="1"/>
    </x:xf>
    <x:xf numFmtId="0" fontId="27" fillId="40" borderId="57" xfId="0" applyNumberFormat="1" applyFont="1" applyFill="1" applyBorder="1" applyAlignment="1">
      <x:alignment wrapText="1"/>
    </x:xf>
    <x:xf numFmtId="200" fontId="27" fillId="40" borderId="57" xfId="0" applyNumberFormat="1" applyFont="1" applyFill="1" applyBorder="1" applyAlignment="1">
      <x:alignment wrapText="1"/>
    </x:xf>
    <x:xf numFmtId="0" fontId="27" fillId="40" borderId="58" xfId="0" applyNumberFormat="1" applyFont="1" applyFill="1" applyBorder="1" applyAlignment="1">
      <x:alignment wrapText="1"/>
    </x:xf>
    <x:xf numFmtId="0" fontId="27" fillId="40" borderId="51" xfId="0" applyNumberFormat="1" applyFont="1" applyFill="1" applyBorder="1" applyAlignment="1">
      <x:alignment vertical="top" wrapText="1"/>
    </x:xf>
    <x:xf numFmtId="0" fontId="27" fillId="40" borderId="52" xfId="0" applyNumberFormat="1" applyFont="1" applyFill="1" applyBorder="1" applyAlignment="1">
      <x:alignment vertical="top" wrapText="1"/>
    </x:xf>
    <x:xf numFmtId="200" fontId="27" fillId="40" borderId="52" xfId="0" applyNumberFormat="1" applyFont="1" applyFill="1" applyBorder="1" applyAlignment="1">
      <x:alignment vertical="top" wrapText="1"/>
    </x:xf>
    <x:xf numFmtId="0" fontId="27" fillId="40" borderId="53" xfId="0" applyNumberFormat="1" applyFont="1" applyFill="1" applyBorder="1" applyAlignment="1">
      <x:alignment vertical="top" wrapText="1"/>
    </x:xf>
    <x:xf numFmtId="0" fontId="27" fillId="40" borderId="54" xfId="0" applyNumberFormat="1" applyFont="1" applyFill="1" applyBorder="1" applyAlignment="1">
      <x:alignment vertical="top" wrapText="1"/>
    </x:xf>
    <x:xf numFmtId="0" fontId="27" fillId="40" xfId="0" applyNumberFormat="1" applyFont="1" applyFill="1" applyBorder="0" applyAlignment="1">
      <x:alignment vertical="top" wrapText="1"/>
    </x:xf>
    <x:xf numFmtId="200" fontId="27" fillId="40" xfId="0" applyNumberFormat="1" applyFont="1" applyFill="1" applyBorder="0" applyAlignment="1">
      <x:alignment vertical="top" wrapText="1"/>
    </x:xf>
    <x:xf numFmtId="0" fontId="27" fillId="40" borderId="55" xfId="0" applyNumberFormat="1" applyFont="1" applyFill="1" applyBorder="1" applyAlignment="1">
      <x:alignment vertical="top" wrapText="1"/>
    </x:xf>
    <x:xf numFmtId="0" fontId="27" fillId="40" borderId="56" xfId="0" applyNumberFormat="1" applyFont="1" applyFill="1" applyBorder="1" applyAlignment="1">
      <x:alignment vertical="top" wrapText="1"/>
    </x:xf>
    <x:xf numFmtId="0" fontId="27" fillId="40" borderId="57" xfId="0" applyNumberFormat="1" applyFont="1" applyFill="1" applyBorder="1" applyAlignment="1">
      <x:alignment vertical="top" wrapText="1"/>
    </x:xf>
    <x:xf numFmtId="200" fontId="27" fillId="40" borderId="57" xfId="0" applyNumberFormat="1" applyFont="1" applyFill="1" applyBorder="1" applyAlignment="1">
      <x:alignment vertical="top" wrapText="1"/>
    </x:xf>
    <x:xf numFmtId="0" fontId="27" fillId="40" borderId="58" xfId="0" applyNumberFormat="1" applyFont="1" applyFill="1" applyBorder="1" applyAlignment="1">
      <x:alignment vertical="top" wrapText="1"/>
    </x:xf>
    <x:xf numFmtId="0" fontId="27" fillId="42" borderId="54" xfId="0" applyNumberFormat="1" applyFont="1" applyFill="1" applyBorder="1" applyAlignment="1">
      <x:alignment vertical="top" wrapText="1"/>
    </x:xf>
    <x:xf numFmtId="0" fontId="27" fillId="42" xfId="0" applyNumberFormat="1" applyFont="1" applyFill="1" applyBorder="0" applyAlignment="1">
      <x:alignment vertical="top" wrapText="1"/>
    </x:xf>
    <x:xf numFmtId="200" fontId="27" fillId="42" xfId="0" applyNumberFormat="1" applyFont="1" applyFill="1" applyBorder="0" applyAlignment="1">
      <x:alignment vertical="top" wrapText="1"/>
    </x:xf>
    <x:xf numFmtId="0" fontId="27" fillId="42" borderId="55" xfId="0" applyNumberFormat="1" applyFont="1" applyFill="1" applyBorder="1" applyAlignment="1">
      <x:alignment vertical="top" wrapText="1"/>
    </x:xf>
    <x:xf numFmtId="0" fontId="27" fillId="42" borderId="56" xfId="0" applyNumberFormat="1" applyFont="1" applyFill="1" applyBorder="1" applyAlignment="1">
      <x:alignment vertical="top" wrapText="1"/>
    </x:xf>
    <x:xf numFmtId="0" fontId="27" fillId="42" borderId="57" xfId="0" applyNumberFormat="1" applyFont="1" applyFill="1" applyBorder="1" applyAlignment="1">
      <x:alignment vertical="top" wrapText="1"/>
    </x:xf>
    <x:xf numFmtId="200" fontId="27" fillId="42" borderId="57" xfId="0" applyNumberFormat="1" applyFont="1" applyFill="1" applyBorder="1" applyAlignment="1">
      <x:alignment vertical="top" wrapText="1"/>
    </x:xf>
    <x:xf numFmtId="0" fontId="27" fillId="42" borderId="58" xfId="0" applyNumberFormat="1" applyFont="1" applyFill="1" applyBorder="1" applyAlignment="1">
      <x:alignment vertical="top" wrapText="1"/>
    </x:xf>
    <x:xf numFmtId="0" fontId="27" fillId="41" borderId="54" xfId="0" applyNumberFormat="1" applyFont="1" applyFill="1" applyBorder="1" applyAlignment="1">
      <x:alignment vertical="top" wrapText="1"/>
    </x:xf>
    <x:xf numFmtId="0" fontId="27" fillId="41" xfId="0" applyNumberFormat="1" applyFont="1" applyFill="1" applyBorder="0" applyAlignment="1">
      <x:alignment vertical="top" wrapText="1"/>
    </x:xf>
    <x:xf numFmtId="200" fontId="27" fillId="41" xfId="0" applyNumberFormat="1" applyFont="1" applyFill="1" applyBorder="0" applyAlignment="1">
      <x:alignment vertical="top" wrapText="1"/>
    </x:xf>
    <x:xf numFmtId="0" fontId="27" fillId="41" borderId="55" xfId="0" applyNumberFormat="1" applyFont="1" applyFill="1" applyBorder="1" applyAlignment="1">
      <x:alignment vertical="top" wrapText="1"/>
    </x:xf>
    <x:xf numFmtId="0" fontId="27" fillId="41" borderId="56" xfId="0" applyNumberFormat="1" applyFont="1" applyFill="1" applyBorder="1" applyAlignment="1">
      <x:alignment vertical="top" wrapText="1"/>
    </x:xf>
    <x:xf numFmtId="0" fontId="27" fillId="41" borderId="57" xfId="0" applyNumberFormat="1" applyFont="1" applyFill="1" applyBorder="1" applyAlignment="1">
      <x:alignment vertical="top" wrapText="1"/>
    </x:xf>
    <x:xf numFmtId="200" fontId="27" fillId="41" borderId="57" xfId="0" applyNumberFormat="1" applyFont="1" applyFill="1" applyBorder="1" applyAlignment="1">
      <x:alignment vertical="top" wrapText="1"/>
    </x:xf>
    <x:xf numFmtId="0" fontId="27" fillId="41" borderId="58" xfId="0" applyNumberFormat="1" applyFont="1" applyFill="1" applyBorder="1" applyAlignment="1">
      <x:alignment vertical="top" wrapText="1"/>
    </x:xf>
    <x:xf numFmtId="0" fontId="23" fillId="39" borderId="0" xfId="0" applyNumberFormat="1" applyFont="1" applyFill="1" applyBorder="1" applyAlignment="1">
      <x:alignment wrapText="1"/>
    </x:xf>
    <x:xf numFmtId="0" fontId="23" fillId="39" borderId="0" xfId="0" applyNumberFormat="1" applyFont="1" applyFill="1" applyBorder="1" applyAlignment="1">
      <x:alignment horizontal="center" wrapText="1"/>
    </x:xf>
    <x:xf numFmtId="0" fontId="23" fillId="39" borderId="0" xfId="0" applyNumberFormat="1" applyFont="1" applyFill="1" applyBorder="1" applyAlignment="1">
      <x:alignment horizontal="center" vertical="center" wrapText="1"/>
    </x:xf>
    <x:xf numFmtId="0" fontId="26" fillId="39" borderId="0" xfId="0" applyNumberFormat="1" applyFont="1" applyFill="1" applyBorder="1" applyAlignment="1">
      <x:alignment wrapText="1"/>
    </x:xf>
    <x:xf numFmtId="0" fontId="26" fillId="39" borderId="0" xfId="0" applyNumberFormat="1" applyFont="1" applyFill="1" applyBorder="1" applyAlignment="1">
      <x:alignment horizontal="center" wrapText="1"/>
    </x:xf>
    <x:xf numFmtId="0" fontId="26" fillId="39" borderId="0" xfId="0" applyNumberFormat="1" applyFont="1" applyFill="1" applyBorder="1" applyAlignment="1">
      <x:alignment horizontal="center" vertical="center" wrapText="1"/>
    </x:xf>
    <x:xf numFmtId="200" fontId="27" fillId="40" borderId="53" xfId="0" applyNumberFormat="1" applyFont="1" applyFill="1" applyBorder="1"/>
    <x:xf numFmtId="200" fontId="27" fillId="40" borderId="55" xfId="0" applyNumberFormat="1" applyFont="1" applyFill="1" applyBorder="1"/>
    <x:xf numFmtId="200" fontId="27" fillId="40" borderId="58" xfId="0" applyNumberFormat="1" applyFont="1" applyFill="1" applyBorder="1"/>
    <x:xf numFmtId="200" fontId="27" fillId="40" borderId="53" xfId="0" applyNumberFormat="1" applyFont="1" applyFill="1" applyBorder="1" applyAlignment="1">
      <x:alignment wrapText="1"/>
    </x:xf>
    <x:xf numFmtId="200" fontId="27" fillId="40" borderId="55" xfId="0" applyNumberFormat="1" applyFont="1" applyFill="1" applyBorder="1" applyAlignment="1">
      <x:alignment wrapText="1"/>
    </x:xf>
    <x:xf numFmtId="200" fontId="27" fillId="40" borderId="58" xfId="0" applyNumberFormat="1" applyFont="1" applyFill="1" applyBorder="1" applyAlignment="1">
      <x:alignment wrapText="1"/>
    </x:xf>
    <x:xf numFmtId="200" fontId="27" fillId="40" borderId="53" xfId="0" applyNumberFormat="1" applyFont="1" applyFill="1" applyBorder="1" applyAlignment="1">
      <x:alignment vertical="top" wrapText="1"/>
    </x:xf>
    <x:xf numFmtId="200" fontId="27" fillId="40" borderId="55" xfId="0" applyNumberFormat="1" applyFont="1" applyFill="1" applyBorder="1" applyAlignment="1">
      <x:alignment vertical="top" wrapText="1"/>
    </x:xf>
    <x:xf numFmtId="200" fontId="27" fillId="40" borderId="58" xfId="0" applyNumberFormat="1" applyFont="1" applyFill="1" applyBorder="1" applyAlignment="1">
      <x:alignment vertical="top" wrapText="1"/>
    </x:xf>
    <x:xf numFmtId="200" fontId="27" fillId="41" borderId="55" xfId="0" applyNumberFormat="1" applyFont="1" applyFill="1" applyBorder="1" applyAlignment="1">
      <x:alignment vertical="top" wrapText="1"/>
    </x:xf>
    <x:xf numFmtId="200" fontId="27" fillId="41" borderId="58" xfId="0" applyNumberFormat="1" applyFont="1" applyFill="1" applyBorder="1" applyAlignment="1">
      <x:alignment vertical="top" wrapText="1"/>
    </x:xf>
    <x:xf numFmtId="0" fontId="0" fillId="53" borderId="0" xfId="0" applyNumberFormat="1" applyFont="1" applyFill="1" applyBorder="1"/>
    <x:xf numFmtId="0" fontId="16" fillId="53" borderId="0" xfId="0" applyNumberFormat="1" applyFont="1" applyFill="1" applyBorder="1"/>
    <x:xf numFmtId="0" fontId="16" fillId="53" borderId="0" xfId="0" applyNumberFormat="1" applyFont="1" applyFill="1" applyBorder="1" applyAlignment="1">
      <x:alignment vertical="center"/>
    </x:xf>
    <x:xf numFmtId="0" fontId="0" fillId="54" borderId="0" xfId="0" applyNumberFormat="1" applyFont="1" applyFill="1" applyBorder="1"/>
    <x:xf numFmtId="0" fontId="22" fillId="54" borderId="0" xfId="0" applyNumberFormat="1" applyFont="1" applyFill="1" applyBorder="1"/>
    <x:xf numFmtId="0" fontId="22" fillId="54" borderId="0" xfId="0" applyNumberFormat="1" applyFont="1" applyFill="1" applyBorder="1" applyAlignment="1">
      <x:alignment wrapText="1"/>
    </x:xf>
    <x:xf numFmtId="0" fontId="22" fillId="54" borderId="0" xfId="0" applyNumberFormat="1" applyFont="1" applyFill="1" applyBorder="1" applyAlignment="1">
      <x:alignment vertical="center" wrapText="1"/>
    </x:xf>
    <x:xf numFmtId="0" fontId="0" fillId="55" borderId="0" xfId="0" applyNumberFormat="1" applyFont="1" applyFill="1" applyBorder="1"/>
    <x:xf numFmtId="0" fontId="26" fillId="55" borderId="0" xfId="0" applyNumberFormat="1" applyFont="1" applyFill="1" applyBorder="1"/>
    <x:xf numFmtId="0" fontId="26" fillId="55" borderId="48" xfId="0" applyNumberFormat="1" applyFont="1" applyFill="1" applyBorder="1"/>
    <x:xf numFmtId="0" fontId="26" fillId="55" borderId="49" xfId="0" applyNumberFormat="1" applyFont="1" applyFill="1" applyBorder="1"/>
    <x:xf numFmtId="0" fontId="26" fillId="55" borderId="50" xfId="0" applyNumberFormat="1" applyFont="1" applyFill="1" applyBorder="1"/>
    <x:xf numFmtId="0" fontId="26" fillId="55" borderId="48" xfId="0" applyNumberFormat="1" applyFont="1" applyFill="1" applyBorder="1" applyAlignment="1">
      <x:alignment wrapText="1"/>
    </x:xf>
    <x:xf numFmtId="0" fontId="26" fillId="55" borderId="49" xfId="0" applyNumberFormat="1" applyFont="1" applyFill="1" applyBorder="1" applyAlignment="1">
      <x:alignment wrapText="1"/>
    </x:xf>
    <x:xf numFmtId="0" fontId="26" fillId="55" borderId="50" xfId="0" applyNumberFormat="1" applyFont="1" applyFill="1" applyBorder="1" applyAlignment="1">
      <x:alignment wrapText="1"/>
    </x:xf>
    <x:xf numFmtId="0" fontId="26" fillId="55" borderId="48" xfId="0" applyNumberFormat="1" applyFont="1" applyFill="1" applyBorder="1" applyAlignment="1">
      <x:alignment horizontal="center" wrapText="1"/>
    </x:xf>
    <x:xf numFmtId="0" fontId="26" fillId="55" borderId="49" xfId="0" applyNumberFormat="1" applyFont="1" applyFill="1" applyBorder="1" applyAlignment="1">
      <x:alignment horizontal="center" wrapText="1"/>
    </x:xf>
    <x:xf numFmtId="0" fontId="26" fillId="55" borderId="50" xfId="0" applyNumberFormat="1" applyFont="1" applyFill="1" applyBorder="1" applyAlignment="1">
      <x:alignment horizontal="center" wrapText="1"/>
    </x:xf>
    <x:xf numFmtId="0" fontId="26" fillId="55" borderId="48" xfId="0" applyNumberFormat="1" applyFont="1" applyFill="1" applyBorder="1" applyAlignment="1">
      <x:alignment horizontal="center" vertical="center" wrapText="1"/>
    </x:xf>
    <x:xf numFmtId="0" fontId="26" fillId="55" borderId="49" xfId="0" applyNumberFormat="1" applyFont="1" applyFill="1" applyBorder="1" applyAlignment="1">
      <x:alignment horizontal="center" vertical="center" wrapText="1"/>
    </x:xf>
    <x:xf numFmtId="0" fontId="26" fillId="55" borderId="50" xfId="0" applyNumberFormat="1" applyFont="1" applyFill="1" applyBorder="1" applyAlignment="1">
      <x:alignment horizontal="center" vertical="center" wrapText="1"/>
    </x:xf>
    <x:xf numFmtId="0" fontId="0" fillId="56" borderId="0" xfId="0" applyNumberFormat="1" applyFont="1" applyFill="1" applyBorder="1"/>
    <x:xf numFmtId="0" fontId="27" fillId="56" borderId="0" xfId="0" applyNumberFormat="1" applyFont="1" applyFill="1" applyBorder="1"/>
    <x:xf numFmtId="0" fontId="27" fillId="56" borderId="51" xfId="0" applyNumberFormat="1" applyFont="1" applyFill="1" applyBorder="1"/>
    <x:xf numFmtId="0" fontId="27" fillId="56" borderId="52" xfId="0" applyNumberFormat="1" applyFont="1" applyFill="1" applyBorder="1"/>
    <x:xf numFmtId="0" fontId="27" fillId="56" borderId="53" xfId="0" applyNumberFormat="1" applyFont="1" applyFill="1" applyBorder="1"/>
    <x:xf numFmtId="0" fontId="27" fillId="56" borderId="54" xfId="0" applyNumberFormat="1" applyFont="1" applyFill="1" applyBorder="1"/>
    <x:xf numFmtId="0" fontId="27" fillId="56" xfId="0" applyNumberFormat="1" applyFont="1" applyFill="1" applyBorder="0"/>
    <x:xf numFmtId="0" fontId="27" fillId="56" borderId="55" xfId="0" applyNumberFormat="1" applyFont="1" applyFill="1" applyBorder="1"/>
    <x:xf numFmtId="0" fontId="27" fillId="56" borderId="56" xfId="0" applyNumberFormat="1" applyFont="1" applyFill="1" applyBorder="1"/>
    <x:xf numFmtId="0" fontId="27" fillId="56" borderId="57" xfId="0" applyNumberFormat="1" applyFont="1" applyFill="1" applyBorder="1"/>
    <x:xf numFmtId="0" fontId="27" fillId="56" borderId="58" xfId="0" applyNumberFormat="1" applyFont="1" applyFill="1" applyBorder="1"/>
    <x:xf numFmtId="0" fontId="27" fillId="56" borderId="51" xfId="0" applyNumberFormat="1" applyFont="1" applyFill="1" applyBorder="1" applyAlignment="1">
      <x:alignment wrapText="1"/>
    </x:xf>
    <x:xf numFmtId="0" fontId="27" fillId="56" borderId="52" xfId="0" applyNumberFormat="1" applyFont="1" applyFill="1" applyBorder="1" applyAlignment="1">
      <x:alignment wrapText="1"/>
    </x:xf>
    <x:xf numFmtId="0" fontId="27" fillId="56" borderId="53" xfId="0" applyNumberFormat="1" applyFont="1" applyFill="1" applyBorder="1" applyAlignment="1">
      <x:alignment wrapText="1"/>
    </x:xf>
    <x:xf numFmtId="0" fontId="27" fillId="56" borderId="54" xfId="0" applyNumberFormat="1" applyFont="1" applyFill="1" applyBorder="1" applyAlignment="1">
      <x:alignment wrapText="1"/>
    </x:xf>
    <x:xf numFmtId="0" fontId="27" fillId="56" xfId="0" applyNumberFormat="1" applyFont="1" applyFill="1" applyBorder="0" applyAlignment="1">
      <x:alignment wrapText="1"/>
    </x:xf>
    <x:xf numFmtId="0" fontId="27" fillId="56" borderId="55" xfId="0" applyNumberFormat="1" applyFont="1" applyFill="1" applyBorder="1" applyAlignment="1">
      <x:alignment wrapText="1"/>
    </x:xf>
    <x:xf numFmtId="0" fontId="27" fillId="56" borderId="56" xfId="0" applyNumberFormat="1" applyFont="1" applyFill="1" applyBorder="1" applyAlignment="1">
      <x:alignment wrapText="1"/>
    </x:xf>
    <x:xf numFmtId="0" fontId="27" fillId="56" borderId="57" xfId="0" applyNumberFormat="1" applyFont="1" applyFill="1" applyBorder="1" applyAlignment="1">
      <x:alignment wrapText="1"/>
    </x:xf>
    <x:xf numFmtId="0" fontId="27" fillId="56" borderId="58" xfId="0" applyNumberFormat="1" applyFont="1" applyFill="1" applyBorder="1" applyAlignment="1">
      <x:alignment wrapText="1"/>
    </x:xf>
    <x:xf numFmtId="0" fontId="27" fillId="56" borderId="51" xfId="0" applyNumberFormat="1" applyFont="1" applyFill="1" applyBorder="1" applyAlignment="1">
      <x:alignment vertical="top" wrapText="1"/>
    </x:xf>
    <x:xf numFmtId="0" fontId="27" fillId="56" borderId="52" xfId="0" applyNumberFormat="1" applyFont="1" applyFill="1" applyBorder="1" applyAlignment="1">
      <x:alignment vertical="top" wrapText="1"/>
    </x:xf>
    <x:xf numFmtId="0" fontId="27" fillId="56" borderId="53" xfId="0" applyNumberFormat="1" applyFont="1" applyFill="1" applyBorder="1" applyAlignment="1">
      <x:alignment vertical="top" wrapText="1"/>
    </x:xf>
    <x:xf numFmtId="0" fontId="27" fillId="56" borderId="54" xfId="0" applyNumberFormat="1" applyFont="1" applyFill="1" applyBorder="1" applyAlignment="1">
      <x:alignment vertical="top" wrapText="1"/>
    </x:xf>
    <x:xf numFmtId="0" fontId="27" fillId="56" xfId="0" applyNumberFormat="1" applyFont="1" applyFill="1" applyBorder="0" applyAlignment="1">
      <x:alignment vertical="top" wrapText="1"/>
    </x:xf>
    <x:xf numFmtId="0" fontId="27" fillId="56" borderId="55" xfId="0" applyNumberFormat="1" applyFont="1" applyFill="1" applyBorder="1" applyAlignment="1">
      <x:alignment vertical="top" wrapText="1"/>
    </x:xf>
    <x:xf numFmtId="0" fontId="27" fillId="56" borderId="56" xfId="0" applyNumberFormat="1" applyFont="1" applyFill="1" applyBorder="1" applyAlignment="1">
      <x:alignment vertical="top" wrapText="1"/>
    </x:xf>
    <x:xf numFmtId="0" fontId="27" fillId="56" borderId="57" xfId="0" applyNumberFormat="1" applyFont="1" applyFill="1" applyBorder="1" applyAlignment="1">
      <x:alignment vertical="top" wrapText="1"/>
    </x:xf>
    <x:xf numFmtId="0" fontId="27" fillId="56" borderId="58" xfId="0" applyNumberFormat="1" applyFont="1" applyFill="1" applyBorder="1" applyAlignment="1">
      <x:alignment vertical="top" wrapText="1"/>
    </x:xf>
    <x:xf numFmtId="0" fontId="27" fillId="57" borderId="52" xfId="0" applyNumberFormat="1" applyFont="1" applyFill="1" applyBorder="1" applyAlignment="1">
      <x:alignment vertical="top" wrapText="1"/>
    </x:xf>
    <x:xf numFmtId="0" fontId="28" fillId="57" borderId="52" xfId="0" applyNumberFormat="1" applyFont="1" applyFill="1" applyBorder="1" applyAlignment="1">
      <x:alignment vertical="top" wrapText="1"/>
    </x:xf>
    <x:xf numFmtId="0" fontId="27" fillId="57" xfId="0" applyNumberFormat="1" applyFont="1" applyFill="1" applyBorder="0" applyAlignment="1">
      <x:alignment vertical="top" wrapText="1"/>
    </x:xf>
    <x:xf numFmtId="0" fontId="28" fillId="57" xfId="0" applyNumberFormat="1" applyFont="1" applyFill="1" applyBorder="0" applyAlignment="1">
      <x:alignment vertical="top" wrapText="1"/>
    </x:xf>
    <x:xf numFmtId="0" fontId="27" fillId="58" xfId="0" applyNumberFormat="1" applyFont="1" applyFill="1" applyBorder="0" applyAlignment="1">
      <x:alignment vertical="top" wrapText="1"/>
    </x:xf>
    <x:xf numFmtId="0" fontId="28" fillId="58" xfId="0" applyNumberFormat="1" applyFont="1" applyFill="1" applyBorder="0" applyAlignment="1">
      <x:alignment vertical="top" wrapText="1"/>
    </x:xf>
    <x:xf numFmtId="0" fontId="27" fillId="59" xfId="0" applyNumberFormat="1" applyFont="1" applyFill="1" applyBorder="0" applyAlignment="1">
      <x:alignment vertical="top" wrapText="1"/>
    </x:xf>
    <x:xf numFmtId="0" fontId="28" fillId="59" xfId="0" applyNumberFormat="1" applyFont="1" applyFill="1" applyBorder="0" applyAlignment="1">
      <x:alignment vertical="top" wrapText="1"/>
    </x:xf>
    <x:xf numFmtId="0" fontId="27" fillId="60" borderId="57" xfId="0" applyNumberFormat="1" applyFont="1" applyFill="1" applyBorder="1" applyAlignment="1">
      <x:alignment vertical="top" wrapText="1"/>
    </x:xf>
    <x:xf numFmtId="0" fontId="28" fillId="60" borderId="57" xfId="0" applyNumberFormat="1" applyFont="1" applyFill="1" applyBorder="1" applyAlignment="1">
      <x:alignment vertical="top" wrapText="1"/>
    </x:xf>
    <x:xf numFmtId="0" fontId="0" fillId="61" borderId="0" xfId="0" applyNumberFormat="1" applyFont="1" applyFill="1" applyBorder="1"/>
    <x:xf numFmtId="0" fontId="20" fillId="61" borderId="0" xfId="0" applyNumberFormat="1" applyFont="1" applyFill="1" applyBorder="1"/>
    <x:xf numFmtId="0" fontId="20" fillId="61" borderId="0" xfId="0" applyNumberFormat="1" applyFont="1" applyFill="1" applyBorder="1" applyAlignment="1">
      <x:alignment wrapText="1"/>
    </x:xf>
    <x:xf numFmtId="0" fontId="20" fillId="61" borderId="0" xfId="0" applyNumberFormat="1" applyFont="1" applyFill="1" applyBorder="1" applyAlignment="1">
      <x:alignment vertical="center" wrapText="1"/>
    </x:xf>
    <x:xf numFmtId="0" fontId="27" fillId="42" borderId="52" xfId="0" applyNumberFormat="1" applyFont="1" applyFill="1" applyBorder="1" applyAlignment="1">
      <x:alignment vertical="top" wrapText="1"/>
    </x:xf>
    <x:xf numFmtId="0" fontId="28" fillId="42" borderId="52" xfId="0" applyNumberFormat="1" applyFont="1" applyFill="1" applyBorder="1" applyAlignment="1">
      <x:alignment vertical="top" wrapText="1"/>
    </x:xf>
    <x:xf numFmtId="0" fontId="28" fillId="42" xfId="0" applyNumberFormat="1" applyFont="1" applyFill="1" applyBorder="0" applyAlignment="1">
      <x:alignment vertical="top" wrapText="1"/>
    </x:xf>
    <x:xf numFmtId="0" fontId="28" fillId="41" xfId="0" applyNumberFormat="1" applyFont="1" applyFill="1" applyBorder="0" applyAlignment="1">
      <x:alignment vertical="top" wrapText="1"/>
    </x:xf>
    <x:xf numFmtId="0" fontId="27" fillId="7" xfId="0" applyNumberFormat="1" applyFont="1" applyFill="1" applyBorder="0" applyAlignment="1">
      <x:alignment vertical="top" wrapText="1"/>
    </x:xf>
    <x:xf numFmtId="0" fontId="28" fillId="7" xfId="0" applyNumberFormat="1" applyFont="1" applyFill="1" applyBorder="0" applyAlignment="1">
      <x:alignment vertical="top" wrapText="1"/>
    </x:xf>
    <x:xf numFmtId="0" fontId="27" fillId="9" borderId="57" xfId="0" applyNumberFormat="1" applyFont="1" applyFill="1" applyBorder="1" applyAlignment="1">
      <x:alignment vertical="top" wrapText="1"/>
    </x:xf>
    <x:xf numFmtId="0" fontId="28" fillId="9" borderId="57" xfId="0" applyNumberFormat="1" applyFont="1" applyFill="1" applyBorder="1" applyAlignment="1">
      <x:alignment vertical="top" wrapText="1"/>
    </x:xf>
    <x:xf numFmtId="0" fontId="20" fillId="35" borderId="0" xfId="0" applyNumberFormat="1" applyFont="1" applyFill="1" applyBorder="1" applyAlignment="1">
      <x:alignment wrapText="1"/>
    </x:xf>
    <x:xf numFmtId="0" fontId="0" fillId="62" borderId="0" xfId="0" applyNumberFormat="1" applyFont="1" applyFill="1" applyBorder="1"/>
    <x:xf numFmtId="0" fontId="16" fillId="62" borderId="0" xfId="0" applyNumberFormat="1" applyFont="1" applyFill="1" applyBorder="1"/>
    <x:xf numFmtId="0" fontId="16" fillId="62" borderId="0" xfId="0" applyNumberFormat="1" applyFont="1" applyFill="1" applyBorder="1" applyAlignment="1">
      <x:alignment vertical="center"/>
    </x:xf>
    <x:xf numFmtId="0" fontId="0" fillId="63" borderId="0" xfId="0" applyNumberFormat="1" applyFont="1" applyFill="1" applyBorder="1"/>
    <x:xf numFmtId="0" fontId="22" fillId="63" borderId="0" xfId="0" applyNumberFormat="1" applyFont="1" applyFill="1" applyBorder="1"/>
    <x:xf numFmtId="0" fontId="22" fillId="63" borderId="0" xfId="0" applyNumberFormat="1" applyFont="1" applyFill="1" applyBorder="1" applyAlignment="1">
      <x:alignment wrapText="1"/>
    </x:xf>
    <x:xf numFmtId="0" fontId="22" fillId="63" borderId="0" xfId="0" applyNumberFormat="1" applyFont="1" applyFill="1" applyBorder="1" applyAlignment="1">
      <x:alignment vertical="center" wrapText="1"/>
    </x:xf>
    <x:xf numFmtId="0" fontId="0" fillId="64" borderId="0" xfId="0" applyNumberFormat="1" applyFont="1" applyFill="1" applyBorder="1"/>
    <x:xf numFmtId="0" fontId="20" fillId="64" borderId="0" xfId="0" applyNumberFormat="1" applyFont="1" applyFill="1" applyBorder="1"/>
    <x:xf numFmtId="0" fontId="20" fillId="64" borderId="0" xfId="0" applyNumberFormat="1" applyFont="1" applyFill="1" applyBorder="1" applyAlignment="1">
      <x:alignment wrapText="1"/>
    </x:xf>
    <x:xf numFmtId="0" fontId="20" fillId="64" borderId="0" xfId="0" applyNumberFormat="1" applyFont="1" applyFill="1" applyBorder="1" applyAlignment="1">
      <x:alignment vertical="center" wrapText="1"/>
    </x:xf>
    <x:xf numFmtId="0" fontId="0" fillId="65" borderId="0" xfId="0" applyNumberFormat="1" applyFont="1" applyFill="1" applyBorder="1"/>
    <x:xf numFmtId="0" fontId="26" fillId="65" borderId="0" xfId="0" applyNumberFormat="1" applyFont="1" applyFill="1" applyBorder="1"/>
    <x:xf numFmtId="0" fontId="26" fillId="65" borderId="48" xfId="0" applyNumberFormat="1" applyFont="1" applyFill="1" applyBorder="1"/>
    <x:xf numFmtId="0" fontId="26" fillId="65" borderId="49" xfId="0" applyNumberFormat="1" applyFont="1" applyFill="1" applyBorder="1"/>
    <x:xf numFmtId="0" fontId="26" fillId="65" borderId="50" xfId="0" applyNumberFormat="1" applyFont="1" applyFill="1" applyBorder="1"/>
    <x:xf numFmtId="0" fontId="26" fillId="65" borderId="48" xfId="0" applyNumberFormat="1" applyFont="1" applyFill="1" applyBorder="1" applyAlignment="1">
      <x:alignment wrapText="1"/>
    </x:xf>
    <x:xf numFmtId="0" fontId="26" fillId="65" borderId="49" xfId="0" applyNumberFormat="1" applyFont="1" applyFill="1" applyBorder="1" applyAlignment="1">
      <x:alignment wrapText="1"/>
    </x:xf>
    <x:xf numFmtId="0" fontId="26" fillId="65" borderId="50" xfId="0" applyNumberFormat="1" applyFont="1" applyFill="1" applyBorder="1" applyAlignment="1">
      <x:alignment wrapText="1"/>
    </x:xf>
    <x:xf numFmtId="0" fontId="26" fillId="65" borderId="48" xfId="0" applyNumberFormat="1" applyFont="1" applyFill="1" applyBorder="1" applyAlignment="1">
      <x:alignment horizontal="center" wrapText="1"/>
    </x:xf>
    <x:xf numFmtId="0" fontId="26" fillId="65" borderId="49" xfId="0" applyNumberFormat="1" applyFont="1" applyFill="1" applyBorder="1" applyAlignment="1">
      <x:alignment horizontal="center" wrapText="1"/>
    </x:xf>
    <x:xf numFmtId="0" fontId="26" fillId="65" borderId="50" xfId="0" applyNumberFormat="1" applyFont="1" applyFill="1" applyBorder="1" applyAlignment="1">
      <x:alignment horizontal="center" wrapText="1"/>
    </x:xf>
    <x:xf numFmtId="0" fontId="26" fillId="65" borderId="48" xfId="0" applyNumberFormat="1" applyFont="1" applyFill="1" applyBorder="1" applyAlignment="1">
      <x:alignment horizontal="center" vertical="center" wrapText="1"/>
    </x:xf>
    <x:xf numFmtId="0" fontId="26" fillId="65" borderId="49" xfId="0" applyNumberFormat="1" applyFont="1" applyFill="1" applyBorder="1" applyAlignment="1">
      <x:alignment horizontal="center" vertical="center" wrapText="1"/>
    </x:xf>
    <x:xf numFmtId="0" fontId="26" fillId="65" borderId="50" xfId="0" applyNumberFormat="1" applyFont="1" applyFill="1" applyBorder="1" applyAlignment="1">
      <x:alignment horizontal="center" vertical="center" wrapText="1"/>
    </x:xf>
    <x:xf numFmtId="0" fontId="0" fillId="66" borderId="0" xfId="0" applyNumberFormat="1" applyFont="1" applyFill="1" applyBorder="1"/>
    <x:xf numFmtId="0" fontId="27" fillId="66" borderId="0" xfId="0" applyNumberFormat="1" applyFont="1" applyFill="1" applyBorder="1"/>
    <x:xf numFmtId="0" fontId="27" fillId="66" borderId="51" xfId="0" applyNumberFormat="1" applyFont="1" applyFill="1" applyBorder="1"/>
    <x:xf numFmtId="0" fontId="27" fillId="66" borderId="52" xfId="0" applyNumberFormat="1" applyFont="1" applyFill="1" applyBorder="1"/>
    <x:xf numFmtId="0" fontId="27" fillId="66" borderId="53" xfId="0" applyNumberFormat="1" applyFont="1" applyFill="1" applyBorder="1"/>
    <x:xf numFmtId="0" fontId="27" fillId="66" borderId="54" xfId="0" applyNumberFormat="1" applyFont="1" applyFill="1" applyBorder="1"/>
    <x:xf numFmtId="0" fontId="27" fillId="66" xfId="0" applyNumberFormat="1" applyFont="1" applyFill="1" applyBorder="0"/>
    <x:xf numFmtId="0" fontId="27" fillId="66" borderId="55" xfId="0" applyNumberFormat="1" applyFont="1" applyFill="1" applyBorder="1"/>
    <x:xf numFmtId="0" fontId="27" fillId="66" borderId="56" xfId="0" applyNumberFormat="1" applyFont="1" applyFill="1" applyBorder="1"/>
    <x:xf numFmtId="0" fontId="27" fillId="66" borderId="57" xfId="0" applyNumberFormat="1" applyFont="1" applyFill="1" applyBorder="1"/>
    <x:xf numFmtId="0" fontId="27" fillId="66" borderId="58" xfId="0" applyNumberFormat="1" applyFont="1" applyFill="1" applyBorder="1"/>
    <x:xf numFmtId="0" fontId="27" fillId="66" borderId="51" xfId="0" applyNumberFormat="1" applyFont="1" applyFill="1" applyBorder="1" applyAlignment="1">
      <x:alignment wrapText="1"/>
    </x:xf>
    <x:xf numFmtId="0" fontId="27" fillId="66" borderId="52" xfId="0" applyNumberFormat="1" applyFont="1" applyFill="1" applyBorder="1" applyAlignment="1">
      <x:alignment wrapText="1"/>
    </x:xf>
    <x:xf numFmtId="0" fontId="27" fillId="66" borderId="53" xfId="0" applyNumberFormat="1" applyFont="1" applyFill="1" applyBorder="1" applyAlignment="1">
      <x:alignment wrapText="1"/>
    </x:xf>
    <x:xf numFmtId="0" fontId="27" fillId="66" borderId="54" xfId="0" applyNumberFormat="1" applyFont="1" applyFill="1" applyBorder="1" applyAlignment="1">
      <x:alignment wrapText="1"/>
    </x:xf>
    <x:xf numFmtId="0" fontId="27" fillId="66" xfId="0" applyNumberFormat="1" applyFont="1" applyFill="1" applyBorder="0" applyAlignment="1">
      <x:alignment wrapText="1"/>
    </x:xf>
    <x:xf numFmtId="0" fontId="27" fillId="66" borderId="55" xfId="0" applyNumberFormat="1" applyFont="1" applyFill="1" applyBorder="1" applyAlignment="1">
      <x:alignment wrapText="1"/>
    </x:xf>
    <x:xf numFmtId="0" fontId="27" fillId="66" borderId="56" xfId="0" applyNumberFormat="1" applyFont="1" applyFill="1" applyBorder="1" applyAlignment="1">
      <x:alignment wrapText="1"/>
    </x:xf>
    <x:xf numFmtId="0" fontId="27" fillId="66" borderId="57" xfId="0" applyNumberFormat="1" applyFont="1" applyFill="1" applyBorder="1" applyAlignment="1">
      <x:alignment wrapText="1"/>
    </x:xf>
    <x:xf numFmtId="0" fontId="27" fillId="66" borderId="58" xfId="0" applyNumberFormat="1" applyFont="1" applyFill="1" applyBorder="1" applyAlignment="1">
      <x:alignment wrapText="1"/>
    </x:xf>
    <x:xf numFmtId="0" fontId="27" fillId="66" borderId="51" xfId="0" applyNumberFormat="1" applyFont="1" applyFill="1" applyBorder="1" applyAlignment="1">
      <x:alignment vertical="top" wrapText="1"/>
    </x:xf>
    <x:xf numFmtId="0" fontId="27" fillId="66" borderId="52" xfId="0" applyNumberFormat="1" applyFont="1" applyFill="1" applyBorder="1" applyAlignment="1">
      <x:alignment vertical="top" wrapText="1"/>
    </x:xf>
    <x:xf numFmtId="0" fontId="27" fillId="66" borderId="53" xfId="0" applyNumberFormat="1" applyFont="1" applyFill="1" applyBorder="1" applyAlignment="1">
      <x:alignment vertical="top" wrapText="1"/>
    </x:xf>
    <x:xf numFmtId="0" fontId="27" fillId="66" borderId="54" xfId="0" applyNumberFormat="1" applyFont="1" applyFill="1" applyBorder="1" applyAlignment="1">
      <x:alignment vertical="top" wrapText="1"/>
    </x:xf>
    <x:xf numFmtId="0" fontId="27" fillId="66" xfId="0" applyNumberFormat="1" applyFont="1" applyFill="1" applyBorder="0" applyAlignment="1">
      <x:alignment vertical="top" wrapText="1"/>
    </x:xf>
    <x:xf numFmtId="0" fontId="27" fillId="66" borderId="55" xfId="0" applyNumberFormat="1" applyFont="1" applyFill="1" applyBorder="1" applyAlignment="1">
      <x:alignment vertical="top" wrapText="1"/>
    </x:xf>
    <x:xf numFmtId="0" fontId="27" fillId="66" borderId="56" xfId="0" applyNumberFormat="1" applyFont="1" applyFill="1" applyBorder="1" applyAlignment="1">
      <x:alignment vertical="top" wrapText="1"/>
    </x:xf>
    <x:xf numFmtId="0" fontId="27" fillId="66" borderId="57" xfId="0" applyNumberFormat="1" applyFont="1" applyFill="1" applyBorder="1" applyAlignment="1">
      <x:alignment vertical="top" wrapText="1"/>
    </x:xf>
    <x:xf numFmtId="0" fontId="27" fillId="66" borderId="58" xfId="0" applyNumberFormat="1" applyFont="1" applyFill="1" applyBorder="1" applyAlignment="1">
      <x:alignment vertical="top" wrapText="1"/>
    </x:xf>
    <x:xf numFmtId="0" fontId="27" fillId="63" borderId="53" xfId="0" applyNumberFormat="1" applyFont="1" applyFill="1" applyBorder="1" applyAlignment="1">
      <x:alignment vertical="top" wrapText="1"/>
    </x:xf>
    <x:xf numFmtId="0" fontId="27" fillId="63" borderId="55" xfId="0" applyNumberFormat="1" applyFont="1" applyFill="1" applyBorder="1" applyAlignment="1">
      <x:alignment vertical="top" wrapText="1"/>
    </x:xf>
    <x:xf numFmtId="0" fontId="27" fillId="63" borderId="58" xfId="0" applyNumberFormat="1" applyFont="1" applyFill="1" applyBorder="1" applyAlignment="1">
      <x:alignment vertical="top" wrapText="1"/>
    </x:xf>
    <x:xf numFmtId="0" fontId="27" fillId="67" borderId="52" xfId="0" applyNumberFormat="1" applyFont="1" applyFill="1" applyBorder="1" applyAlignment="1">
      <x:alignment vertical="top" wrapText="1"/>
    </x:xf>
    <x:xf numFmtId="0" fontId="28" fillId="67" borderId="52" xfId="0" applyNumberFormat="1" applyFont="1" applyFill="1" applyBorder="1" applyAlignment="1">
      <x:alignment vertical="top" wrapText="1"/>
    </x:xf>
    <x:xf numFmtId="0" fontId="27" fillId="67" xfId="0" applyNumberFormat="1" applyFont="1" applyFill="1" applyBorder="0" applyAlignment="1">
      <x:alignment vertical="top" wrapText="1"/>
    </x:xf>
    <x:xf numFmtId="0" fontId="28" fillId="67" xfId="0" applyNumberFormat="1" applyFont="1" applyFill="1" applyBorder="0" applyAlignment="1">
      <x:alignment vertical="top" wrapText="1"/>
    </x:xf>
    <x:xf numFmtId="0" fontId="27" fillId="68" xfId="0" applyNumberFormat="1" applyFont="1" applyFill="1" applyBorder="0" applyAlignment="1">
      <x:alignment vertical="top" wrapText="1"/>
    </x:xf>
    <x:xf numFmtId="0" fontId="28" fillId="68" xfId="0" applyNumberFormat="1" applyFont="1" applyFill="1" applyBorder="0" applyAlignment="1">
      <x:alignment vertical="top" wrapText="1"/>
    </x:xf>
    <x:xf numFmtId="0" fontId="27" fillId="69" xfId="0" applyNumberFormat="1" applyFont="1" applyFill="1" applyBorder="0" applyAlignment="1">
      <x:alignment vertical="top" wrapText="1"/>
    </x:xf>
    <x:xf numFmtId="0" fontId="28" fillId="69" xfId="0" applyNumberFormat="1" applyFont="1" applyFill="1" applyBorder="0" applyAlignment="1">
      <x:alignment vertical="top" wrapText="1"/>
    </x:xf>
    <x:xf numFmtId="0" fontId="27" fillId="70" borderId="57" xfId="0" applyNumberFormat="1" applyFont="1" applyFill="1" applyBorder="1" applyAlignment="1">
      <x:alignment vertical="top" wrapText="1"/>
    </x:xf>
    <x:xf numFmtId="0" fontId="28" fillId="70" borderId="57" xfId="0" applyNumberFormat="1" applyFont="1" applyFill="1" applyBorder="1" applyAlignment="1">
      <x:alignment vertical="top" wrapText="1"/>
    </x:xf>
  </x:cellXfs>
  <x:cellStyles count="1">
    <x:cellStyle name="Normal" xfId="0"/>
  </x:cellStyles>
  <x:dxfs count="17">
    <x:dxf>
      <x:font>
        <x:b/>
        <x:sz val="9"/>
        <x:color rgb="FFC0392B"/>
        <x:name val="Arial"/>
      </x:font>
      <x:fill>
        <x:patternFill>
          <x:bgColor rgb="FFFBDDDC"/>
        </x:patternFill>
      </x:fill>
    </x:dxf>
    <x:dxf>
      <x:font>
        <x:b/>
        <x:sz val="9"/>
        <x:color rgb="FF1E7B34"/>
        <x:name val="Arial"/>
      </x:font>
      <x:fill>
        <x:patternFill>
          <x:bgColor rgb="FFE4F2E4"/>
        </x:patternFill>
      </x:fill>
    </x:dxf>
    <x:dxf>
      <x:font>
        <x:b/>
        <x:sz val="9"/>
        <x:color rgb="FFC0392B"/>
        <x:name val="Arial"/>
      </x:font>
      <x:fill>
        <x:patternFill>
          <x:bgColor rgb="FFFBDDDC"/>
        </x:patternFill>
      </x:fill>
    </x:dxf>
    <x:dxf>
      <x:font>
        <x:b/>
        <x:sz val="9"/>
        <x:color rgb="FFC0392B"/>
        <x:name val="Arial"/>
      </x:font>
      <x:fill>
        <x:patternFill>
          <x:bgColor rgb="FFFBDDDC"/>
        </x:patternFill>
      </x:fill>
    </x:dxf>
    <x:dxf>
      <x:font>
        <x:b/>
        <x:sz val="9"/>
        <x:color rgb="FF1E7B34"/>
        <x:name val="Arial"/>
      </x:font>
      <x:fill>
        <x:patternFill>
          <x:bgColor rgb="FFE4F2E4"/>
        </x:patternFill>
      </x:fill>
    </x:dxf>
    <x:dxf>
      <x:fill>
        <x:patternFill>
          <x:bgColor rgb="FFE8EDF5"/>
        </x:patternFill>
      </x:fill>
    </x:dxf>
    <x:dxf>
      <x:fill>
        <x:patternFill>
          <x:bgColor rgb="FFD6E4F7"/>
        </x:patternFill>
      </x:fill>
    </x:dxf>
    <x:dxf>
      <x:font>
        <x:b/>
        <x:sz val="9"/>
        <x:color rgb="FFFFFFFF"/>
        <x:name val="Arial"/>
      </x:font>
      <x:fill>
        <x:patternFill>
          <x:bgColor rgb="FF12294D"/>
        </x:patternFill>
      </x:fill>
    </x:dxf>
    <x:dxf>
      <x:fill>
        <x:patternFill>
          <x:bgColor rgb="FFFBDDDC"/>
        </x:patternFill>
      </x:fill>
    </x:dxf>
    <x:dxf>
      <x:font>
        <x:b/>
      </x:font>
      <x:fill>
        <x:patternFill>
          <x:bgColor rgb="FFC6E0B4"/>
        </x:patternFill>
      </x:fill>
    </x:dxf>
    <x:dxf>
      <x:font>
        <x:b/>
      </x:font>
      <x:fill>
        <x:patternFill>
          <x:bgColor rgb="FFFFF2CC"/>
        </x:patternFill>
      </x:fill>
    </x:dxf>
    <x:dxf>
      <x:font>
        <x:b/>
      </x:font>
      <x:fill>
        <x:patternFill>
          <x:bgColor rgb="FFF4CCCC"/>
        </x:patternFill>
      </x:fill>
    </x:dxf>
    <x:dxf>
      <x:font>
        <x:b/>
        <x:color rgb="FF274E13"/>
      </x:font>
      <x:fill>
        <x:patternFill>
          <x:bgColor rgb="FFD9EAD3"/>
        </x:patternFill>
      </x:fill>
    </x:dxf>
    <x:dxf>
      <x:font>
        <x:b/>
        <x:color rgb="FF7F6000"/>
      </x:font>
      <x:fill>
        <x:patternFill>
          <x:bgColor rgb="FFFFF2CC"/>
        </x:patternFill>
      </x:fill>
    </x:dxf>
    <x:dxf>
      <x:font>
        <x:b/>
        <x:color rgb="FF990000"/>
      </x:font>
      <x:fill>
        <x:patternFill>
          <x:bgColor rgb="FFF4CCCC"/>
        </x:patternFill>
      </x:fill>
    </x:dxf>
    <x:dxf>
      <x:font>
        <x:b/>
        <x:color rgb="FF274E13"/>
      </x:font>
      <x:fill>
        <x:patternFill>
          <x:bgColor rgb="FFD9EAD3"/>
        </x:patternFill>
      </x:fill>
    </x:dxf>
    <x:dxf>
      <x:font>
        <x:b/>
        <x:color rgb="FF990000"/>
      </x:font>
      <x:fill>
        <x:patternFill>
          <x:bgColor rgb="FFF4CCCC"/>
        </x:patternFill>
      </x:fill>
    </x:dxf>
  </x:dxfs>
  <x:colors>
    <x:indexedColors>
      <x:rgbColor rgb="FF000000"/>
      <x:rgbColor rgb="FFFFFFFF"/>
      <x:rgbColor rgb="FFFF0000"/>
      <x:rgbColor rgb="FF00FF00"/>
      <x:rgbColor rgb="FF0000FF"/>
      <x:rgbColor rgb="FFFFFF00"/>
      <x:rgbColor rgb="FFFF00FF"/>
      <x:rgbColor rgb="FF00FFFF"/>
      <x:rgbColor rgb="FF800000"/>
      <x:rgbColor rgb="FF1E7B34"/>
      <x:rgbColor rgb="FF000080"/>
      <x:rgbColor rgb="FFB98600"/>
      <x:rgbColor rgb="FF800080"/>
      <x:rgbColor rgb="FF008080"/>
      <x:rgbColor rgb="FFD6E4F7"/>
      <x:rgbColor rgb="FF808080"/>
      <x:rgbColor rgb="FF9999FF"/>
      <x:rgbColor rgb="FF993366"/>
      <x:rgbColor rgb="FFFFF6DC"/>
      <x:rgbColor rgb="FFE8EDF5"/>
      <x:rgbColor rgb="FF660066"/>
      <x:rgbColor rgb="FFFF8080"/>
      <x:rgbColor rgb="FF0066CC"/>
      <x:rgbColor rgb="FFC9D3E4"/>
      <x:rgbColor rgb="FF000080"/>
      <x:rgbColor rgb="FFFF00FF"/>
      <x:rgbColor rgb="FFFFFF00"/>
      <x:rgbColor rgb="FF00FFFF"/>
      <x:rgbColor rgb="FF800080"/>
      <x:rgbColor rgb="FF800000"/>
      <x:rgbColor rgb="FF008080"/>
      <x:rgbColor rgb="FF0000FF"/>
      <x:rgbColor rgb="FF00CCFF"/>
      <x:rgbColor rgb="FFEEF2F8"/>
      <x:rgbColor rgb="FFE4F2E4"/>
      <x:rgbColor rgb="FFF4F6FA"/>
      <x:rgbColor rgb="FF99CCFF"/>
      <x:rgbColor rgb="FFFF99CC"/>
      <x:rgbColor rgb="FFCC99FF"/>
      <x:rgbColor rgb="FFFBDDDC"/>
      <x:rgbColor rgb="FF3366FF"/>
      <x:rgbColor rgb="FF33CCCC"/>
      <x:rgbColor rgb="FF99CC00"/>
      <x:rgbColor rgb="FFFFC000"/>
      <x:rgbColor rgb="FFFF9900"/>
      <x:rgbColor rgb="FFFF6600"/>
      <x:rgbColor rgb="FF5A6472"/>
      <x:rgbColor rgb="FF969696"/>
      <x:rgbColor rgb="FF12294D"/>
      <x:rgbColor rgb="FF339966"/>
      <x:rgbColor rgb="FF003300"/>
      <x:rgbColor rgb="FF333300"/>
      <x:rgbColor rgb="FFC0392B"/>
      <x:rgbColor rgb="FF993366"/>
      <x:rgbColor rgb="FF1F3A66"/>
      <x:rgbColor rgb="FF1C1C1C"/>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dfec83014134a22" /><Relationship Type="http://schemas.openxmlformats.org/officeDocument/2006/relationships/theme" Target="/xl/theme/theme1.xml" Id="R0a5c6b86b8e24186" /><Relationship Type="http://schemas.openxmlformats.org/officeDocument/2006/relationships/sharedStrings" Target="/xl/sharedStrings.xml" Id="Rbf30a71dd6814910" /><Relationship Type="http://schemas.openxmlformats.org/officeDocument/2006/relationships/worksheet" Target="/xl/worksheets/sheet1.xml" Id="Rffee26f39ca5402d" /><Relationship Type="http://schemas.openxmlformats.org/officeDocument/2006/relationships/worksheet" Target="/xl/worksheets/sheet2.xml" Id="R28624dae9233448b" /><Relationship Type="http://schemas.openxmlformats.org/officeDocument/2006/relationships/worksheet" Target="/xl/worksheets/sheet3.xml" Id="Ra8d69ecace6b4e14" /><Relationship Type="http://schemas.openxmlformats.org/officeDocument/2006/relationships/worksheet" Target="/xl/worksheets/sheet4.xml" Id="R3207ce02bd994258" /><Relationship Type="http://schemas.openxmlformats.org/officeDocument/2006/relationships/worksheet" Target="/xl/worksheets/sheet5.xml" Id="R3e34d419f1c343b3" /><Relationship Type="http://schemas.openxmlformats.org/officeDocument/2006/relationships/worksheet" Target="/xl/worksheets/sheet6.xml" Id="Rfae761c6457f451c"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theme>
</file>

<file path=xl/worksheets/sheet1.xml><?xml version="1.0" encoding="utf-8"?>
<x:worksheet xmlns:x="http://schemas.openxmlformats.org/spreadsheetml/2006/main">
  <x:sheetPr>
    <x:tabColor rgb="FF1F3A66"/>
  </x:sheetPr>
  <x:sheetViews>
    <x:sheetView showGridLines="0" workbookViewId="0"/>
  </x:sheetViews>
  <x:sheetFormatPr defaultColWidth="8.7109375" defaultRowHeight="15"/>
  <x:cols>
    <x:col min="1" max="1" width="10" hidden="0" customWidth="1"/>
    <x:col min="2" max="2" width="25" hidden="0" customWidth="1"/>
    <x:col min="3" max="3" width="55" hidden="0" customWidth="1"/>
    <x:col min="4" max="4" width="12" hidden="0" customWidth="1"/>
    <x:col min="5" max="5" width="35" hidden="0" customWidth="1"/>
    <x:col min="6" max="6" width="45" hidden="0" customWidth="1"/>
    <x:col min="7" max="7" width="20" hidden="0" customWidth="1"/>
  </x:cols>
  <x:sheetData>
    <x:row r="1" ht="30" customHeight="1">
      <x:c r="A1" s="828" t="str">
        <x:v>INTERESADOS DEL PROYECTO HUATA</x:v>
      </x:c>
      <x:c r="B1" s="828"/>
      <x:c r="C1" s="828"/>
      <x:c r="D1" s="828"/>
      <x:c r="E1" s="828"/>
      <x:c r="F1" s="828"/>
      <x:c r="G1" s="828"/>
    </x:row>
    <x:row r="2" ht="18" customHeight="1">
      <x:c r="A2" s="831" t="str">
        <x:v>Actores y grupos relacionados con las Historias de Usuario y actividades EDT del cronograma oficial.</x:v>
      </x:c>
      <x:c r="B2" s="831"/>
      <x:c r="C2" s="831"/>
      <x:c r="D2" s="831"/>
      <x:c r="E2" s="831"/>
      <x:c r="F2" s="831"/>
      <x:c r="G2" s="831"/>
    </x:row>
    <x:row r="3">
      <x:c r="A3"/>
      <x:c r="B3"/>
      <x:c r="C3"/>
      <x:c r="D3"/>
      <x:c r="E3"/>
      <x:c r="F3"/>
    </x:row>
    <x:row r="4" ht="27.75" customHeight="1">
      <x:c r="A4" s="907" t="str">
        <x:v>ID</x:v>
      </x:c>
      <x:c r="B4" s="907" t="str">
        <x:v>Interesado / Rol</x:v>
      </x:c>
      <x:c r="C4" s="907" t="str">
        <x:v>Necesidad principal</x:v>
      </x:c>
      <x:c r="D4" s="907" t="str">
        <x:v>Influencia</x:v>
      </x:c>
      <x:c r="E4" s="907" t="str">
        <x:v>HU relacionadas</x:v>
      </x:c>
      <x:c r="F4" s="907" t="str">
        <x:v>EDT relacionadas</x:v>
      </x:c>
      <x:c r="G4" s="907" t="str">
        <x:v>Periodo principal</x:v>
      </x:c>
    </x:row>
    <x:row r="5" ht="45" customHeight="1">
      <x:c r="A5" s="913" t="str">
        <x:v>INT-01</x:v>
      </x:c>
      <x:c r="B5" s="913" t="str">
        <x:v>Usuario del sistema</x:v>
      </x:c>
      <x:c r="C5" s="913" t="str">
        <x:v>Acceder de forma segura y mantener una sesión utilizable.</x:v>
      </x:c>
      <x:c r="D5" s="913" t="str">
        <x:v>Alta</x:v>
      </x:c>
      <x:c r="E5" s="913" t="str">
        <x:v>HU01–HU03</x:v>
      </x:c>
      <x:c r="F5" s="913" t="str">
        <x:v>3.4.1–3.4.3</x:v>
      </x:c>
      <x:c r="G5" s="913" t="str">
        <x:v>Sprint 3</x:v>
      </x:c>
    </x:row>
    <x:row r="6" ht="45" customHeight="1">
      <x:c r="A6" s="913" t="str">
        <x:v>INT-02</x:v>
      </x:c>
      <x:c r="B6" s="913" t="str">
        <x:v>Administrador</x:v>
      </x:c>
      <x:c r="C6" s="913" t="str">
        <x:v>Gestionar productores, rutas, centros, liquidaciones, reportes, usuarios y dashboard.</x:v>
      </x:c>
      <x:c r="D6" s="913" t="str">
        <x:v>Alta</x:v>
      </x:c>
      <x:c r="E6" s="913" t="str">
        <x:v>HU04–HU08, HU12, HU15, HU19–HU22, HU25</x:v>
      </x:c>
      <x:c r="F6" s="913" t="str">
        <x:v>4.2.1–4.2.5 / 5.2.2 / 5.3.3 / 6.2.1–6.2.4 / 8.5.2</x:v>
      </x:c>
      <x:c r="G6" s="913" t="str">
        <x:v>Sprint 4–6 / 8</x:v>
      </x:c>
    </x:row>
    <x:row r="7" ht="45" customHeight="1">
      <x:c r="A7" s="913" t="str">
        <x:v>INT-03</x:v>
      </x:c>
      <x:c r="B7" s="913" t="str">
        <x:v>Acopiador</x:v>
      </x:c>
      <x:c r="C7" s="913" t="str">
        <x:v>Consultar su ruta, registrar recojos y calidad, operar offline, recibir notificaciones y consultar historial.</x:v>
      </x:c>
      <x:c r="D7" s="913" t="str">
        <x:v>Alta</x:v>
      </x:c>
      <x:c r="E7" s="913" t="str">
        <x:v>HU09–HU11, HU13–HU18, HU23–HU24, HU26</x:v>
      </x:c>
      <x:c r="F7" s="913" t="str">
        <x:v>4.2.6–4.2.7 / 5.2.1 / 5.3.1–5.3.6 / 6.2.5–6.2.6 / 8.5.3</x:v>
      </x:c>
      <x:c r="G7" s="913" t="str">
        <x:v>Sprint 4–6 / 8</x:v>
      </x:c>
    </x:row>
    <x:row r="8" ht="45" customHeight="1">
      <x:c r="A8" s="913" t="str">
        <x:v>INT-04</x:v>
      </x:c>
      <x:c r="B8" s="913" t="str">
        <x:v>Productor de leche</x:v>
      </x:c>
      <x:c r="C8" s="913" t="str">
        <x:v>Que sus recojos y liquidaciones queden registrados y puedan ser consultados por la operación.</x:v>
      </x:c>
      <x:c r="D8" s="913" t="str">
        <x:v>Media</x:v>
      </x:c>
      <x:c r="E8" s="913" t="str">
        <x:v>Relacionado con HU04, HU11–HU15</x:v>
      </x:c>
      <x:c r="F8" s="913" t="str">
        <x:v>4.2.1 / 5.2.1–5.3.3</x:v>
      </x:c>
      <x:c r="G8" s="913" t="str">
        <x:v>Sprint 4–5</x:v>
      </x:c>
    </x:row>
    <x:row r="9" ht="45" customHeight="1">
      <x:c r="A9" s="913" t="str">
        <x:v>INT-05</x:v>
      </x:c>
      <x:c r="B9" s="913" t="str">
        <x:v>Cliente / Patrocinador</x:v>
      </x:c>
      <x:c r="C9" s="913" t="str">
        <x:v>Validar requerimientos, prototipos, entregables y conformidad final.</x:v>
      </x:c>
      <x:c r="D9" s="913" t="str">
        <x:v>Alta</x:v>
      </x:c>
      <x:c r="E9" s="913" t="str">
        <x:v>Validación del proyecto</x:v>
      </x:c>
      <x:c r="F9" s="913" t="str">
        <x:v>2.1.2–2.1.4 / 2.2.6 / 9.1.2–9.1.3</x:v>
      </x:c>
      <x:c r="G9" s="913" t="str">
        <x:v>Sprint 2 / Cierre</x:v>
      </x:c>
    </x:row>
    <x:row r="10" ht="45" customHeight="1">
      <x:c r="A10" s="913" t="str">
        <x:v>INT-06</x:v>
      </x:c>
      <x:c r="B10" s="913" t="str">
        <x:v>Equipo de desarrollo</x:v>
      </x:c>
      <x:c r="C10" s="913" t="str">
        <x:v>Diseñar, desarrollar, probar, desplegar y documentar la solución web, móvil y backend.</x:v>
      </x:c>
      <x:c r="D10" s="913" t="str">
        <x:v>Alta</x:v>
      </x:c>
      <x:c r="E10" s="913" t="str">
        <x:v>Ejecución técnica del cronograma</x:v>
      </x:c>
      <x:c r="F10" s="913" t="str">
        <x:v>3.3.1–8.4.1 / 7.3.1–7.3.2 / 9.2.1</x:v>
      </x:c>
      <x:c r="G10" s="913" t="str">
        <x:v>Sprint 3–8 / Cierre</x:v>
      </x:c>
    </x:row>
    <x:row r="11" ht="45" customHeight="1">
      <x:c r="A11" s="914" t="str">
        <x:v>INT-07</x:v>
      </x:c>
      <x:c r="B11" s="914" t="str">
        <x:v>Usuarios finales</x:v>
      </x:c>
      <x:c r="C11" s="914" t="str">
        <x:v>Contar con capacitación y soporte inicial después del despliegue.</x:v>
      </x:c>
      <x:c r="D11" s="914" t="str">
        <x:v>Media</x:v>
      </x:c>
      <x:c r="E11" s="914" t="str">
        <x:v>HU25–HU27</x:v>
      </x:c>
      <x:c r="F11" s="914" t="str">
        <x:v>8.5.2–8.5.4</x:v>
      </x:c>
      <x:c r="G11" s="914" t="str">
        <x:v>Sprint 8</x:v>
      </x:c>
    </x:row>
    <x:row r="12" ht="25.5" customHeight="1">
      <x:c r="A12"/>
      <x:c r="B12"/>
      <x:c r="C12"/>
      <x:c r="D12"/>
      <x:c r="E12"/>
    </x:row>
    <x:row r="13" ht="25.5" customHeight="1">
      <x:c r="A13"/>
      <x:c r="B13"/>
      <x:c r="C13"/>
      <x:c r="D13"/>
      <x:c r="E13"/>
    </x:row>
    <x:row r="14" ht="25.5" customHeight="1">
      <x:c r="A14"/>
      <x:c r="B14"/>
      <x:c r="C14"/>
      <x:c r="D14"/>
      <x:c r="E14"/>
    </x:row>
    <x:row r="15" ht="25.5" customHeight="1">
      <x:c r="A15"/>
      <x:c r="B15"/>
      <x:c r="C15"/>
      <x:c r="D15"/>
      <x:c r="E15"/>
    </x:row>
    <x:row r="16" ht="25.5" customHeight="1">
      <x:c r="A16"/>
      <x:c r="B16"/>
      <x:c r="C16"/>
      <x:c r="D16"/>
      <x:c r="E16"/>
    </x:row>
    <x:row r="17" ht="25.5" customHeight="1">
      <x:c r="A17"/>
      <x:c r="B17"/>
      <x:c r="C17"/>
      <x:c r="D17"/>
      <x:c r="E17"/>
    </x:row>
    <x:row r="18" ht="25.5" customHeight="1">
      <x:c r="A18"/>
      <x:c r="B18"/>
      <x:c r="C18"/>
      <x:c r="D18"/>
      <x:c r="E18"/>
    </x:row>
    <x:row r="19" ht="25.5" customHeight="1">
      <x:c r="A19"/>
      <x:c r="B19"/>
      <x:c r="C19"/>
      <x:c r="D19"/>
      <x:c r="E19"/>
    </x:row>
  </x:sheetData>
  <x:mergeCells>
    <x:mergeCell ref="A1:G1"/>
    <x:mergeCell ref="A2:G2"/>
  </x:mergeCells>
  <x:pageMargins left="0.7" right="0.7" top="0.75" bottom="0.75" header="0.3" footer="0.3"/>
</x:worksheet>
</file>

<file path=xl/worksheets/sheet2.xml><?xml version="1.0" encoding="utf-8"?>
<x:worksheet xmlns:x="http://schemas.openxmlformats.org/spreadsheetml/2006/main">
  <x:sheetPr>
    <x:tabColor rgb="FF1F3A66"/>
  </x:sheetPr>
  <x:sheetViews>
    <x:sheetView showGridLines="0" workbookViewId="0"/>
  </x:sheetViews>
  <x:sheetFormatPr defaultColWidth="8.7109375" defaultRowHeight="15"/>
  <x:cols>
    <x:col min="1" max="1" width="9" hidden="0" customWidth="1"/>
    <x:col min="2" max="2" width="31" hidden="0" customWidth="1"/>
    <x:col min="3" max="3" width="20" hidden="0" customWidth="1"/>
    <x:col min="4" max="4" width="58" hidden="0" customWidth="1"/>
    <x:col min="5" max="5" width="48" hidden="0" customWidth="1"/>
    <x:col min="6" max="6" width="54" hidden="0" customWidth="1"/>
    <x:col min="7" max="7" width="38" hidden="0" customWidth="1"/>
    <x:col min="8" max="8" width="40" hidden="0" customWidth="1"/>
    <x:col min="9" max="9" width="33" hidden="0" customWidth="1"/>
    <x:col min="10" max="10" width="22" hidden="0" customWidth="1"/>
    <x:col min="11" max="11" width="46" hidden="0" customWidth="1"/>
    <x:col min="12" max="12" width="52" hidden="0" customWidth="1"/>
  </x:cols>
  <x:sheetData>
    <x:row r="1" ht="26" customHeight="1">
      <x:c r="A1" s="1090" t="str">
        <x:v>REGLAS DE NEGOCIO OPERATIVAS · HUATA LÁCTEOS</x:v>
      </x:c>
      <x:c r="B1" s="1090"/>
      <x:c r="C1" s="1090"/>
      <x:c r="D1" s="1090"/>
      <x:c r="E1" s="1090"/>
      <x:c r="F1" s="1090"/>
      <x:c r="G1" s="1090"/>
      <x:c r="H1" s="1090"/>
      <x:c r="I1" s="1090"/>
      <x:c r="J1" s="1090"/>
      <x:c r="K1" s="1090"/>
      <x:c r="L1" s="1090"/>
    </x:row>
    <x:row r="2" ht="36" customHeight="1">
      <x:c r="A2" s="1094" t="str">
        <x:v>Reglas escritas con palabras sencillas para entender claramente cómo se paga, cómo se revisa la calidad, cómo se detecta posible agua añadida, cómo se usan las máquinas y cómo se controla el transporte.</x:v>
      </x:c>
      <x:c r="B2" s="1094"/>
      <x:c r="C2" s="1094"/>
      <x:c r="D2" s="1094"/>
      <x:c r="E2" s="1094"/>
      <x:c r="F2" s="1094"/>
      <x:c r="G2" s="1094"/>
      <x:c r="H2" s="1094"/>
      <x:c r="I2" s="1094"/>
      <x:c r="J2" s="1094"/>
      <x:c r="K2" s="1094"/>
      <x:c r="L2" s="1094"/>
    </x:row>
    <x:row r="3" ht="34" customHeight="1">
      <x:c r="A3" s="1098" t="str">
        <x:v>Cuando aparece un término técnico, se explica en palabras simples. Ejemplo: crioscopio = máquina que mide el punto de congelación; calibrar = revisar que una máquina esté midiendo correctamente.</x:v>
      </x:c>
      <x:c r="B3" s="1098"/>
      <x:c r="C3" s="1098"/>
      <x:c r="D3" s="1098"/>
      <x:c r="E3" s="1098"/>
      <x:c r="F3" s="1098"/>
      <x:c r="G3" s="1098"/>
      <x:c r="H3" s="1098"/>
      <x:c r="I3" s="1098"/>
      <x:c r="J3" s="1098"/>
      <x:c r="K3" s="1098"/>
      <x:c r="L3" s="1098"/>
    </x:row>
    <x:row r="4" ht="36" customHeight="1">
      <x:c r="A4" s="1110" t="str">
        <x:v>ID</x:v>
      </x:c>
      <x:c r="B4" s="1111" t="str">
        <x:v>Regla de negocio</x:v>
      </x:c>
      <x:c r="C4" s="1111" t="str">
        <x:v>Tema</x:v>
      </x:c>
      <x:c r="D4" s="1111" t="str">
        <x:v>Regla en palabras sencillas</x:v>
      </x:c>
      <x:c r="E4" s="1111" t="str">
        <x:v>Valor o dato importante</x:v>
      </x:c>
      <x:c r="F4" s="1111" t="str">
        <x:v>Qué debe hacer el sistema</x:v>
      </x:c>
      <x:c r="G4" s="1111" t="str">
        <x:v>Máquina / medio relacionado</x:v>
      </x:c>
      <x:c r="H4" s="1111" t="str">
        <x:v>De dónde sale la regla</x:v>
      </x:c>
      <x:c r="I4" s="1111" t="str">
        <x:v>Requisitos / HU</x:v>
      </x:c>
      <x:c r="J4" s="1111" t="str">
        <x:v>Estado del dato</x:v>
      </x:c>
      <x:c r="K4" s="1111" t="str">
        <x:v>Fuente web</x:v>
      </x:c>
      <x:c r="L4" s="1112" t="str">
        <x:v>Qué significa / ejemplo</x:v>
      </x:c>
    </x:row>
    <x:row r="5" ht="78" customHeight="1">
      <x:c r="A5" s="1133" t="str">
        <x:v>RN-01</x:v>
      </x:c>
      <x:c r="B5" s="1134" t="str">
        <x:v>Pago por leche de buena calidad</x:v>
      </x:c>
      <x:c r="C5" s="1134" t="str">
        <x:v>Precio y pago</x:v>
      </x:c>
      <x:c r="D5" s="1134" t="str">
        <x:v>Si la leche es aceptada como de buena calidad, el sistema deberá calcular el pago usando el precio normal definido por Huata.</x:v>
      </x:c>
      <x:c r="E5" s="1134" t="str">
        <x:v>S/ 1.75 por litro. Este valor debe poder cambiarse si Administración modifica el precio.</x:v>
      </x:c>
      <x:c r="F5" s="1134" t="str">
        <x:v>Calcular: litros aceptados × precio por litro y guardar qué precio se utilizó.</x:v>
      </x:c>
      <x:c r="G5" s="1134" t="str">
        <x:v>Módulo de pagos</x:v>
      </x:c>
      <x:c r="H5" s="1134" t="str">
        <x:v>Dato operativo de Huata / pendiente de confirmación documental</x:v>
      </x:c>
      <x:c r="I5" s="1134" t="str">
        <x:v>RF-14 / HU14</x:v>
      </x:c>
      <x:c r="J5" s="1146" t="str">
        <x:v>POR CONFIRMAR HUATA</x:v>
      </x:c>
      <x:c r="K5" s="1134" t="str"/>
      <x:c r="L5" s="1142" t="str">
        <x:v>Ejemplo: si entrega 100 litros de buena calidad y el precio es S/ 1.75, el pago sería S/ 175.00.</x:v>
      </x:c>
    </x:row>
    <x:row r="6" ht="78" customHeight="1">
      <x:c r="A6" s="1136" t="str">
        <x:v>RN-02</x:v>
      </x:c>
      <x:c r="B6" s="1137" t="str">
        <x:v>Pago por leche con problemas de calidad</x:v>
      </x:c>
      <x:c r="C6" s="1137" t="str">
        <x:v>Precio y pago</x:v>
      </x:c>
      <x:c r="D6" s="1137" t="str">
        <x:v>Si la leche presenta problemas de calidad o existe sospecha de agua añadida, el sistema deberá aplicar el precio especial definido por Huata y dejar registrado el motivo.</x:v>
      </x:c>
      <x:c r="E6" s="1137" t="str">
        <x:v>S/ 1.30 por litro. Debe confirmarse con Administración en qué casos exactos se aplica.</x:v>
      </x:c>
      <x:c r="F6" s="1137" t="str">
        <x:v>Aplicar el precio especial solo después de registrar el resultado del control de calidad.</x:v>
      </x:c>
      <x:c r="G6" s="1137" t="str">
        <x:v>Módulo de calidad y pagos</x:v>
      </x:c>
      <x:c r="H6" s="1137" t="str">
        <x:v>Dato operativo de Huata / pendiente de confirmación documental</x:v>
      </x:c>
      <x:c r="I6" s="1137" t="str">
        <x:v>RF-13, RF-14 / HU13, HU14</x:v>
      </x:c>
      <x:c r="J6" s="1148" t="str">
        <x:v>POR CONFIRMAR HUATA</x:v>
      </x:c>
      <x:c r="K6" s="1137" t="str"/>
      <x:c r="L6" s="1143" t="str">
        <x:v>Ejemplo: la leche sale observada en el análisis; el sistema guarda el motivo y usa el precio especial definido por la empresa.</x:v>
      </x:c>
    </x:row>
    <x:row r="7" ht="78" customHeight="1">
      <x:c r="A7" s="1136" t="str">
        <x:v>RN-03</x:v>
      </x:c>
      <x:c r="B7" s="1137" t="str">
        <x:v>Revisión de densidad de la leche</x:v>
      </x:c>
      <x:c r="C7" s="1137" t="str">
        <x:v>Calidad</x:v>
      </x:c>
      <x:c r="D7" s="1137" t="str">
        <x:v>El sistema deberá guardar la densidad de la leche, es decir, qué tan pesada es la leche para su volumen. Si el valor sale fuera del rango normal, la leche quedará como OBSERVADA, pero eso no significa automáticamente que tenga agua.</x:v>
      </x:c>
      <x:c r="E7" s="1137" t="str">
        <x:v>Rango de referencia: 1.0296 a 1.0340 g/mL a 15 °C.</x:v>
      </x:c>
      <x:c r="F7" s="1137" t="str">
        <x:v>Si está fuera del rango, mostrar una alerta y pedir una revisión adicional antes de decidir si existe adulteración.</x:v>
      </x:c>
      <x:c r="G7" s="1137" t="str">
        <x:v>Medidor de densidad (lactodensímetro) o analizador de leche</x:v>
      </x:c>
      <x:c r="H7" s="1137" t="str">
        <x:v>NTP 202.001:2016 / referencia técnica publicada</x:v>
      </x:c>
      <x:c r="I7" s="1137" t="str">
        <x:v>RF-13 / HU13</x:v>
      </x:c>
      <x:c r="J7" s="1150" t="str">
        <x:v>TÉCNICO-NORMATIVO</x:v>
      </x:c>
      <x:c r="K7" s="1137" t="str">
        <x:v>https://repositorio.esan.edu.pe/server/api/core/bitstreams/ce9d5a4d-026d-4b84-902a-4c17b60e62d5/content</x:v>
      </x:c>
      <x:c r="L7" s="1143" t="str">
        <x:v>Densidad = qué tan pesada es la leche para su volumen. Un valor raro puede indicar un problema, pero se necesita otra prueba para confirmar agua añadida.</x:v>
      </x:c>
    </x:row>
    <x:row r="8" ht="78" customHeight="1">
      <x:c r="A8" s="1136" t="str">
        <x:v>RN-04</x:v>
      </x:c>
      <x:c r="B8" s="1137" t="str">
        <x:v>Prueba para detectar agua añadida</x:v>
      </x:c>
      <x:c r="C8" s="1137" t="str">
        <x:v>Calidad y adulteración</x:v>
      </x:c>
      <x:c r="D8" s="1137" t="str">
        <x:v>Cuando exista sospecha de agua añadida, el sistema deberá permitir registrar el punto de congelación de la leche. Esta prueba ayuda a confirmar si la leche fue mezclada con agua.</x:v>
      </x:c>
      <x:c r="E8" s="1137" t="str">
        <x:v>Referencia: alrededor de -0.540 °C. Si el resultado se acerca demasiado a 0 °C, puede existir agua añadida y debe revisarse.</x:v>
      </x:c>
      <x:c r="F8" s="1137" t="str">
        <x:v>Guardar el resultado de la prueba, la fecha, quién la realizó y la evidencia del análisis.</x:v>
      </x:c>
      <x:c r="G8" s="1137" t="str">
        <x:v>Crioscopio (equipo que mide el punto de congelación)</x:v>
      </x:c>
      <x:c r="H8" s="1137" t="str">
        <x:v>NTP 202.001:2016 + FAO milk testing</x:v>
      </x:c>
      <x:c r="I8" s="1137" t="str">
        <x:v>RF-13, RF-18 / HU13, HU18</x:v>
      </x:c>
      <x:c r="J8" s="1150" t="str">
        <x:v>TÉCNICO-NORMATIVO</x:v>
      </x:c>
      <x:c r="K8" s="1137" t="str">
        <x:v>https://www.fao.org/4/i0980e/i0980e00.pdf</x:v>
      </x:c>
      <x:c r="L8" s="1143" t="str">
        <x:v>Punto de congelación = temperatura a la que la leche comienza a congelarse. Si se agrega agua, ese valor cambia y se acerca a 0 °C.</x:v>
      </x:c>
    </x:row>
    <x:row r="9" ht="78" customHeight="1">
      <x:c r="A9" s="1136" t="str">
        <x:v>RN-05</x:v>
      </x:c>
      <x:c r="B9" s="1137" t="str">
        <x:v>Confirmación de leche con posible agua añadida</x:v>
      </x:c>
      <x:c r="C9" s="1137" t="str">
        <x:v>Calidad y adulteración</x:v>
      </x:c>
      <x:c r="D9" s="1137" t="str">
        <x:v>No se deberá decir que una leche tiene agua añadida solo porque la densidad salió baja o alta. La decisión deberá considerar también la prueba del punto de congelación y los demás resultados disponibles.</x:v>
      </x:c>
      <x:c r="E9" s="1137" t="str">
        <x:v>Revisión recomendada: densidad + punto de congelación; también pueden revisarse acidez, grasa y sólidos si el equipo los mide.</x:v>
      </x:c>
      <x:c r="F9" s="1137" t="str">
        <x:v>Si los resultados no coinciden, mantener la leche como OBSERVADA hasta que el responsable de calidad la revise.</x:v>
      </x:c>
      <x:c r="G9" s="1137" t="str">
        <x:v>Crioscopio + medidor de densidad o analizador de leche</x:v>
      </x:c>
      <x:c r="H9" s="1137" t="str">
        <x:v>FAO: el punto de congelación es una prueba más confiable para detectar agua añadida</x:v>
      </x:c>
      <x:c r="I9" s="1137" t="str">
        <x:v>RF-13, RF-18 / HU13, HU18</x:v>
      </x:c>
      <x:c r="J9" s="1150" t="str">
        <x:v>TÉCNICO-NORMATIVO</x:v>
      </x:c>
      <x:c r="K9" s="1137" t="str">
        <x:v>https://www.fao.org/4/i0980e/i0980e00.pdf</x:v>
      </x:c>
      <x:c r="L9" s="1143" t="str">
        <x:v>En palabras simples: primero se sospecha con varios datos; recién después de revisar las pruebas se confirma si hubo agua añadida.</x:v>
      </x:c>
    </x:row>
    <x:row r="10" ht="78" customHeight="1">
      <x:c r="A10" s="1136" t="str">
        <x:v>RN-06</x:v>
      </x:c>
      <x:c r="B10" s="1137" t="str">
        <x:v>Valores básicos de calidad de la leche</x:v>
      </x:c>
      <x:c r="C10" s="1137" t="str">
        <x:v>Calidad</x:v>
      </x:c>
      <x:c r="D10" s="1137" t="str">
        <x:v>El sistema deberá guardar los principales resultados del análisis de leche y mostrar si cada valor está dentro o fuera del rango esperado.</x:v>
      </x:c>
      <x:c r="E10" s="1137" t="str">
        <x:v>Referencias: grasa ≥ 3.2%; sólidos no grasos ≥ 8.2%; sólidos totales ≥ 11.4%; acidez 0.13–0.17%; densidad 1.0296–1.0340 g/mL a 15 °C.</x:v>
      </x:c>
      <x:c r="F10" s="1137" t="str">
        <x:v>Mostrar cada resultado como DENTRO DEL RANGO o FUERA DEL RANGO y guardar el valor medido.</x:v>
      </x:c>
      <x:c r="G10" s="1137" t="str">
        <x:v>Analizador de leche y equipos de laboratorio disponibles</x:v>
      </x:c>
      <x:c r="H10" s="1137" t="str">
        <x:v>NTP 202.001:2016 / referencia técnica publicada</x:v>
      </x:c>
      <x:c r="I10" s="1137" t="str">
        <x:v>RF-13 / HU13</x:v>
      </x:c>
      <x:c r="J10" s="1150" t="str">
        <x:v>TÉCNICO-NORMATIVO</x:v>
      </x:c>
      <x:c r="K10" s="1137" t="str">
        <x:v>https://repositorio.esan.edu.pe/server/api/core/bitstreams/ce9d5a4d-026d-4b84-902a-4c17b60e62d5/content</x:v>
      </x:c>
      <x:c r="L10" s="1143" t="str">
        <x:v>Estos valores ayudan a saber si la leche mantiene una composición normal y si necesita una revisión adicional.</x:v>
      </x:c>
    </x:row>
    <x:row r="11" ht="78" customHeight="1">
      <x:c r="A11" s="1136" t="str">
        <x:v>RN-07</x:v>
      </x:c>
      <x:c r="B11" s="1137" t="str">
        <x:v>Revisión rápida de la leche al recibirla</x:v>
      </x:c>
      <x:c r="C11" s="1137" t="str">
        <x:v>Recepción y calidad</x:v>
      </x:c>
      <x:c r="D11" s="1137" t="str">
        <x:v>Antes de usar los equipos, el encargado deberá revisar la leche a simple vista y por su olor: color, olor, aspecto, consistencia y presencia de grumos o suciedad.</x:v>
      </x:c>
      <x:c r="E11" s="1137" t="str">
        <x:v>La leche no debería presentar olor agrio, color extraño, grumos, suciedad ni una apariencia fuera de lo normal.</x:v>
      </x:c>
      <x:c r="F11" s="1137" t="str">
        <x:v>Registrar como APTO u OBSERVADO y escribir claramente qué se encontró.</x:v>
      </x:c>
      <x:c r="G11" s="1137" t="str">
        <x:v>Revisión visual y de olor; no requiere una máquina especial</x:v>
      </x:c>
      <x:c r="H11" s="1137" t="str">
        <x:v>NTP 202.001 + FAO milk quality screening</x:v>
      </x:c>
      <x:c r="I11" s="1137" t="str">
        <x:v>RF-11, RF-13 / HU11, HU13</x:v>
      </x:c>
      <x:c r="J11" s="1150" t="str">
        <x:v>TÉCNICO-NORMATIVO</x:v>
      </x:c>
      <x:c r="K11" s="1137" t="str">
        <x:v>https://repositorio.esan.edu.pe/server/api/core/bitstreams/ce9d5a4d-026d-4b84-902a-4c17b60e62d5/content</x:v>
      </x:c>
      <x:c r="L11" s="1143" t="str">
        <x:v>Ejemplo de observación: “Leche con olor agrio y presencia de grumos.”</x:v>
      </x:c>
    </x:row>
    <x:row r="12" ht="78" customHeight="1">
      <x:c r="A12" s="1136" t="str">
        <x:v>RN-08</x:v>
      </x:c>
      <x:c r="B12" s="1137" t="str">
        <x:v>Guardar foto o comprobante del análisis</x:v>
      </x:c>
      <x:c r="C12" s="1137" t="str">
        <x:v>Evidencia del análisis</x:v>
      </x:c>
      <x:c r="D12" s="1137" t="str">
        <x:v>Si un análisis provoca una observación, cambio de precio o decisión por posible agua añadida, el sistema deberá guardar una foto o archivo del resultado.</x:v>
      </x:c>
      <x:c r="E12" s="1137" t="str">
        <x:v>Foto del comprobante, pantalla o voucher del analizador asociada al recojo y al proveedor.</x:v>
      </x:c>
      <x:c r="F12" s="1137" t="str">
        <x:v>No permitir marcar un caso como adulteración confirmada sin una evidencia del análisis o autorización del responsable de calidad.</x:v>
      </x:c>
      <x:c r="G12" s="1137" t="str">
        <x:v>Analizador de leche + cámara del celular o archivo adjunto</x:v>
      </x:c>
      <x:c r="H12" s="1137" t="str">
        <x:v>Necesidad operativa expresada en el proyecto Huata</x:v>
      </x:c>
      <x:c r="I12" s="1137" t="str">
        <x:v>RF-18 / HU18</x:v>
      </x:c>
      <x:c r="J12" s="1152" t="str">
        <x:v>HUATA CONFIRMADO</x:v>
      </x:c>
      <x:c r="K12" s="1137" t="str"/>
      <x:c r="L12" s="1143" t="str">
        <x:v>Ejemplo: tomar una foto al ticket que imprime la máquina y guardarla dentro del registro de ese proveedor.</x:v>
      </x:c>
    </x:row>
    <x:row r="13" ht="78" customHeight="1">
      <x:c r="A13" s="1136" t="str">
        <x:v>RN-09</x:v>
      </x:c>
      <x:c r="B13" s="1137" t="str">
        <x:v>Registrar qué máquina hizo el análisis</x:v>
      </x:c>
      <x:c r="C13" s="1137" t="str">
        <x:v>Equipos</x:v>
      </x:c>
      <x:c r="D13" s="1137" t="str">
        <x:v>Cada resultado de calidad deberá indicar con qué máquina o equipo se hizo el análisis.</x:v>
      </x:c>
      <x:c r="E13" s="1137" t="str">
        <x:v>Guardar: tipo de equipo, código o número de serie si existe, fecha, persona que realizó el análisis y estado de revisión del equipo.</x:v>
      </x:c>
      <x:c r="F13" s="1137" t="str">
        <x:v>Si no se sabe qué equipo se usó o si está revisado, marcar el resultado como “EQUIPO POR VERIFICAR”.</x:v>
      </x:c>
      <x:c r="G13" s="1137" t="str">
        <x:v>Crioscopio, medidor de densidad, analizador de leche, termómetro u otro equipo disponible</x:v>
      </x:c>
      <x:c r="H13" s="1137" t="str">
        <x:v>Regla operativa propuesta para Huata; falta confirmar los equipos reales</x:v>
      </x:c>
      <x:c r="I13" s="1137" t="str">
        <x:v>RF-13, RNF-09 / HU13</x:v>
      </x:c>
      <x:c r="J13" s="1148" t="str">
        <x:v>POR CONFIRMAR EQUIPOS</x:v>
      </x:c>
      <x:c r="K13" s="1137" t="str"/>
      <x:c r="L13" s="1143" t="str">
        <x:v>La idea es saber de qué máquina salió cada resultado, por si después hay que revisar si el equipo estaba funcionando correctamente.</x:v>
      </x:c>
    </x:row>
    <x:row r="14" ht="78" customHeight="1">
      <x:c r="A14" s="1136" t="str">
        <x:v>RN-10</x:v>
      </x:c>
      <x:c r="B14" s="1137" t="str">
        <x:v>Revisión y mantenimiento de las máquinas</x:v>
      </x:c>
      <x:c r="C14" s="1137" t="str">
        <x:v>Equipos y mantenimiento</x:v>
      </x:c>
      <x:c r="D14" s="1137" t="str">
        <x:v>Las máquinas que se usan para decidir la calidad o el pago de la leche deberán revisarse periódicamente para comprobar que siguen midiendo correctamente.</x:v>
      </x:c>
      <x:c r="E14" s="1137" t="str">
        <x:v>Guardar fecha de última revisión, próxima revisión y mantenimiento realizado.</x:v>
      </x:c>
      <x:c r="F14" s="1137" t="str">
        <x:v>Si una máquina tiene su revisión vencida, mostrar una alerta y marcar sus resultados como “REQUIERE REVISIÓN”.</x:v>
      </x:c>
      <x:c r="G14" s="1137" t="str">
        <x:v>Equipos utilizados para analizar la leche</x:v>
      </x:c>
      <x:c r="H14" s="1137" t="str">
        <x:v>Buena práctica de control de equipos; procedimiento interno por definir</x:v>
      </x:c>
      <x:c r="I14" s="1137" t="str">
        <x:v>RNF-09 / mantenimiento</x:v>
      </x:c>
      <x:c r="J14" s="1148" t="str">
        <x:v>POR DEFINIR HUATA</x:v>
      </x:c>
      <x:c r="K14" s="1137" t="str"/>
      <x:c r="L14" s="1143" t="str">
        <x:v>Calibrar o verificar = comprobar que la máquina está midiendo bien y no está dando resultados equivocados.</x:v>
      </x:c>
    </x:row>
    <x:row r="15" ht="78" customHeight="1">
      <x:c r="A15" s="1136" t="str">
        <x:v>RN-11</x:v>
      </x:c>
      <x:c r="B15" s="1137" t="str">
        <x:v>Limpieza de recipientes y vehículo de recojo</x:v>
      </x:c>
      <x:c r="C15" s="1137" t="str">
        <x:v>Transporte y limpieza</x:v>
      </x:c>
      <x:c r="D15" s="1137" t="str">
        <x:v>Antes de recoger o transportar leche, el vehículo, tanque, bidones, latas, válvulas y demás superficies que tocan la leche deberán estar limpios y desinfectados.</x:v>
      </x:c>
      <x:c r="E15" s="1137" t="str">
        <x:v>Usar una lista de verificación de limpieza antes de comenzar la ruta.</x:v>
      </x:c>
      <x:c r="F15" s="1137" t="str">
        <x:v>No marcar la ruta como lista si falta completar la revisión de limpieza.</x:v>
      </x:c>
      <x:c r="G15" s="1137" t="str">
        <x:v>Vehículo de acopio + tanque, bidones o recipientes</x:v>
      </x:c>
      <x:c r="H15" s="1137" t="str">
        <x:v>Codex CXC 57-2004</x:v>
      </x:c>
      <x:c r="I15" s="1137" t="str">
        <x:v>RF-10, RF-11 / HU10, HU11</x:v>
      </x:c>
      <x:c r="J15" s="1150" t="str">
        <x:v>BUENA PRÁCTICA</x:v>
      </x:c>
      <x:c r="K15" s="1137" t="str">
        <x:v>https://www.fao.org/fao-who-codexalimentarius/sh-proxy/pl/?lnk=1&amp;url=https%253A%252F%252Fworkspace.fao.org%252Fsites%252Fcodex%252FStandards%252FCXC%2B57-2004%252FCXC_057e.pdf</x:v>
      </x:c>
      <x:c r="L15" s="1143" t="str">
        <x:v>Ejemplo: antes de salir, el acopiador confirma que el tanque y los recipientes fueron lavados y desinfectados.</x:v>
      </x:c>
    </x:row>
    <x:row r="16" ht="78" customHeight="1">
      <x:c r="A16" s="1136" t="str">
        <x:v>RN-12</x:v>
      </x:c>
      <x:c r="B16" s="1137" t="str">
        <x:v>Saber en qué vehículo y ruta viajó cada leche</x:v>
      </x:c>
      <x:c r="C16" s="1137" t="str">
        <x:v>Transporte y ruta</x:v>
      </x:c>
      <x:c r="D16" s="1137" t="str">
        <x:v>Cada recojo deberá quedar relacionado con la ruta y con el vehículo o medio de transporte utilizado.</x:v>
      </x:c>
      <x:c r="E16" s="1137" t="str">
        <x:v>Guardar ruta, placa o código del vehículo si existe, acopiador o chofer, hora de salida, hora del recojo y hora de llegada.</x:v>
      </x:c>
      <x:c r="F16" s="1137" t="str">
        <x:v>Permitir consultar qué productores y qué lotes fueron transportados en una misma ruta o vehículo.</x:v>
      </x:c>
      <x:c r="G16" s="1137" t="str">
        <x:v>Vehículo o medio de transporte de acopio</x:v>
      </x:c>
      <x:c r="H16" s="1137" t="str">
        <x:v>Necesidad operativa del proyecto + control de transporte</x:v>
      </x:c>
      <x:c r="I16" s="1137" t="str">
        <x:v>RF-10, RF-11, RF-19 / HU10, HU11, HU19</x:v>
      </x:c>
      <x:c r="J16" s="1148" t="str">
        <x:v>HUATA / POR COMPLETAR DATOS DE MOVILIDAD</x:v>
      </x:c>
      <x:c r="K16" s="1137" t="str"/>
      <x:c r="L16" s="1143" t="str">
        <x:v>Esto permite responder preguntas como: “¿En qué vehículo llegó esta leche?” o “¿Qué proveedores viajaron en esta ruta?”</x:v>
      </x:c>
    </x:row>
    <x:row r="17" ht="78" customHeight="1">
      <x:c r="A17" s="1136" t="str">
        <x:v>RN-13</x:v>
      </x:c>
      <x:c r="B17" s="1137" t="str">
        <x:v>Controlar tiempo y temperatura durante el traslado</x:v>
      </x:c>
      <x:c r="C17" s="1137" t="str">
        <x:v>Transporte y conservación</x:v>
      </x:c>
      <x:c r="D17" s="1137" t="str">
        <x:v>Durante la recolección y el traslado se deberá registrar el tiempo y la temperatura de la leche para detectar posibles problemas de conservación.</x:v>
      </x:c>
      <x:c r="E17" s="1137" t="str">
        <x:v>Registrar temperatura al recibir la leche y, si es posible, al iniciar y terminar la ruta. El límite exacto debe configurarse según el procedimiento real de Huata.</x:v>
      </x:c>
      <x:c r="F17" s="1137" t="str">
        <x:v>Mostrar una alerta si la temperatura o el tiempo supera el límite que defina la empresa.</x:v>
      </x:c>
      <x:c r="G17" s="1137" t="str">
        <x:v>Termómetro o sensor disponible + vehículo de acopio</x:v>
      </x:c>
      <x:c r="H17" s="1137" t="str">
        <x:v>Codex CXC 57-2004</x:v>
      </x:c>
      <x:c r="I17" s="1137" t="str">
        <x:v>RF-10, RF-11, RF-13 / HU10, HU11, HU13</x:v>
      </x:c>
      <x:c r="J17" s="1148" t="str">
        <x:v>LÍMITE HUATA POR DEFINIR</x:v>
      </x:c>
      <x:c r="K17" s="1137" t="str">
        <x:v>https://www.fao.org/fao-who-codexalimentarius/codex-texts/codes-of-practice/es/</x:v>
      </x:c>
      <x:c r="L17" s="1143" t="str">
        <x:v>La idea es evitar que la leche pase demasiado tiempo caliente durante el recojo y el transporte.</x:v>
      </x:c>
    </x:row>
    <x:row r="18" ht="78" customHeight="1">
      <x:c r="A18" s="1136" t="str">
        <x:v>RN-14</x:v>
      </x:c>
      <x:c r="B18" s="1137" t="str">
        <x:v>Separar leche con problemas de la leche aceptada</x:v>
      </x:c>
      <x:c r="C18" s="1137" t="str">
        <x:v>Manejo de lotes</x:v>
      </x:c>
      <x:c r="D18" s="1137" t="str">
        <x:v>La leche marcada como OBSERVADA o RECHAZADA no deberá mezclarse automáticamente con la leche aceptada hasta que el responsable de calidad tome una decisión.</x:v>
      </x:c>
      <x:c r="E18" s="1137" t="str">
        <x:v>Estados sencillos: ACEPTADA, OBSERVADA y RECHAZADA.</x:v>
      </x:c>
      <x:c r="F18" s="1137" t="str">
        <x:v>Mantener separado el registro de la leche observada para que no se pierda su historial.</x:v>
      </x:c>
      <x:c r="G18" s="1137" t="str">
        <x:v>Tanques o recipientes de recepción + sistema de calidad</x:v>
      </x:c>
      <x:c r="H18" s="1137" t="str">
        <x:v>Codex: evitar mezclar leche no segura con leche apta</x:v>
      </x:c>
      <x:c r="I18" s="1137" t="str">
        <x:v>RF-11, RF-13 / HU11, HU13</x:v>
      </x:c>
      <x:c r="J18" s="1150" t="str">
        <x:v>BUENA PRÁCTICA</x:v>
      </x:c>
      <x:c r="K18" s="1137" t="str">
        <x:v>https://www.fao.org/fao-who-codexalimentarius/codex-texts/codes-of-practice/es/</x:v>
      </x:c>
      <x:c r="L18" s="1143" t="str">
        <x:v>Ejemplo: si una leche tiene olor agrio o un análisis dudoso, se mantiene separada hasta que calidad decida qué hacer.</x:v>
      </x:c>
    </x:row>
    <x:row r="19" ht="78" customHeight="1">
      <x:c r="A19" s="1136" t="str">
        <x:v>RN-15</x:v>
      </x:c>
      <x:c r="B19" s="1137" t="str">
        <x:v>Historial de problemas de calidad por proveedor</x:v>
      </x:c>
      <x:c r="C19" s="1137" t="str">
        <x:v>Proveedor y calidad</x:v>
      </x:c>
      <x:c r="D19" s="1137" t="str">
        <x:v>Cada problema de calidad, sospecha de agua añadida o adulteración confirmada deberá quedar guardado en el historial del proveedor.</x:v>
      </x:c>
      <x:c r="E19" s="1137" t="str">
        <x:v>Guardar fecha, recojo, problema encontrado, resultado del análisis, foto o comprobante, decisión final y responsable.</x:v>
      </x:c>
      <x:c r="F19" s="1137" t="str">
        <x:v>Mostrar cuántas incidencias tiene el proveedor y permitir que Administración lo inhabilite si se repiten los problemas o se confirma adulteración.</x:v>
      </x:c>
      <x:c r="G19" s="1137" t="str">
        <x:v>Módulo de proveedores y calidad</x:v>
      </x:c>
      <x:c r="H19" s="1137" t="str">
        <x:v>Necesidad operativa previamente definida para Huata</x:v>
      </x:c>
      <x:c r="I19" s="1137" t="str">
        <x:v>RF-04, RF-07, RF-13, RF-19 / HU04, HU07, HU13, HU19</x:v>
      </x:c>
      <x:c r="J19" s="1152" t="str">
        <x:v>HUATA CONFIRMADO</x:v>
      </x:c>
      <x:c r="K19" s="1137" t="str"/>
      <x:c r="L19" s="1143" t="str">
        <x:v>Incidencia = problema registrado. Ejemplo: “Segunda vez con posible agua añadida en el mes”.</x:v>
      </x:c>
    </x:row>
    <x:row r="20" ht="78" customHeight="1">
      <x:c r="A20" s="1136" t="str">
        <x:v>RN-16</x:v>
      </x:c>
      <x:c r="B20" s="1137" t="str">
        <x:v>Pago semanal a proveedores</x:v>
      </x:c>
      <x:c r="C20" s="1137" t="str">
        <x:v>Pago semanal</x:v>
      </x:c>
      <x:c r="D20" s="1137" t="str">
        <x:v>El sistema deberá juntar las entregas de cada proveedor durante la semana y calcular cuánto se le debe pagar.</x:v>
      </x:c>
      <x:c r="E20" s="1137" t="str">
        <x:v>El proceso de Huata considera el cierre o pago los viernes, mostrando litros, precio utilizado y cualquier ajuste.</x:v>
      </x:c>
      <x:c r="F20" s="1137" t="str">
        <x:v>Calcular el total semanal y guardar claramente a qué semana y viernes corresponde.</x:v>
      </x:c>
      <x:c r="G20" s="1137" t="str">
        <x:v>Módulo de pagos y liquidaciones</x:v>
      </x:c>
      <x:c r="H20" s="1137" t="str">
        <x:v>Proceso operativo previamente definido para Huata</x:v>
      </x:c>
      <x:c r="I20" s="1137" t="str">
        <x:v>RF-12, RF-14 / HU12, HU14</x:v>
      </x:c>
      <x:c r="J20" s="1152" t="str">
        <x:v>HUATA CONFIRMADO</x:v>
      </x:c>
      <x:c r="K20" s="1137" t="str"/>
      <x:c r="L20" s="1143" t="str">
        <x:v>Ejemplo: sumar todas las entregas del proveedor de la semana y mostrar el total que corresponde pagar el viernes.</x:v>
      </x:c>
    </x:row>
    <x:row r="21" ht="78" customHeight="1">
      <x:c r="A21" s="1139" t="str">
        <x:v>RN-17</x:v>
      </x:c>
      <x:c r="B21" s="1140" t="str">
        <x:v>Historial completo de cada entrega</x:v>
      </x:c>
      <x:c r="C21" s="1140" t="str">
        <x:v>Seguimiento del recojo</x:v>
      </x:c>
      <x:c r="D21" s="1140" t="str">
        <x:v>Cada entrega de leche deberá tener un historial completo desde que se recoge hasta que se analiza y se calcula el pago.</x:v>
      </x:c>
      <x:c r="E21" s="1140" t="str">
        <x:v>Guardar: proveedor, fecha y hora, litros, ruta y vehículo, resultados de calidad, máquina usada, foto del análisis, precio aplicado y liquidación.</x:v>
      </x:c>
      <x:c r="F21" s="1140" t="str">
        <x:v>No borrar definitivamente un recojo que ya tenga pago o problemas de calidad; si se corrige algo, debe quedar registrado qué se cambió.</x:v>
      </x:c>
      <x:c r="G21" s="1140" t="str">
        <x:v>Todo el sistema</x:v>
      </x:c>
      <x:c r="H21" s="1140" t="str">
        <x:v>Regla operativa de control interno</x:v>
      </x:c>
      <x:c r="I21" s="1140" t="str">
        <x:v>RF-04, RF-10, RF-11, RF-12, RF-13, RF-14, RF-18, RF-19</x:v>
      </x:c>
      <x:c r="J21" s="1154" t="str">
        <x:v>HUATA PROPUESTO</x:v>
      </x:c>
      <x:c r="K21" s="1140" t="str"/>
      <x:c r="L21" s="1144" t="str">
        <x:v>Seguimiento o trazabilidad = poder ver toda la historia de una entrega: quién la entregó, cómo salió en calidad, cómo viajó y cuánto se pagó.</x:v>
      </x:c>
    </x:row>
  </x:sheetData>
  <x:mergeCells>
    <x:mergeCell ref="A1:L1"/>
    <x:mergeCell ref="A2:L2"/>
    <x:mergeCell ref="A3:L3"/>
  </x:mergeCells>
  <x:pageMargins left="0.7" right="0.7" top="0.75" bottom="0.75" header="0.3" footer="0.3"/>
</x:worksheet>
</file>

<file path=xl/worksheets/sheet3.xml><?xml version="1.0" encoding="utf-8"?>
<x:worksheet xmlns:x="http://schemas.openxmlformats.org/spreadsheetml/2006/main">
  <x:sheetPr>
    <x:tabColor rgb="FFFFC000"/>
  </x:sheetPr>
  <x:sheetViews>
    <x:sheetView showGridLines="0" workbookViewId="0"/>
  </x:sheetViews>
  <x:sheetFormatPr defaultColWidth="8.7109375" defaultRowHeight="15"/>
  <x:cols>
    <x:col min="1" max="1" width="10" hidden="0" customWidth="1"/>
    <x:col min="2" max="2" width="8" hidden="0" customWidth="1"/>
    <x:col min="3" max="3" width="17" hidden="0" customWidth="1"/>
    <x:col min="4" max="4" width="29" hidden="0" customWidth="1"/>
    <x:col min="5" max="5" width="58" hidden="0" customWidth="1"/>
    <x:col min="6" max="6" width="16" hidden="0" customWidth="1"/>
    <x:col min="7" max="7" width="20" hidden="0" customWidth="1"/>
    <x:col min="8" max="8" width="20" hidden="0" customWidth="1"/>
    <x:col min="9" max="9" width="62" hidden="0" customWidth="1"/>
    <x:col min="10" max="10" width="11" hidden="0" customWidth="1"/>
    <x:col min="11" max="11" width="46" hidden="0" customWidth="1"/>
    <x:col min="12" max="13" width="14" customWidth="1"/>
    <x:col min="12" max="12" width="25" hidden="0" customWidth="1"/>
    <x:col min="13" max="13" width="21" hidden="0" customWidth="1"/>
    <x:col min="14" max="14" width="13" hidden="0" customWidth="1"/>
    <x:col min="15" max="15" width="20" hidden="0" customWidth="1"/>
    <x:col min="16" max="16" width="13" hidden="0" customWidth="1"/>
    <x:col min="17" max="17" width="13" hidden="0" customWidth="1"/>
    <x:col min="18" max="18" width="40" hidden="0" customWidth="1"/>
  </x:cols>
  <x:sheetData>
    <x:row r="1" ht="26" customHeight="1">
      <x:c r="A1" s="829" t="str">
        <x:v>MATRIZ DE REQUERIMIENTOS - HUATA LÁCTEOS</x:v>
      </x:c>
      <x:c r="B1" s="829"/>
      <x:c r="C1" s="829"/>
      <x:c r="D1" s="829"/>
      <x:c r="E1" s="829"/>
      <x:c r="F1" s="829"/>
      <x:c r="G1" s="829"/>
      <x:c r="H1" s="829"/>
      <x:c r="I1" s="829"/>
      <x:c r="J1" s="829"/>
      <x:c r="K1" s="829"/>
      <x:c r="L1" s="829"/>
      <x:c r="M1" s="829"/>
      <x:c r="N1" s="829"/>
      <x:c r="O1" s="829"/>
      <x:c r="P1" s="829"/>
      <x:c r="Q1" s="829"/>
      <x:c r="R1" s="829"/>
    </x:row>
    <x:row r="2" ht="30" customHeight="1">
      <x:c r="A2" s="833" t="str">
        <x:v>Alineada a la estructura EDT: HU01–HU24 = funciones del sistema; HU25–HU26 = implementación/capacitación; HU27 = soporte; RNF vinculados a EDT aplicables.</x:v>
      </x:c>
      <x:c r="B2" s="833"/>
      <x:c r="C2" s="833"/>
      <x:c r="D2" s="833"/>
      <x:c r="E2" s="833"/>
      <x:c r="F2" s="833"/>
      <x:c r="G2" s="833"/>
      <x:c r="H2" s="833"/>
      <x:c r="I2" s="833"/>
      <x:c r="J2" s="833"/>
      <x:c r="K2" s="833"/>
      <x:c r="L2" s="833"/>
      <x:c r="M2" s="833"/>
      <x:c r="N2" s="833"/>
      <x:c r="O2" s="833"/>
      <x:c r="P2" s="833"/>
      <x:c r="Q2" s="833"/>
      <x:c r="R2" s="833"/>
    </x:row>
    <x:row r="3">
      <x:c r="A3"/>
      <x:c r="B3"/>
      <x:c r="C3"/>
      <x:c r="D3"/>
      <x:c r="E3"/>
      <x:c r="F3"/>
      <x:c r="G3"/>
      <x:c r="H3"/>
      <x:c r="I3"/>
      <x:c r="J3"/>
      <x:c r="K3"/>
      <x:c r="L3"/>
      <x:c r="M3"/>
      <x:c r="N3"/>
      <x:c r="O3"/>
      <x:c r="P3"/>
      <x:c r="Q3"/>
    </x:row>
    <x:row r="4" ht="34" customHeight="1">
      <x:c r="A4" s="845" t="str">
        <x:v>ID</x:v>
      </x:c>
      <x:c r="B4" s="846" t="str">
        <x:v>HU</x:v>
      </x:c>
      <x:c r="C4" s="846" t="str">
        <x:v>EDT</x:v>
      </x:c>
      <x:c r="D4" s="846" t="str">
        <x:v>Nombre</x:v>
      </x:c>
      <x:c r="E4" s="846" t="str">
        <x:v>Descripción (El sistema/proyecto deberá...)</x:v>
      </x:c>
      <x:c r="F4" s="846" t="str">
        <x:v>Tipo</x:v>
      </x:c>
      <x:c r="G4" s="846" t="str">
        <x:v>Actor</x:v>
      </x:c>
      <x:c r="H4" s="846" t="str">
        <x:v>Origen</x:v>
      </x:c>
      <x:c r="I4" s="846" t="str">
        <x:v>Historia de Usuario / referencia</x:v>
      </x:c>
      <x:c r="J4" s="846" t="str">
        <x:v>Prioridad</x:v>
      </x:c>
      <x:c r="K4" s="846" t="str">
        <x:v>Criterio de aceptación</x:v>
      </x:c>
      <x:c r="L4" s="846" t="str">
        <x:v>Componente</x:v>
      </x:c>
      <x:c r="M4" s="846" t="str">
        <x:v>Dependencias</x:v>
      </x:c>
      <x:c r="N4" s="846" t="str">
        <x:v>Estado</x:v>
      </x:c>
      <x:c r="O4" s="846" t="str">
        <x:v>Sprint / periodo</x:v>
      </x:c>
      <x:c r="P4" s="846" t="str">
        <x:v>Fecha inicio</x:v>
      </x:c>
      <x:c r="Q4" s="846" t="str">
        <x:v>Fecha fin</x:v>
      </x:c>
      <x:c r="R4" s="847" t="str">
        <x:v>Entregable / tarea EDT</x:v>
      </x:c>
    </x:row>
    <x:row r="5" ht="58" customHeight="1">
      <x:c r="A5" s="876" t="str">
        <x:v>RF-01</x:v>
      </x:c>
      <x:c r="B5" s="877" t="str">
        <x:v>HU01</x:v>
      </x:c>
      <x:c r="C5" s="877" t="str">
        <x:v>3.4.1</x:v>
      </x:c>
      <x:c r="D5" s="877" t="str">
        <x:v>Inicio de sesión web</x:v>
      </x:c>
      <x:c r="E5" s="877" t="str">
        <x:v>El sistema deberá permitir el inicio de sesión desde la plataforma web para que el usuario del sistema pueda acceder a su cuenta de forma segura, cumpliendo la validación de correo y contraseña.</x:v>
      </x:c>
      <x:c r="F5" s="877" t="str">
        <x:v>Funcional</x:v>
      </x:c>
      <x:c r="G5" s="877" t="str">
        <x:v>Usuario del sistema</x:v>
      </x:c>
      <x:c r="H5" s="877" t="str">
        <x:v>Cronograma EDT</x:v>
      </x:c>
      <x:c r="I5" s="877" t="str">
        <x:v>HU01: Como usuario del sistema, quiero iniciar sesión con mi correo y contraseña para acceder a mi cuenta de forma segura.</x:v>
      </x:c>
      <x:c r="J5" s="877" t="str">
        <x:v>Must</x:v>
      </x:c>
      <x:c r="K5" s="877" t="str">
        <x:v>Con credenciales válidas el usuario accede a la web; con credenciales inválidas el acceso es rechazado.</x:v>
      </x:c>
      <x:c r="L5" s="877" t="str">
        <x:v>Web / Autenticación</x:v>
      </x:c>
      <x:c r="M5" s="877" t="str">
        <x:v>HU03</x:v>
      </x:c>
      <x:c r="N5" s="877" t="str">
        <x:v>Planificado</x:v>
      </x:c>
      <x:c r="O5" s="877" t="str">
        <x:v>Sprint 3</x:v>
      </x:c>
      <x:c r="P5" s="878" t="n">
        <x:v>46271</x:v>
      </x:c>
      <x:c r="Q5" s="878" t="n">
        <x:v>46271</x:v>
      </x:c>
      <x:c r="R5" s="879" t="str">
        <x:v>HU01: Desarrollo Web: Pantalla de Login (Angular)</x:v>
      </x:c>
    </x:row>
    <x:row r="6" ht="58" customHeight="1">
      <x:c r="A6" s="888" t="str">
        <x:v>RF-02</x:v>
      </x:c>
      <x:c r="B6" s="889" t="str">
        <x:v>HU02</x:v>
      </x:c>
      <x:c r="C6" s="889" t="str">
        <x:v>3.4.2</x:v>
      </x:c>
      <x:c r="D6" s="889" t="str">
        <x:v>Inicio de sesión móvil</x:v>
      </x:c>
      <x:c r="E6" s="889" t="str">
        <x:v>El sistema deberá permitir el inicio de sesión desde la aplicación móvil para que el usuario del sistema pueda acceder a su cuenta desde el dispositivo móvil, cumpliendo el control de acceso definido.</x:v>
      </x:c>
      <x:c r="F6" s="889" t="str">
        <x:v>Funcional</x:v>
      </x:c>
      <x:c r="G6" s="889" t="str">
        <x:v>Usuario del sistema</x:v>
      </x:c>
      <x:c r="H6" s="889" t="str">
        <x:v>Cronograma EDT</x:v>
      </x:c>
      <x:c r="I6" s="889" t="str">
        <x:v>HU02: Como usuario del sistema, quiero iniciar sesión desde mi dispositivo móvil para acceder a mi cuenta de forma segura.</x:v>
      </x:c>
      <x:c r="J6" s="889" t="str">
        <x:v>Must</x:v>
      </x:c>
      <x:c r="K6" s="889" t="str">
        <x:v>Con credenciales válidas el usuario accede desde la app móvil; con credenciales inválidas el acceso es rechazado.</x:v>
      </x:c>
      <x:c r="L6" s="889" t="str">
        <x:v>Móvil / Autenticación</x:v>
      </x:c>
      <x:c r="M6" s="889" t="str">
        <x:v>HU03</x:v>
      </x:c>
      <x:c r="N6" s="889" t="str">
        <x:v>Planificado</x:v>
      </x:c>
      <x:c r="O6" s="889" t="str">
        <x:v>Sprint 3</x:v>
      </x:c>
      <x:c r="P6" s="890" t="n">
        <x:v>46271</x:v>
      </x:c>
      <x:c r="Q6" s="890" t="n">
        <x:v>46271</x:v>
      </x:c>
      <x:c r="R6" s="891" t="str">
        <x:v>HU02: Desarrollo Móvil: Pantalla de Login (Flutter)</x:v>
      </x:c>
    </x:row>
    <x:row r="7" ht="58" customHeight="1">
      <x:c r="A7" s="880" t="str">
        <x:v>RF-03</x:v>
      </x:c>
      <x:c r="B7" s="881" t="str">
        <x:v>HU03</x:v>
      </x:c>
      <x:c r="C7" s="881" t="str">
        <x:v>3.4.3</x:v>
      </x:c>
      <x:c r="D7" s="881" t="str">
        <x:v>Autenticación y sesión segura</x:v>
      </x:c>
      <x:c r="E7" s="881" t="str">
        <x:v>El sistema deberá autenticar usuarios y mantener la sesión activa para que el usuario del sistema pueda utilizar la aplicación sin reingresar credenciales en cada operación, cumpliendo la seguridad del módulo de autenticación.</x:v>
      </x:c>
      <x:c r="F7" s="881" t="str">
        <x:v>Funcional</x:v>
      </x:c>
      <x:c r="G7" s="881" t="str">
        <x:v>Usuario del sistema</x:v>
      </x:c>
      <x:c r="H7" s="881" t="str">
        <x:v>Cronograma EDT</x:v>
      </x:c>
      <x:c r="I7" s="881" t="str">
        <x:v>HU03: Como usuario del sistema, quiero que mi sesión se mantenga activa para no tener que escribir mis credenciales cada vez que uso la aplicación.</x:v>
      </x:c>
      <x:c r="J7" s="881" t="str">
        <x:v>Must</x:v>
      </x:c>
      <x:c r="K7" s="881" t="str">
        <x:v>La autenticación válida crea una sesión utilizable y la sesión permanece activa durante el uso previsto.</x:v>
      </x:c>
      <x:c r="L7" s="881" t="str">
        <x:v>Backend / Seguridad</x:v>
      </x:c>
      <x:c r="M7" s="881" t="str">
        <x:v>—</x:v>
      </x:c>
      <x:c r="N7" s="881" t="str">
        <x:v>Planificado</x:v>
      </x:c>
      <x:c r="O7" s="881" t="str">
        <x:v>Sprint 3</x:v>
      </x:c>
      <x:c r="P7" s="882" t="n">
        <x:v>46270</x:v>
      </x:c>
      <x:c r="Q7" s="882" t="n">
        <x:v>46271</x:v>
      </x:c>
      <x:c r="R7" s="883" t="str">
        <x:v>HU03: Desarrollo Backend: Módulo de Autenticación</x:v>
      </x:c>
    </x:row>
    <x:row r="8" ht="82" customHeight="1">
      <x:c r="A8" s="888" t="str">
        <x:v>RF-04</x:v>
      </x:c>
      <x:c r="B8" s="889" t="str">
        <x:v>HU04</x:v>
      </x:c>
      <x:c r="C8" s="889" t="str">
        <x:v>4.2.1</x:v>
      </x:c>
      <x:c r="D8" s="889" t="str">
        <x:v>Administrar productores vía API</x:v>
      </x:c>
      <x:c r="E8" s="889" t="str">
        <x:v>El sistema deberá registrar, listar, editar y administrar productores mediante la API REST para que el administrador pueda mantener actualizada la base de proveedores y consultar su historial de calidad, cumpliendo la trazabilidad de incidencias y estado del proveedor.</x:v>
      </x:c>
      <x:c r="F8" s="889" t="str">
        <x:v>Funcional</x:v>
      </x:c>
      <x:c r="G8" s="889" t="str">
        <x:v>Administrador</x:v>
      </x:c>
      <x:c r="H8" s="889" t="str">
        <x:v>Cronograma EDT + RN-15, RN-17</x:v>
      </x:c>
      <x:c r="I8" s="889" t="str">
        <x:v>HU04: Como administrador, quiero registrar, listar, editar y eliminar productores de leche para mantener actualizada la base de datos de proveedores.</x:v>
      </x:c>
      <x:c r="J8" s="889" t="str">
        <x:v>Must</x:v>
      </x:c>
      <x:c r="K8" s="889" t="str">
        <x:v>La API permite crear, consultar y actualizar productores; el perfil conserva historial de incidencias de calidad y estado activo/inactivo cuando corresponda.</x:v>
      </x:c>
      <x:c r="L8" s="889" t="str">
        <x:v>Backend / Productores</x:v>
      </x:c>
      <x:c r="M8" s="889" t="str">
        <x:v>—</x:v>
      </x:c>
      <x:c r="N8" s="889" t="str">
        <x:v>Planificado</x:v>
      </x:c>
      <x:c r="O8" s="889" t="str">
        <x:v>Sprint 4</x:v>
      </x:c>
      <x:c r="P8" s="890" t="n">
        <x:v>46274</x:v>
      </x:c>
      <x:c r="Q8" s="890" t="n">
        <x:v>46275</x:v>
      </x:c>
      <x:c r="R8" s="891" t="str">
        <x:v>HU04: Backend: CRUD de Productores (API REST)</x:v>
      </x:c>
    </x:row>
    <x:row r="9" ht="58" customHeight="1">
      <x:c r="A9" s="880" t="str">
        <x:v>RF-05</x:v>
      </x:c>
      <x:c r="B9" s="881" t="str">
        <x:v>HU05</x:v>
      </x:c>
      <x:c r="C9" s="881" t="str">
        <x:v>4.2.2</x:v>
      </x:c>
      <x:c r="D9" s="881" t="str">
        <x:v>Administrar acopiadores y rutas vía API</x:v>
      </x:c>
      <x:c r="E9" s="881" t="str">
        <x:v>El sistema deberá registrar, listar, editar y eliminar acopiadores y rutas mediante la API REST para que el administrador pueda gestionar el personal y la logística de recolección, cumpliendo las operaciones CRUD definidas.</x:v>
      </x:c>
      <x:c r="F9" s="881" t="str">
        <x:v>Funcional</x:v>
      </x:c>
      <x:c r="G9" s="881" t="str">
        <x:v>Administrador</x:v>
      </x:c>
      <x:c r="H9" s="881" t="str">
        <x:v>Cronograma EDT</x:v>
      </x:c>
      <x:c r="I9" s="881" t="str">
        <x:v>HU05: Como administrador, quiero registrar, listar, editar y eliminar acopiadores para gestionar el personal que recolecta la leche en campo.</x:v>
      </x:c>
      <x:c r="J9" s="881" t="str">
        <x:v>Must</x:v>
      </x:c>
      <x:c r="K9" s="881" t="str">
        <x:v>La API permite crear, consultar, actualizar y eliminar acopiadores y rutas.</x:v>
      </x:c>
      <x:c r="L9" s="881" t="str">
        <x:v>Backend / Acopiadores y Rutas</x:v>
      </x:c>
      <x:c r="M9" s="881" t="str">
        <x:v>—</x:v>
      </x:c>
      <x:c r="N9" s="881" t="str">
        <x:v>Planificado</x:v>
      </x:c>
      <x:c r="O9" s="881" t="str">
        <x:v>Sprint 4</x:v>
      </x:c>
      <x:c r="P9" s="882" t="n">
        <x:v>46275</x:v>
      </x:c>
      <x:c r="Q9" s="882" t="n">
        <x:v>46276</x:v>
      </x:c>
      <x:c r="R9" s="883" t="str">
        <x:v>HU05: Backend: CRUD de Acopiadores y Rutas</x:v>
      </x:c>
    </x:row>
    <x:row r="10" ht="58" customHeight="1">
      <x:c r="A10" s="888" t="str">
        <x:v>RF-06</x:v>
      </x:c>
      <x:c r="B10" s="889" t="str">
        <x:v>HU06</x:v>
      </x:c>
      <x:c r="C10" s="889" t="str">
        <x:v>4.2.3</x:v>
      </x:c>
      <x:c r="D10" s="889" t="str">
        <x:v>Administrar centros de acopio vía API</x:v>
      </x:c>
      <x:c r="E10" s="889" t="str">
        <x:v>El sistema deberá registrar, listar, editar y eliminar centros de acopio mediante la API REST para que el administrador pueda controlar los puntos de recepción de leche, cumpliendo las operaciones CRUD definidas.</x:v>
      </x:c>
      <x:c r="F10" s="889" t="str">
        <x:v>Funcional</x:v>
      </x:c>
      <x:c r="G10" s="889" t="str">
        <x:v>Administrador</x:v>
      </x:c>
      <x:c r="H10" s="889" t="str">
        <x:v>Cronograma EDT</x:v>
      </x:c>
      <x:c r="I10" s="889" t="str">
        <x:v>HU06: Como administrador, quiero registrar, listar, editar y eliminar centros de acopio para tener control de los puntos de recepción de leche.</x:v>
      </x:c>
      <x:c r="J10" s="889" t="str">
        <x:v>Must</x:v>
      </x:c>
      <x:c r="K10" s="889" t="str">
        <x:v>La API permite crear, consultar, actualizar y eliminar centros de acopio.</x:v>
      </x:c>
      <x:c r="L10" s="889" t="str">
        <x:v>Backend / Centros de Acopio</x:v>
      </x:c>
      <x:c r="M10" s="889" t="str">
        <x:v>—</x:v>
      </x:c>
      <x:c r="N10" s="889" t="str">
        <x:v>Planificado</x:v>
      </x:c>
      <x:c r="O10" s="889" t="str">
        <x:v>Sprint 4</x:v>
      </x:c>
      <x:c r="P10" s="890" t="n">
        <x:v>46276</x:v>
      </x:c>
      <x:c r="Q10" s="890" t="n">
        <x:v>46276</x:v>
      </x:c>
      <x:c r="R10" s="891" t="str">
        <x:v>HU06: Backend: CRUD de Centros de Acopio</x:v>
      </x:c>
    </x:row>
    <x:row r="11" ht="82" customHeight="1">
      <x:c r="A11" s="880" t="str">
        <x:v>RF-07</x:v>
      </x:c>
      <x:c r="B11" s="881" t="str">
        <x:v>HU07</x:v>
      </x:c>
      <x:c r="C11" s="881" t="str">
        <x:v>4.2.4</x:v>
      </x:c>
      <x:c r="D11" s="881" t="str">
        <x:v>Gestionar productores desde la web</x:v>
      </x:c>
      <x:c r="E11" s="881" t="str">
        <x:v>El sistema deberá permitir gestionar productores desde la plataforma web para que el administrador pueda mantener actualizada la información y revisar su historial de calidad, cumpliendo la trazabilidad de incidencias y decisiones administrativas.</x:v>
      </x:c>
      <x:c r="F11" s="881" t="str">
        <x:v>Funcional</x:v>
      </x:c>
      <x:c r="G11" s="881" t="str">
        <x:v>Administrador</x:v>
      </x:c>
      <x:c r="H11" s="881" t="str">
        <x:v>Cronograma EDT + RN-15, RN-17</x:v>
      </x:c>
      <x:c r="I11" s="881" t="str">
        <x:v>HU07: Como administrador, quiero gestionar los productores desde la web para mantener actualizada la base de datos de proveedores.</x:v>
      </x:c>
      <x:c r="J11" s="881" t="str">
        <x:v>Must</x:v>
      </x:c>
      <x:c r="K11" s="881" t="str">
        <x:v>Desde la web se puede gestionar productores y consultar las incidencias de calidad asociadas sin perder el historial.</x:v>
      </x:c>
      <x:c r="L11" s="881" t="str">
        <x:v>Web / Productores</x:v>
      </x:c>
      <x:c r="M11" s="881" t="str">
        <x:v>HU04</x:v>
      </x:c>
      <x:c r="N11" s="881" t="str">
        <x:v>Planificado</x:v>
      </x:c>
      <x:c r="O11" s="881" t="str">
        <x:v>Sprint 4</x:v>
      </x:c>
      <x:c r="P11" s="882" t="n">
        <x:v>46276</x:v>
      </x:c>
      <x:c r="Q11" s="882" t="n">
        <x:v>46277</x:v>
      </x:c>
      <x:c r="R11" s="883" t="str">
        <x:v>HU07: Web: Módulo de gestión de Productores</x:v>
      </x:c>
    </x:row>
    <x:row r="12" ht="58" customHeight="1">
      <x:c r="A12" s="888" t="str">
        <x:v>RF-08</x:v>
      </x:c>
      <x:c r="B12" s="889" t="str">
        <x:v>HU08</x:v>
      </x:c>
      <x:c r="C12" s="889" t="str">
        <x:v>4.2.5</x:v>
      </x:c>
      <x:c r="D12" s="889" t="str">
        <x:v>Gestionar rutas y centros desde la web</x:v>
      </x:c>
      <x:c r="E12" s="889" t="str">
        <x:v>El sistema deberá permitir gestionar rutas y centros de acopio desde la plataforma web para que el administrador pueda organizar la logística de recolección, cumpliendo la información definida para rutas y centros.</x:v>
      </x:c>
      <x:c r="F12" s="889" t="str">
        <x:v>Funcional</x:v>
      </x:c>
      <x:c r="G12" s="889" t="str">
        <x:v>Administrador</x:v>
      </x:c>
      <x:c r="H12" s="889" t="str">
        <x:v>Cronograma EDT</x:v>
      </x:c>
      <x:c r="I12" s="889" t="str">
        <x:v>HU08: Como administrador, quiero gestionar las rutas y centros de acopio desde la web para organizar la logística de recolección.</x:v>
      </x:c>
      <x:c r="J12" s="889" t="str">
        <x:v>Must</x:v>
      </x:c>
      <x:c r="K12" s="889" t="str">
        <x:v>Desde la web se pueden gestionar rutas y centros de acopio y consultar los cambios guardados.</x:v>
      </x:c>
      <x:c r="L12" s="889" t="str">
        <x:v>Web / Rutas y Centros</x:v>
      </x:c>
      <x:c r="M12" s="889" t="str">
        <x:v>HU05, HU06</x:v>
      </x:c>
      <x:c r="N12" s="889" t="str">
        <x:v>Planificado</x:v>
      </x:c>
      <x:c r="O12" s="889" t="str">
        <x:v>Sprint 4</x:v>
      </x:c>
      <x:c r="P12" s="890" t="n">
        <x:v>46277</x:v>
      </x:c>
      <x:c r="Q12" s="890" t="n">
        <x:v>46278</x:v>
      </x:c>
      <x:c r="R12" s="891" t="str">
        <x:v>HU08: Web: Módulo de gestión de Rutas y Centros de Acopio</x:v>
      </x:c>
    </x:row>
    <x:row r="13" ht="58" customHeight="1">
      <x:c r="A13" s="880" t="str">
        <x:v>RF-09</x:v>
      </x:c>
      <x:c r="B13" s="881" t="str">
        <x:v>HU09</x:v>
      </x:c>
      <x:c r="C13" s="881" t="str">
        <x:v>4.2.6</x:v>
      </x:c>
      <x:c r="D13" s="881" t="str">
        <x:v>Consultar productores asignados</x:v>
      </x:c>
      <x:c r="E13" s="881" t="str">
        <x:v>El sistema deberá mostrar en la aplicación móvil los productores asignados para que el acopiador pueda identificar a quiénes debe visitar, cumpliendo la asignación vigente de su ruta.</x:v>
      </x:c>
      <x:c r="F13" s="881" t="str">
        <x:v>Funcional</x:v>
      </x:c>
      <x:c r="G13" s="881" t="str">
        <x:v>Acopiador</x:v>
      </x:c>
      <x:c r="H13" s="881" t="str">
        <x:v>Cronograma EDT</x:v>
      </x:c>
      <x:c r="I13" s="881" t="str">
        <x:v>HU09: Como acopiador, quiero consultar los productores que tengo asignados en mi ruta para saber a quiénes debo visitar durante el día.</x:v>
      </x:c>
      <x:c r="J13" s="881" t="str">
        <x:v>Must</x:v>
      </x:c>
      <x:c r="K13" s="881" t="str">
        <x:v>El acopiador visualiza únicamente los productores asignados a su operación.</x:v>
      </x:c>
      <x:c r="L13" s="881" t="str">
        <x:v>Móvil / Productores</x:v>
      </x:c>
      <x:c r="M13" s="881" t="str">
        <x:v>HU04, HU05</x:v>
      </x:c>
      <x:c r="N13" s="881" t="str">
        <x:v>Planificado</x:v>
      </x:c>
      <x:c r="O13" s="881" t="str">
        <x:v>Sprint 4</x:v>
      </x:c>
      <x:c r="P13" s="882" t="n">
        <x:v>46276</x:v>
      </x:c>
      <x:c r="Q13" s="882" t="n">
        <x:v>46277</x:v>
      </x:c>
      <x:c r="R13" s="883" t="str">
        <x:v>HU09: Móvil: Módulo de consulta de productores asignados</x:v>
      </x:c>
    </x:row>
    <x:row r="14" ht="78" customHeight="1">
      <x:c r="A14" s="888" t="str">
        <x:v>RF-10</x:v>
      </x:c>
      <x:c r="B14" s="889" t="str">
        <x:v>HU10</x:v>
      </x:c>
      <x:c r="C14" s="889" t="str">
        <x:v>4.2.7</x:v>
      </x:c>
      <x:c r="D14" s="889" t="str">
        <x:v>Consultar ruta del día</x:v>
      </x:c>
      <x:c r="E14" s="889" t="str">
        <x:v>El sistema deberá mostrar y gestionar la ruta del día para que el acopiador pueda organizar su recorrido y registrar qué vehículo o medio de transporte utiliza, cumpliendo los productores, centros de acopio y la revisión de limpieza antes de iniciar la ruta.</x:v>
      </x:c>
      <x:c r="F14" s="889" t="str">
        <x:v>Funcional</x:v>
      </x:c>
      <x:c r="G14" s="889" t="str">
        <x:v>Acopiador</x:v>
      </x:c>
      <x:c r="H14" s="889" t="str">
        <x:v>Cronograma EDT + RN-11, RN-12, RN-13</x:v>
      </x:c>
      <x:c r="I14" s="889" t="str">
        <x:v>HU10: Como acopiador, quiero ver mi ruta del día con los productores y centros de acopio asignados para organizar mi recorrido de forma eficiente.</x:v>
      </x:c>
      <x:c r="J14" s="889" t="str">
        <x:v>Must</x:v>
      </x:c>
      <x:c r="K14" s="889" t="str">
        <x:v>La app muestra la ruta, los productores y centros asignados; además permite registrar el vehículo y confirmar que se realizó la revisión de limpieza.</x:v>
      </x:c>
      <x:c r="L14" s="889" t="str">
        <x:v>Móvil / Rutas</x:v>
      </x:c>
      <x:c r="M14" s="889" t="str">
        <x:v>HU05, HU06</x:v>
      </x:c>
      <x:c r="N14" s="889" t="str">
        <x:v>Planificado</x:v>
      </x:c>
      <x:c r="O14" s="889" t="str">
        <x:v>Sprint 4</x:v>
      </x:c>
      <x:c r="P14" s="890" t="n">
        <x:v>46277</x:v>
      </x:c>
      <x:c r="Q14" s="890" t="n">
        <x:v>46278</x:v>
      </x:c>
      <x:c r="R14" s="891" t="str">
        <x:v>HU10: Móvil: Módulo de gestión de ruta del día</x:v>
      </x:c>
    </x:row>
    <x:row r="15" ht="78" customHeight="1">
      <x:c r="A15" s="880" t="str">
        <x:v>RF-11</x:v>
      </x:c>
      <x:c r="B15" s="881" t="str">
        <x:v>HU11</x:v>
      </x:c>
      <x:c r="C15" s="881" t="str">
        <x:v>5.2.1</x:v>
      </x:c>
      <x:c r="D15" s="881" t="str">
        <x:v>Registrar recojo de leche</x:v>
      </x:c>
      <x:c r="E15" s="881" t="str">
        <x:v>El sistema deberá registrar cada recojo de leche para que el acopiador pueda controlar la producción diaria, cumpliendo proveedor, litros, fecha y hora, ruta, vehículo y una revisión sencilla de la leche: color, olor, aspecto, grumos o suciedad.</x:v>
      </x:c>
      <x:c r="F15" s="881" t="str">
        <x:v>Funcional</x:v>
      </x:c>
      <x:c r="G15" s="881" t="str">
        <x:v>Acopiador</x:v>
      </x:c>
      <x:c r="H15" s="881" t="str">
        <x:v>Cronograma EDT + RN-07, RN-11, RN-12, RN-14, RN-17</x:v>
      </x:c>
      <x:c r="I15" s="881" t="str">
        <x:v>HU11: Como acopiador, quiero registrar la cantidad de leche recolectada de cada productor para llevar un control preciso de la producción diaria.</x:v>
      </x:c>
      <x:c r="J15" s="881" t="str">
        <x:v>Must</x:v>
      </x:c>
      <x:c r="K15" s="881" t="str">
        <x:v>El recojo queda guardado con proveedor, litros, fecha/hora, ruta y vehículo; también conserva si la leche se vio normal o presentó problemas como olor agrio, grumos o suciedad.</x:v>
      </x:c>
      <x:c r="L15" s="881" t="str">
        <x:v>Backend / Recojo</x:v>
      </x:c>
      <x:c r="M15" s="881" t="str">
        <x:v>HU04</x:v>
      </x:c>
      <x:c r="N15" s="881" t="str">
        <x:v>Planificado</x:v>
      </x:c>
      <x:c r="O15" s="881" t="str">
        <x:v>Sprint 5</x:v>
      </x:c>
      <x:c r="P15" s="882" t="n">
        <x:v>46281</x:v>
      </x:c>
      <x:c r="Q15" s="882" t="n">
        <x:v>46282</x:v>
      </x:c>
      <x:c r="R15" s="883" t="str">
        <x:v>HU11: Backend: API de Registro de Recojo de Leche</x:v>
      </x:c>
    </x:row>
    <x:row r="16" ht="78" customHeight="1">
      <x:c r="A16" s="888" t="str">
        <x:v>RF-12</x:v>
      </x:c>
      <x:c r="B16" s="889" t="str">
        <x:v>HU12</x:v>
      </x:c>
      <x:c r="C16" s="889" t="str">
        <x:v>5.2.2</x:v>
      </x:c>
      <x:c r="D16" s="889" t="str">
        <x:v>Consultar liquidaciones</x:v>
      </x:c>
      <x:c r="E16" s="889" t="str">
        <x:v>El sistema deberá permitir consultar los pagos por proveedor, semana y fecha para que el administrador pueda revisar cuánto corresponde pagar, cumpliendo litros entregados, calidad de la leche, precio por litro y cierre semanal de los viernes.</x:v>
      </x:c>
      <x:c r="F16" s="889" t="str">
        <x:v>Funcional</x:v>
      </x:c>
      <x:c r="G16" s="889" t="str">
        <x:v>Administrador</x:v>
      </x:c>
      <x:c r="H16" s="889" t="str">
        <x:v>Cronograma EDT + RN-01, RN-02, RN-16</x:v>
      </x:c>
      <x:c r="I16" s="889" t="str">
        <x:v>HU12: Como administrador, quiero consultar las liquidaciones por productor y por fecha para revisar y validar los pagos realizados.</x:v>
      </x:c>
      <x:c r="J16" s="889" t="str">
        <x:v>Must</x:v>
      </x:c>
      <x:c r="K16" s="889" t="str">
        <x:v>La consulta muestra los litros, el precio aplicado, el motivo si hubo un precio diferente y el total semanal correspondiente al viernes.</x:v>
      </x:c>
      <x:c r="L16" s="889" t="str">
        <x:v>Web / Liquidaciones</x:v>
      </x:c>
      <x:c r="M16" s="889" t="str">
        <x:v>HU14</x:v>
      </x:c>
      <x:c r="N16" s="889" t="str">
        <x:v>Planificado</x:v>
      </x:c>
      <x:c r="O16" s="889" t="str">
        <x:v>Sprint 5</x:v>
      </x:c>
      <x:c r="P16" s="890" t="n">
        <x:v>46285</x:v>
      </x:c>
      <x:c r="Q16" s="890" t="n">
        <x:v>46285</x:v>
      </x:c>
      <x:c r="R16" s="891" t="str">
        <x:v>HU12: Web: Módulo de consulta de liquidaciones</x:v>
      </x:c>
    </x:row>
    <x:row r="17" ht="78" customHeight="1">
      <x:c r="A17" s="880" t="str">
        <x:v>RF-13</x:v>
      </x:c>
      <x:c r="B17" s="881" t="str">
        <x:v>HU13</x:v>
      </x:c>
      <x:c r="C17" s="881" t="str">
        <x:v>5.3.1</x:v>
      </x:c>
      <x:c r="D17" s="881" t="str">
        <x:v>Registrar parámetros de calidad</x:v>
      </x:c>
      <x:c r="E17" s="881" t="str">
        <x:v>El sistema deberá registrar y revisar los resultados de calidad de la leche para que el responsable pueda decidir si la leche está normal, observada o rechazada. Deberá guardar densidad, acidez, temperatura y, cuando se use, el punto de congelación para detectar posible agua añadida; también deberá registrar qué máquina se utilizó y guardar la foto o comprobante del análisis.</x:v>
      </x:c>
      <x:c r="F17" s="881" t="str">
        <x:v>Funcional</x:v>
      </x:c>
      <x:c r="G17" s="881" t="str">
        <x:v>Acopiador</x:v>
      </x:c>
      <x:c r="H17" s="881" t="str">
        <x:v>Cronograma EDT + RN-03, RN-04, RN-05, RN-06, RN-07, RN-08, RN-09, RN-10, RN-14</x:v>
      </x:c>
      <x:c r="I17" s="881" t="str">
        <x:v>HU13: Como acopiador, quiero registrar los parámetros de calidad de la leche (densidad, acidez, temperatura) para asegurar que cumple con los estándares requeridos.</x:v>
      </x:c>
      <x:c r="J17" s="881" t="str">
        <x:v>Must</x:v>
      </x:c>
      <x:c r="K17" s="881" t="str">
        <x:v>El sistema guarda los valores medidos y explica si están dentro o fuera del rango. Si la densidad sale fuera de lo normal, la leche queda OBSERVADA; para confirmar posible agua añadida se revisa también el punto de congelación y la evidencia del análisis.</x:v>
      </x:c>
      <x:c r="L17" s="881" t="str">
        <x:v>Backend / Calidad</x:v>
      </x:c>
      <x:c r="M17" s="881" t="str">
        <x:v>HU11</x:v>
      </x:c>
      <x:c r="N17" s="881" t="str">
        <x:v>Planificado</x:v>
      </x:c>
      <x:c r="O17" s="881" t="str">
        <x:v>Sprint 5</x:v>
      </x:c>
      <x:c r="P17" s="882" t="n">
        <x:v>46282</x:v>
      </x:c>
      <x:c r="Q17" s="882" t="n">
        <x:v>46282</x:v>
      </x:c>
      <x:c r="R17" s="883" t="str">
        <x:v>HU13: Backend: Registro de parámetros de calidad</x:v>
      </x:c>
    </x:row>
    <x:row r="18" ht="78" customHeight="1">
      <x:c r="A18" s="888" t="str">
        <x:v>RF-14</x:v>
      </x:c>
      <x:c r="B18" s="889" t="str">
        <x:v>HU14</x:v>
      </x:c>
      <x:c r="C18" s="889" t="str">
        <x:v>5.3.2</x:v>
      </x:c>
      <x:c r="D18" s="889" t="str">
        <x:v>Calcular pago o liquidación</x:v>
      </x:c>
      <x:c r="E18" s="889" t="str">
        <x:v>El sistema deberá calcular automáticamente cuánto se debe pagar al proveedor según los litros entregados y la calidad de la leche, usando el precio vigente de Huata y guardando el motivo cuando se aplique un precio diferente.</x:v>
      </x:c>
      <x:c r="F18" s="889" t="str">
        <x:v>Funcional</x:v>
      </x:c>
      <x:c r="G18" s="889" t="str">
        <x:v>Acopiador</x:v>
      </x:c>
      <x:c r="H18" s="889" t="str">
        <x:v>Cronograma EDT + RN-01, RN-02, RN-16</x:v>
      </x:c>
      <x:c r="I18" s="889" t="str">
        <x:v>HU14: Como acopiador, quiero que el sistema calcule automáticamente el pago del productor según los litros recolectados para liquidar de forma rápida y sin errores.</x:v>
      </x:c>
      <x:c r="J18" s="889" t="str">
        <x:v>Must</x:v>
      </x:c>
      <x:c r="K18" s="889" t="str">
        <x:v>El cálculo usa litros × precio por litro y guarda qué precio se aplicó. Los valores S/ 1.75 y S/ 1.30 quedan como precios configurables hasta que Administración confirme su vigencia.</x:v>
      </x:c>
      <x:c r="L18" s="889" t="str">
        <x:v>Backend / Liquidaciones</x:v>
      </x:c>
      <x:c r="M18" s="889" t="str">
        <x:v>HU11, HU13</x:v>
      </x:c>
      <x:c r="N18" s="889" t="str">
        <x:v>Planificado</x:v>
      </x:c>
      <x:c r="O18" s="889" t="str">
        <x:v>Sprint 5</x:v>
      </x:c>
      <x:c r="P18" s="890" t="n">
        <x:v>46283</x:v>
      </x:c>
      <x:c r="Q18" s="890" t="n">
        <x:v>46284</x:v>
      </x:c>
      <x:c r="R18" s="891" t="str">
        <x:v>HU14: Backend: Cálculo de pago / liquidación</x:v>
      </x:c>
    </x:row>
    <x:row r="19" ht="58" customHeight="1">
      <x:c r="A19" s="880" t="str">
        <x:v>RF-15</x:v>
      </x:c>
      <x:c r="B19" s="881" t="str">
        <x:v>HU15</x:v>
      </x:c>
      <x:c r="C19" s="881" t="str">
        <x:v>5.3.3</x:v>
      </x:c>
      <x:c r="D19" s="881" t="str">
        <x:v>Registrar y consultar recojos desde la web</x:v>
      </x:c>
      <x:c r="E19" s="881" t="str">
        <x:v>El sistema deberá permitir registrar y consultar recojos de leche desde la plataforma web para que el administrador pueda llevar un control centralizado de la producción, cumpliendo la persistencia de los registros.</x:v>
      </x:c>
      <x:c r="F19" s="881" t="str">
        <x:v>Funcional</x:v>
      </x:c>
      <x:c r="G19" s="881" t="str">
        <x:v>Administrador</x:v>
      </x:c>
      <x:c r="H19" s="881" t="str">
        <x:v>Cronograma EDT</x:v>
      </x:c>
      <x:c r="I19" s="881" t="str">
        <x:v>HU15: Como administrador, quiero registrar y consultar los recojos de leche desde la web para llevar un control centralizado de la producción.</x:v>
      </x:c>
      <x:c r="J19" s="881" t="str">
        <x:v>Must</x:v>
      </x:c>
      <x:c r="K19" s="881" t="str">
        <x:v>Desde la web se puede registrar un recojo y posteriormente consultarlo.</x:v>
      </x:c>
      <x:c r="L19" s="881" t="str">
        <x:v>Web / Recojo</x:v>
      </x:c>
      <x:c r="M19" s="881" t="str">
        <x:v>HU11</x:v>
      </x:c>
      <x:c r="N19" s="881" t="str">
        <x:v>Planificado</x:v>
      </x:c>
      <x:c r="O19" s="881" t="str">
        <x:v>Sprint 5</x:v>
      </x:c>
      <x:c r="P19" s="882" t="n">
        <x:v>46283</x:v>
      </x:c>
      <x:c r="Q19" s="882" t="n">
        <x:v>46284</x:v>
      </x:c>
      <x:c r="R19" s="883" t="str">
        <x:v>HU15: Web: Módulo de registro y consulta de recojos</x:v>
      </x:c>
    </x:row>
    <x:row r="20" ht="58" customHeight="1">
      <x:c r="A20" s="888" t="str">
        <x:v>RF-16</x:v>
      </x:c>
      <x:c r="B20" s="889" t="str">
        <x:v>HU16</x:v>
      </x:c>
      <x:c r="C20" s="889" t="str">
        <x:v>5.3.4</x:v>
      </x:c>
      <x:c r="D20" s="889" t="str">
        <x:v>Registrar recojo sin conexión</x:v>
      </x:c>
      <x:c r="E20" s="889" t="str">
        <x:v>El sistema deberá permitir registrar recojos de leche sin conexión a Internet para que el acopiador pueda continuar trabajando en zonas rurales sin cobertura, cumpliendo el almacenamiento local de la información.</x:v>
      </x:c>
      <x:c r="F20" s="889" t="str">
        <x:v>Funcional</x:v>
      </x:c>
      <x:c r="G20" s="889" t="str">
        <x:v>Acopiador</x:v>
      </x:c>
      <x:c r="H20" s="889" t="str">
        <x:v>Cronograma EDT</x:v>
      </x:c>
      <x:c r="I20" s="889" t="str">
        <x:v>HU16: Como acopiador, quiero registrar el recojo de leche aunque no tenga conexión a internet para seguir trabajando en zonas rurales sin cobertura.</x:v>
      </x:c>
      <x:c r="J20" s="889" t="str">
        <x:v>Must</x:v>
      </x:c>
      <x:c r="K20" s="889" t="str">
        <x:v>Sin conexión, el recojo puede guardarse localmente sin perder la información capturada.</x:v>
      </x:c>
      <x:c r="L20" s="889" t="str">
        <x:v>Móvil / Recojo Offline</x:v>
      </x:c>
      <x:c r="M20" s="889" t="str">
        <x:v>HU11</x:v>
      </x:c>
      <x:c r="N20" s="889" t="str">
        <x:v>Planificado</x:v>
      </x:c>
      <x:c r="O20" s="889" t="str">
        <x:v>Sprint 5</x:v>
      </x:c>
      <x:c r="P20" s="890" t="n">
        <x:v>46283</x:v>
      </x:c>
      <x:c r="Q20" s="890" t="n">
        <x:v>46284</x:v>
      </x:c>
      <x:c r="R20" s="891" t="str">
        <x:v>HU16: Móvil: Pantalla de registro de recojo de leche (offline-first)</x:v>
      </x:c>
    </x:row>
    <x:row r="21" ht="58" customHeight="1">
      <x:c r="A21" s="880" t="str">
        <x:v>RF-17</x:v>
      </x:c>
      <x:c r="B21" s="881" t="str">
        <x:v>HU17</x:v>
      </x:c>
      <x:c r="C21" s="881" t="str">
        <x:v>5.3.5</x:v>
      </x:c>
      <x:c r="D21" s="881" t="str">
        <x:v>Sincronizar datos offline</x:v>
      </x:c>
      <x:c r="E21" s="881" t="str">
        <x:v>El sistema deberá sincronizar automáticamente los registros almacenados localmente cuando exista conexión para que el acopiador pueda conservar la información capturada offline, cumpliendo el uso de SQLite y la sincronización con el backend.</x:v>
      </x:c>
      <x:c r="F21" s="881" t="str">
        <x:v>Funcional</x:v>
      </x:c>
      <x:c r="G21" s="881" t="str">
        <x:v>Acopiador</x:v>
      </x:c>
      <x:c r="H21" s="881" t="str">
        <x:v>Cronograma EDT</x:v>
      </x:c>
      <x:c r="I21" s="881" t="str">
        <x:v>HU17: Como acopiador, quiero que los datos registrados sin conexión se sincronicen automáticamente cuando tenga internet para no perder información.</x:v>
      </x:c>
      <x:c r="J21" s="881" t="str">
        <x:v>Must</x:v>
      </x:c>
      <x:c r="K21" s="881" t="str">
        <x:v>Al recuperar conectividad, los registros pendientes se sincronizan y quedan disponibles en el backend.</x:v>
      </x:c>
      <x:c r="L21" s="881" t="str">
        <x:v>Móvil / SQLite y Sincronización</x:v>
      </x:c>
      <x:c r="M21" s="881" t="str">
        <x:v>HU16</x:v>
      </x:c>
      <x:c r="N21" s="881" t="str">
        <x:v>Planificado</x:v>
      </x:c>
      <x:c r="O21" s="881" t="str">
        <x:v>Sprint 5</x:v>
      </x:c>
      <x:c r="P21" s="882" t="n">
        <x:v>46284</x:v>
      </x:c>
      <x:c r="Q21" s="882" t="n">
        <x:v>46285</x:v>
      </x:c>
      <x:c r="R21" s="883" t="str">
        <x:v>HU17: Móvil: Almacenamiento local (SQLite) y sincronización</x:v>
      </x:c>
    </x:row>
    <x:row r="22" ht="78" customHeight="1">
      <x:c r="A22" s="888" t="str">
        <x:v>RF-18</x:v>
      </x:c>
      <x:c r="B22" s="889" t="str">
        <x:v>HU18</x:v>
      </x:c>
      <x:c r="C22" s="889" t="str">
        <x:v>5.3.6</x:v>
      </x:c>
      <x:c r="D22" s="889" t="str">
        <x:v>Capturar evidencia del recojo</x:v>
      </x:c>
      <x:c r="E22" s="889" t="str">
        <x:v>El sistema deberá permitir tomar una foto o adjuntar un archivo como evidencia del recojo y del análisis de calidad para que exista un respaldo fácil de revisar, incluyendo firma, foto o comprobante que emita la máquina.</x:v>
      </x:c>
      <x:c r="F22" s="889" t="str">
        <x:v>Funcional</x:v>
      </x:c>
      <x:c r="G22" s="889" t="str">
        <x:v>Acopiador</x:v>
      </x:c>
      <x:c r="H22" s="889" t="str">
        <x:v>Cronograma EDT + RN-04, RN-05, RN-08</x:v>
      </x:c>
      <x:c r="I22" s="889" t="str">
        <x:v>HU18: Como acopiador, quiero tomar una foto o capturar la firma del productor como evidencia del recojo para tener un respaldo del registro.</x:v>
      </x:c>
      <x:c r="J22" s="889" t="str">
        <x:v>Should</x:v>
      </x:c>
      <x:c r="K22" s="889" t="str">
        <x:v>La foto, firma o comprobante queda guardado dentro del recojo correcto y puede consultarse desde el historial del proveedor.</x:v>
      </x:c>
      <x:c r="L22" s="889" t="str">
        <x:v>Móvil / Evidencias</x:v>
      </x:c>
      <x:c r="M22" s="889" t="str">
        <x:v>HU16</x:v>
      </x:c>
      <x:c r="N22" s="889" t="str">
        <x:v>Planificado</x:v>
      </x:c>
      <x:c r="O22" s="889" t="str">
        <x:v>Sprint 5</x:v>
      </x:c>
      <x:c r="P22" s="890" t="n">
        <x:v>46286</x:v>
      </x:c>
      <x:c r="Q22" s="890" t="n">
        <x:v>46286</x:v>
      </x:c>
      <x:c r="R22" s="891" t="str">
        <x:v>HU18: Móvil: Captura de evidencia (firma digital / foto)</x:v>
      </x:c>
    </x:row>
    <x:row r="23" ht="78" customHeight="1">
      <x:c r="A23" s="880" t="str">
        <x:v>RF-19</x:v>
      </x:c>
      <x:c r="B23" s="881" t="str">
        <x:v>HU19</x:v>
      </x:c>
      <x:c r="C23" s="881" t="str">
        <x:v>6.2.1</x:v>
      </x:c>
      <x:c r="D23" s="881" t="str">
        <x:v>Generar reportes gerenciales</x:v>
      </x:c>
      <x:c r="E23" s="881" t="str">
        <x:v>El sistema deberá generar reportes para que el administrador pueda revisar la producción por ruta y proveedor, además de los problemas de calidad, casos observados y pagos realizados.</x:v>
      </x:c>
      <x:c r="F23" s="881" t="str">
        <x:v>Funcional</x:v>
      </x:c>
      <x:c r="G23" s="881" t="str">
        <x:v>Administrador</x:v>
      </x:c>
      <x:c r="H23" s="881" t="str">
        <x:v>Cronograma EDT + RN-12, RN-15, RN-17</x:v>
      </x:c>
      <x:c r="I23" s="881" t="str">
        <x:v>HU19: Como administrador, quiero ver reportes gerenciales de producción total, por ruta y por productor para evaluar el desempeño de cada zona.</x:v>
      </x:c>
      <x:c r="J23" s="881" t="str">
        <x:v>Must</x:v>
      </x:c>
      <x:c r="K23" s="881" t="str">
        <x:v>Los reportes muestran producción, problemas de calidad, estado de la leche y pagos con información que coincide con los registros guardados.</x:v>
      </x:c>
      <x:c r="L23" s="881" t="str">
        <x:v>Backend / Reportes</x:v>
      </x:c>
      <x:c r="M23" s="881" t="str">
        <x:v>HU11</x:v>
      </x:c>
      <x:c r="N23" s="881" t="str">
        <x:v>Planificado</x:v>
      </x:c>
      <x:c r="O23" s="881" t="str">
        <x:v>Sprint 6</x:v>
      </x:c>
      <x:c r="P23" s="882" t="n">
        <x:v>46288</x:v>
      </x:c>
      <x:c r="Q23" s="882" t="n">
        <x:v>46289</x:v>
      </x:c>
      <x:c r="R23" s="883" t="str">
        <x:v>HU19: Backend: Módulo de reportes gerenciales</x:v>
      </x:c>
    </x:row>
    <x:row r="24" ht="58" customHeight="1">
      <x:c r="A24" s="888" t="str">
        <x:v>RF-20</x:v>
      </x:c>
      <x:c r="B24" s="889" t="str">
        <x:v>HU20</x:v>
      </x:c>
      <x:c r="C24" s="889" t="str">
        <x:v>6.2.2</x:v>
      </x:c>
      <x:c r="D24" s="889" t="str">
        <x:v>Generar notificaciones</x:v>
      </x:c>
      <x:c r="E24" s="889" t="str">
        <x:v>El sistema deberá generar notificaciones por los canales previstos para que el administrador pueda conocer eventos importantes del sistema, cumpliendo la configuración de notificaciones definida.</x:v>
      </x:c>
      <x:c r="F24" s="889" t="str">
        <x:v>Funcional</x:v>
      </x:c>
      <x:c r="G24" s="889" t="str">
        <x:v>Administrador</x:v>
      </x:c>
      <x:c r="H24" s="889" t="str">
        <x:v>Cronograma EDT</x:v>
      </x:c>
      <x:c r="I24" s="889" t="str">
        <x:v>HU20: Como administrador, quiero recibir notificaciones por correo electrónico para estar al tanto de eventos importantes del sistema.</x:v>
      </x:c>
      <x:c r="J24" s="889" t="str">
        <x:v>Should</x:v>
      </x:c>
      <x:c r="K24" s="889" t="str">
        <x:v>El sistema genera una notificación configurada por el canal previsto.</x:v>
      </x:c>
      <x:c r="L24" s="889" t="str">
        <x:v>Backend / Notificaciones</x:v>
      </x:c>
      <x:c r="M24" s="889" t="str">
        <x:v>HU03</x:v>
      </x:c>
      <x:c r="N24" s="889" t="str">
        <x:v>Planificado</x:v>
      </x:c>
      <x:c r="O24" s="889" t="str">
        <x:v>Sprint 6</x:v>
      </x:c>
      <x:c r="P24" s="890" t="n">
        <x:v>46289</x:v>
      </x:c>
      <x:c r="Q24" s="890" t="n">
        <x:v>46289</x:v>
      </x:c>
      <x:c r="R24" s="891" t="str">
        <x:v>HU20: Backend: Módulo de notificaciones (email / push)</x:v>
      </x:c>
    </x:row>
    <x:row r="25" ht="58" customHeight="1">
      <x:c r="A25" s="880" t="str">
        <x:v>RF-21</x:v>
      </x:c>
      <x:c r="B25" s="881" t="str">
        <x:v>HU21</x:v>
      </x:c>
      <x:c r="C25" s="881" t="str">
        <x:v>6.2.3</x:v>
      </x:c>
      <x:c r="D25" s="881" t="str">
        <x:v>Visualizar dashboard con gráficos</x:v>
      </x:c>
      <x:c r="E25" s="881" t="str">
        <x:v>El sistema deberá mostrar un dashboard con gráficos de producción y tendencias para que el administrador pueda visualizar rápidamente el estado del negocio, cumpliendo la consistencia con los datos registrados.</x:v>
      </x:c>
      <x:c r="F25" s="881" t="str">
        <x:v>Funcional</x:v>
      </x:c>
      <x:c r="G25" s="881" t="str">
        <x:v>Administrador</x:v>
      </x:c>
      <x:c r="H25" s="881" t="str">
        <x:v>Cronograma EDT</x:v>
      </x:c>
      <x:c r="I25" s="881" t="str">
        <x:v>HU21: Como administrador, quiero ver un dashboard con gráficos de producción y tendencias para tener una visión rápida del estado del negocio.</x:v>
      </x:c>
      <x:c r="J25" s="881" t="str">
        <x:v>Must</x:v>
      </x:c>
      <x:c r="K25" s="881" t="str">
        <x:v>Los gráficos del dashboard reflejan los datos de producción y tendencias registrados.</x:v>
      </x:c>
      <x:c r="L25" s="881" t="str">
        <x:v>Web / Dashboard</x:v>
      </x:c>
      <x:c r="M25" s="881" t="str">
        <x:v>HU19</x:v>
      </x:c>
      <x:c r="N25" s="881" t="str">
        <x:v>Planificado</x:v>
      </x:c>
      <x:c r="O25" s="881" t="str">
        <x:v>Sprint 6</x:v>
      </x:c>
      <x:c r="P25" s="882" t="n">
        <x:v>46290</x:v>
      </x:c>
      <x:c r="Q25" s="882" t="n">
        <x:v>46291</x:v>
      </x:c>
      <x:c r="R25" s="883" t="str">
        <x:v>HU21: Web: Dashboard de reportes con gráficos</x:v>
      </x:c>
    </x:row>
    <x:row r="26" ht="58" customHeight="1">
      <x:c r="A26" s="888" t="str">
        <x:v>RF-22</x:v>
      </x:c>
      <x:c r="B26" s="889" t="str">
        <x:v>HU22</x:v>
      </x:c>
      <x:c r="C26" s="889" t="str">
        <x:v>6.2.4</x:v>
      </x:c>
      <x:c r="D26" s="889" t="str">
        <x:v>Administrar usuarios y roles</x:v>
      </x:c>
      <x:c r="E26" s="889" t="str">
        <x:v>El sistema deberá permitir administrar usuarios y roles desde la plataforma web para que el administrador pueda controlar el acceso a las funcionalidades, cumpliendo los permisos asignados a cada rol.</x:v>
      </x:c>
      <x:c r="F26" s="889" t="str">
        <x:v>Funcional</x:v>
      </x:c>
      <x:c r="G26" s="889" t="str">
        <x:v>Administrador</x:v>
      </x:c>
      <x:c r="H26" s="889" t="str">
        <x:v>Cronograma EDT</x:v>
      </x:c>
      <x:c r="I26" s="889" t="str">
        <x:v>HU22: Como administrador, quiero gestionar los usuarios del sistema y sus roles para controlar quién tiene acceso a cada funcionalidad.</x:v>
      </x:c>
      <x:c r="J26" s="889" t="str">
        <x:v>Must</x:v>
      </x:c>
      <x:c r="K26" s="889" t="str">
        <x:v>El administrador puede crear/editar usuarios, asignar roles y verificar que los permisos se apliquen.</x:v>
      </x:c>
      <x:c r="L26" s="889" t="str">
        <x:v>Web / Usuarios y Roles</x:v>
      </x:c>
      <x:c r="M26" s="889" t="str">
        <x:v>HU03</x:v>
      </x:c>
      <x:c r="N26" s="889" t="str">
        <x:v>Planificado</x:v>
      </x:c>
      <x:c r="O26" s="889" t="str">
        <x:v>Sprint 6</x:v>
      </x:c>
      <x:c r="P26" s="890" t="n">
        <x:v>46291</x:v>
      </x:c>
      <x:c r="Q26" s="890" t="n">
        <x:v>46291</x:v>
      </x:c>
      <x:c r="R26" s="891" t="str">
        <x:v>HU22: Web: Módulo de administración de usuarios y roles</x:v>
      </x:c>
    </x:row>
    <x:row r="27" ht="58" customHeight="1">
      <x:c r="A27" s="880" t="str">
        <x:v>RF-23</x:v>
      </x:c>
      <x:c r="B27" s="881" t="str">
        <x:v>HU23</x:v>
      </x:c>
      <x:c r="C27" s="881" t="str">
        <x:v>6.2.5</x:v>
      </x:c>
      <x:c r="D27" s="881" t="str">
        <x:v>Recibir notificaciones push</x:v>
      </x:c>
      <x:c r="E27" s="881" t="str">
        <x:v>El sistema deberá enviar notificaciones push a la aplicación móvil para que el acopiador pueda recibir novedades y alertas, cumpliendo la integración prevista con Firebase Cloud Messaging.</x:v>
      </x:c>
      <x:c r="F27" s="881" t="str">
        <x:v>Funcional</x:v>
      </x:c>
      <x:c r="G27" s="881" t="str">
        <x:v>Acopiador</x:v>
      </x:c>
      <x:c r="H27" s="881" t="str">
        <x:v>Cronograma EDT</x:v>
      </x:c>
      <x:c r="I27" s="881" t="str">
        <x:v>HU23: Como acopiador, quiero recibir notificaciones push en mi dispositivo móvil para estar informado sobre novedades y alertas en el campo.</x:v>
      </x:c>
      <x:c r="J27" s="881" t="str">
        <x:v>Should</x:v>
      </x:c>
      <x:c r="K27" s="881" t="str">
        <x:v>La app móvil recibe una notificación push enviada mediante el mecanismo configurado.</x:v>
      </x:c>
      <x:c r="L27" s="881" t="str">
        <x:v>Móvil / Notificaciones</x:v>
      </x:c>
      <x:c r="M27" s="881" t="str">
        <x:v>HU20</x:v>
      </x:c>
      <x:c r="N27" s="881" t="str">
        <x:v>Planificado</x:v>
      </x:c>
      <x:c r="O27" s="881" t="str">
        <x:v>Sprint 6</x:v>
      </x:c>
      <x:c r="P27" s="882" t="n">
        <x:v>46290</x:v>
      </x:c>
      <x:c r="Q27" s="882" t="n">
        <x:v>46290</x:v>
      </x:c>
      <x:c r="R27" s="883" t="str">
        <x:v>HU23: Móvil: Notificaciones push (Firebase Cloud Messaging)</x:v>
      </x:c>
    </x:row>
    <x:row r="28" ht="58" customHeight="1">
      <x:c r="A28" s="888" t="str">
        <x:v>RF-24</x:v>
      </x:c>
      <x:c r="B28" s="889" t="str">
        <x:v>HU24</x:v>
      </x:c>
      <x:c r="C28" s="889" t="str">
        <x:v>6.2.6</x:v>
      </x:c>
      <x:c r="D28" s="889" t="str">
        <x:v>Consultar historial de recojos</x:v>
      </x:c>
      <x:c r="E28" s="889" t="str">
        <x:v>El sistema deberá permitir consultar el historial de recojos y reportes personales desde la aplicación móvil para que el acopiador pueda controlar su trabajo diario, cumpliendo la visualización de sus propios registros.</x:v>
      </x:c>
      <x:c r="F28" s="889" t="str">
        <x:v>Funcional</x:v>
      </x:c>
      <x:c r="G28" s="889" t="str">
        <x:v>Acopiador</x:v>
      </x:c>
      <x:c r="H28" s="889" t="str">
        <x:v>Cronograma EDT</x:v>
      </x:c>
      <x:c r="I28" s="889" t="str">
        <x:v>HU24: Como acopiador, quiero consultar mi historial de recojos y reportes personales desde la app móvil para llevar un control de mi trabajo diario.</x:v>
      </x:c>
      <x:c r="J28" s="889" t="str">
        <x:v>Should</x:v>
      </x:c>
      <x:c r="K28" s="889" t="str">
        <x:v>El acopiador visualiza su historial de recojos y reportes personales.</x:v>
      </x:c>
      <x:c r="L28" s="889" t="str">
        <x:v>Móvil / Historial</x:v>
      </x:c>
      <x:c r="M28" s="889" t="str">
        <x:v>HU11</x:v>
      </x:c>
      <x:c r="N28" s="889" t="str">
        <x:v>Planificado</x:v>
      </x:c>
      <x:c r="O28" s="889" t="str">
        <x:v>Sprint 6</x:v>
      </x:c>
      <x:c r="P28" s="890" t="n">
        <x:v>46290</x:v>
      </x:c>
      <x:c r="Q28" s="890" t="n">
        <x:v>46291</x:v>
      </x:c>
      <x:c r="R28" s="891" t="str">
        <x:v>HU24: Móvil: Pantalla de historial de recojos y reportes personales</x:v>
      </x:c>
    </x:row>
    <x:row r="29" ht="58" customHeight="1">
      <x:c r="A29" s="880" t="str">
        <x:v>RI-01</x:v>
      </x:c>
      <x:c r="B29" s="881" t="str">
        <x:v>HU25</x:v>
      </x:c>
      <x:c r="C29" s="881" t="str">
        <x:v>8.5.2</x:v>
      </x:c>
      <x:c r="D29" s="881" t="str">
        <x:v>Capacitar administradores del sistema</x:v>
      </x:c>
      <x:c r="E29" s="881" t="str">
        <x:v>El proyecto deberá capacitar a los administradores en el uso del módulo web para que puedan gestionar las operaciones del sistema, cumpliendo la sesión de capacitación prevista en el Sprint 8.</x:v>
      </x:c>
      <x:c r="F29" s="881" t="str">
        <x:v>Implementación</x:v>
      </x:c>
      <x:c r="G29" s="881" t="str">
        <x:v>Administrador</x:v>
      </x:c>
      <x:c r="H29" s="881" t="str">
        <x:v>Cronograma EDT</x:v>
      </x:c>
      <x:c r="I29" s="881" t="str">
        <x:v>HU25: Como administrador, quiero recibir capacitación sobre el uso del sistema web para gestionar eficientemente las operaciones.</x:v>
      </x:c>
      <x:c r="J29" s="881" t="str">
        <x:v>Should</x:v>
      </x:c>
      <x:c r="K29" s="881" t="str">
        <x:v>Se realiza la capacitación web prevista y los administradores reciben el material o guía correspondiente.</x:v>
      </x:c>
      <x:c r="L29" s="881" t="str">
        <x:v>Implementación / Capacitación Web</x:v>
      </x:c>
      <x:c r="M29" s="881" t="str">
        <x:v>HU21, HU22</x:v>
      </x:c>
      <x:c r="N29" s="881" t="str">
        <x:v>Planificado</x:v>
      </x:c>
      <x:c r="O29" s="881" t="str">
        <x:v>Sprint 8</x:v>
      </x:c>
      <x:c r="P29" s="882" t="n">
        <x:v>46305</x:v>
      </x:c>
      <x:c r="Q29" s="882" t="n">
        <x:v>46305</x:v>
      </x:c>
      <x:c r="R29" s="883" t="str">
        <x:v>HU25: Capacitación a administradores del sistema (módulo Web)</x:v>
      </x:c>
    </x:row>
    <x:row r="30" ht="58" customHeight="1">
      <x:c r="A30" s="888" t="str">
        <x:v>RI-02</x:v>
      </x:c>
      <x:c r="B30" s="889" t="str">
        <x:v>HU26</x:v>
      </x:c>
      <x:c r="C30" s="889" t="str">
        <x:v>8.5.3</x:v>
      </x:c>
      <x:c r="D30" s="889" t="str">
        <x:v>Capacitar acopiadores en la app móvil</x:v>
      </x:c>
      <x:c r="E30" s="889" t="str">
        <x:v>El proyecto deberá capacitar a los acopiadores y usuarios finales en el uso de la aplicación móvil para que puedan registrar correctamente los recojos en campo, cumpliendo la capacitación prevista en Huata.</x:v>
      </x:c>
      <x:c r="F30" s="889" t="str">
        <x:v>Implementación</x:v>
      </x:c>
      <x:c r="G30" s="889" t="str">
        <x:v>Acopiador</x:v>
      </x:c>
      <x:c r="H30" s="889" t="str">
        <x:v>Cronograma EDT</x:v>
      </x:c>
      <x:c r="I30" s="889" t="str">
        <x:v>HU26: Como acopiador, quiero recibir capacitación sobre el uso de la aplicación móvil en campo para aprender a registrar los recojos de leche correctamente.</x:v>
      </x:c>
      <x:c r="J30" s="889" t="str">
        <x:v>Should</x:v>
      </x:c>
      <x:c r="K30" s="889" t="str">
        <x:v>Se realiza la capacitación móvil en Huata y los acopiadores practican el registro de recojos.</x:v>
      </x:c>
      <x:c r="L30" s="889" t="str">
        <x:v>Implementación / Capacitación Móvil</x:v>
      </x:c>
      <x:c r="M30" s="889" t="str">
        <x:v>HU16, HU24</x:v>
      </x:c>
      <x:c r="N30" s="889" t="str">
        <x:v>Planificado</x:v>
      </x:c>
      <x:c r="O30" s="889" t="str">
        <x:v>Sprint 8</x:v>
      </x:c>
      <x:c r="P30" s="890" t="n">
        <x:v>46306</x:v>
      </x:c>
      <x:c r="Q30" s="890" t="n">
        <x:v>46306</x:v>
      </x:c>
      <x:c r="R30" s="891" t="str">
        <x:v>HU26: Capacitación a acopiadores / usuarios finales (App Móvil) en Huata</x:v>
      </x:c>
    </x:row>
    <x:row r="31" ht="58" customHeight="1">
      <x:c r="A31" s="880" t="str">
        <x:v>RS-01</x:v>
      </x:c>
      <x:c r="B31" s="881" t="str">
        <x:v>HU27</x:v>
      </x:c>
      <x:c r="C31" s="881" t="str">
        <x:v>8.5.4</x:v>
      </x:c>
      <x:c r="D31" s="881" t="str">
        <x:v>Brindar soporte post-implementación</x:v>
      </x:c>
      <x:c r="E31" s="881" t="str">
        <x:v>El servicio deberá brindar soporte post-implementación para que los usuarios puedan resolver dudas o incidencias iniciales, cumpliendo el periodo de hipercare planificado.</x:v>
      </x:c>
      <x:c r="F31" s="881" t="str">
        <x:v>Servicio</x:v>
      </x:c>
      <x:c r="G31" s="881" t="str">
        <x:v>Usuario del sistema</x:v>
      </x:c>
      <x:c r="H31" s="881" t="str">
        <x:v>Cronograma EDT</x:v>
      </x:c>
      <x:c r="I31" s="881" t="str">
        <x:v>HU27: Como usuario del sistema, quiero contar con soporte post-implementación para resolver dudas o problemas durante los primeros días de uso.</x:v>
      </x:c>
      <x:c r="J31" s="881" t="str">
        <x:v>Should</x:v>
      </x:c>
      <x:c r="K31" s="881" t="str">
        <x:v>Durante el hipercare se registran y atienden las dudas o incidencias reportadas por los usuarios.</x:v>
      </x:c>
      <x:c r="L31" s="881" t="str">
        <x:v>Servicio / Soporte</x:v>
      </x:c>
      <x:c r="M31" s="881" t="str">
        <x:v>HU25, HU26</x:v>
      </x:c>
      <x:c r="N31" s="881" t="str">
        <x:v>Planificado</x:v>
      </x:c>
      <x:c r="O31" s="881" t="str">
        <x:v>Sprint 8</x:v>
      </x:c>
      <x:c r="P31" s="882" t="n">
        <x:v>46306</x:v>
      </x:c>
      <x:c r="Q31" s="882" t="n">
        <x:v>46307</x:v>
      </x:c>
      <x:c r="R31" s="883" t="str">
        <x:v>HU27: Soporte post-implementación (hipercare)</x:v>
      </x:c>
    </x:row>
    <x:row r="32" ht="58" customHeight="1">
      <x:c r="A32" s="896" t="str">
        <x:v>RNF-01</x:v>
      </x:c>
      <x:c r="B32" s="897" t="str">
        <x:v>—</x:v>
      </x:c>
      <x:c r="C32" s="897" t="str">
        <x:v>2.2.1–2.2.7 / 6.3.1</x:v>
      </x:c>
      <x:c r="D32" s="897" t="str">
        <x:v>Interfaz intuitiva y usable</x:v>
      </x:c>
      <x:c r="E32" s="897" t="str">
        <x:v>El sistema deberá mantener una interfaz clara y usable para que los usuarios puedan completar los flujos principales, cumpliendo los prototipos y ajustes UI/UX planificados.</x:v>
      </x:c>
      <x:c r="F32" s="897" t="str">
        <x:v>No funcional</x:v>
      </x:c>
      <x:c r="G32" s="897" t="str">
        <x:v>Todos</x:v>
      </x:c>
      <x:c r="H32" s="897" t="str">
        <x:v>Project Charter + Cronograma EDT</x:v>
      </x:c>
      <x:c r="I32" s="897" t="str">
        <x:v>Diseño y validación de interfaces / ajustes UI/UX</x:v>
      </x:c>
      <x:c r="J32" s="897" t="str">
        <x:v>Must</x:v>
      </x:c>
      <x:c r="K32" s="897" t="str">
        <x:v>Los flujos principales pueden ejecutarse sin pérdida de controles y los ajustes de UI/UX planificados quedan incorporados.</x:v>
      </x:c>
      <x:c r="L32" s="897" t="str">
        <x:v>Transversal / UX</x:v>
      </x:c>
      <x:c r="M32" s="897" t="str">
        <x:v>—</x:v>
      </x:c>
      <x:c r="N32" s="897" t="str">
        <x:v>Planificado</x:v>
      </x:c>
      <x:c r="O32" s="897" t="str">
        <x:v>Sprint 2 / Sprint 6</x:v>
      </x:c>
      <x:c r="P32" s="898" t="n">
        <x:v>46261</x:v>
      </x:c>
      <x:c r="Q32" s="898" t="n">
        <x:v>46292</x:v>
      </x:c>
      <x:c r="R32" s="899" t="str">
        <x:v>Prototipos + ajustes UI/UX</x:v>
      </x:c>
    </x:row>
    <x:row r="33" ht="58" customHeight="1">
      <x:c r="A33" s="896" t="str">
        <x:v>RNF-02</x:v>
      </x:c>
      <x:c r="B33" s="897" t="str">
        <x:v>—</x:v>
      </x:c>
      <x:c r="C33" s="897" t="str">
        <x:v>3.3.8 / 3.4.3 / 7.2.9</x:v>
      </x:c>
      <x:c r="D33" s="897" t="str">
        <x:v>Seguridad de la información</x:v>
      </x:c>
      <x:c r="E33" s="897" t="str">
        <x:v>El sistema deberá proteger el acceso a las funcionalidades para que solo usuarios autorizados puedan operar, cumpliendo Spring Security, JWT y las pruebas de seguridad planificadas.</x:v>
      </x:c>
      <x:c r="F33" s="897" t="str">
        <x:v>No funcional</x:v>
      </x:c>
      <x:c r="G33" s="897" t="str">
        <x:v>Todos</x:v>
      </x:c>
      <x:c r="H33" s="897" t="str">
        <x:v>Project Charter + Cronograma EDT</x:v>
      </x:c>
      <x:c r="I33" s="897" t="str">
        <x:v>Seguridad, autenticación y pruebas no funcionales</x:v>
      </x:c>
      <x:c r="J33" s="897" t="str">
        <x:v>Must</x:v>
      </x:c>
      <x:c r="K33" s="897" t="str">
        <x:v>Las funciones protegidas requieren autenticación válida y las pruebas de seguridad no presentan fallos críticos.</x:v>
      </x:c>
      <x:c r="L33" s="897" t="str">
        <x:v>Seguridad</x:v>
      </x:c>
      <x:c r="M33" s="897" t="str">
        <x:v>RF-01, RF-02, RF-03, RF-22</x:v>
      </x:c>
      <x:c r="N33" s="897" t="str">
        <x:v>Planificado</x:v>
      </x:c>
      <x:c r="O33" s="897" t="str">
        <x:v>Sprint 3 / Sprint 7</x:v>
      </x:c>
      <x:c r="P33" s="898" t="n">
        <x:v>46269</x:v>
      </x:c>
      <x:c r="Q33" s="898" t="n">
        <x:v>46297</x:v>
      </x:c>
      <x:c r="R33" s="899" t="str">
        <x:v>Seguridad base + pruebas no funcionales</x:v>
      </x:c>
    </x:row>
    <x:row r="34" ht="58" customHeight="1">
      <x:c r="A34" s="896" t="str">
        <x:v>RNF-03</x:v>
      </x:c>
      <x:c r="B34" s="897" t="str">
        <x:v>—</x:v>
      </x:c>
      <x:c r="C34" s="897" t="str">
        <x:v>8.2.4</x:v>
      </x:c>
      <x:c r="D34" s="897" t="str">
        <x:v>Compatibilidad Android</x:v>
      </x:c>
      <x:c r="E34" s="897" t="str">
        <x:v>La aplicación móvil deberá poder distribuirse e instalarse en Android para que los acopiadores puedan utilizarla en campo, cumpliendo la generación y distribución de la APK planificada.</x:v>
      </x:c>
      <x:c r="F34" s="897" t="str">
        <x:v>No funcional</x:v>
      </x:c>
      <x:c r="G34" s="897" t="str">
        <x:v>Acopiador</x:v>
      </x:c>
      <x:c r="H34" s="897" t="str">
        <x:v>Project Charter + Cronograma EDT</x:v>
      </x:c>
      <x:c r="I34" s="897" t="str">
        <x:v>Generación y distribución de la app móvil (APK)</x:v>
      </x:c>
      <x:c r="J34" s="897" t="str">
        <x:v>Must</x:v>
      </x:c>
      <x:c r="K34" s="897" t="str">
        <x:v>La APK se genera, se distribuye y permite ejecutar los flujos móviles previstos.</x:v>
      </x:c>
      <x:c r="L34" s="897" t="str">
        <x:v>Móvil</x:v>
      </x:c>
      <x:c r="M34" s="897" t="str">
        <x:v>RF-02, RF-09, RF-10, RF-16, RF-17, RF-18, RF-23, RF-24</x:v>
      </x:c>
      <x:c r="N34" s="897" t="str">
        <x:v>Planificado</x:v>
      </x:c>
      <x:c r="O34" s="897" t="str">
        <x:v>Sprint 8</x:v>
      </x:c>
      <x:c r="P34" s="898" t="n">
        <x:v>46303</x:v>
      </x:c>
      <x:c r="Q34" s="898" t="n">
        <x:v>46303</x:v>
      </x:c>
      <x:c r="R34" s="899" t="str">
        <x:v>APK distribuida</x:v>
      </x:c>
    </x:row>
    <x:row r="35" ht="58" customHeight="1">
      <x:c r="A35" s="896" t="str">
        <x:v>RNF-04</x:v>
      </x:c>
      <x:c r="B35" s="897" t="str">
        <x:v>—</x:v>
      </x:c>
      <x:c r="C35" s="897" t="str">
        <x:v>—</x:v>
      </x:c>
      <x:c r="D35" s="897" t="str">
        <x:v>Compatibilidad web</x:v>
      </x:c>
      <x:c r="E35" s="897" t="str">
        <x:v>La plataforma web deberá operar en los navegadores definidos por el proyecto para que los administradores puedan utilizar sus módulos, cumpliendo la restricción de compatibilidad establecida en el Project Charter.</x:v>
      </x:c>
      <x:c r="F35" s="897" t="str">
        <x:v>No funcional</x:v>
      </x:c>
      <x:c r="G35" s="897" t="str">
        <x:v>Administrador</x:v>
      </x:c>
      <x:c r="H35" s="897" t="str">
        <x:v>Project Charter</x:v>
      </x:c>
      <x:c r="I35" s="897" t="str">
        <x:v>Restricción de compatibilidad web</x:v>
      </x:c>
      <x:c r="J35" s="897" t="str">
        <x:v>Must</x:v>
      </x:c>
      <x:c r="K35" s="897" t="str">
        <x:v>Las funciones web críticas pueden ejecutarse en los navegadores objetivo definidos por el proyecto.</x:v>
      </x:c>
      <x:c r="L35" s="897" t="str">
        <x:v>Web</x:v>
      </x:c>
      <x:c r="M35" s="897" t="str">
        <x:v>RF-01, RF-07, RF-08, RF-12, RF-15, RF-21, RF-22</x:v>
      </x:c>
      <x:c r="N35" s="897" t="str">
        <x:v>Planificado</x:v>
      </x:c>
      <x:c r="O35" s="897" t="str">
        <x:v>Transversal</x:v>
      </x:c>
      <x:c r="P35" s="898" t="n">
        <x:v>46253</x:v>
      </x:c>
      <x:c r="Q35" s="898" t="n">
        <x:v>46309</x:v>
      </x:c>
      <x:c r="R35" s="899" t="str">
        <x:v>Validación transversal de compatibilidad web</x:v>
      </x:c>
    </x:row>
    <x:row r="36" ht="58" customHeight="1">
      <x:c r="A36" s="896" t="str">
        <x:v>RNF-05</x:v>
      </x:c>
      <x:c r="B36" s="897" t="str">
        <x:v>—</x:v>
      </x:c>
      <x:c r="C36" s="897" t="str">
        <x:v>7.2.9</x:v>
      </x:c>
      <x:c r="D36" s="897" t="str">
        <x:v>Rendimiento y estabilidad</x:v>
      </x:c>
      <x:c r="E36" s="897" t="str">
        <x:v>El sistema deberá mantener un comportamiento estable durante los flujos habituales para que los usuarios puedan operar sin bloqueos críticos, cumpliendo las pruebas no funcionales de rendimiento y seguridad.</x:v>
      </x:c>
      <x:c r="F36" s="897" t="str">
        <x:v>No funcional</x:v>
      </x:c>
      <x:c r="G36" s="897" t="str">
        <x:v>Todos</x:v>
      </x:c>
      <x:c r="H36" s="897" t="str">
        <x:v>Project Charter + Cronograma EDT</x:v>
      </x:c>
      <x:c r="I36" s="897" t="str">
        <x:v>Pruebas no funcionales (rendimiento, seguridad)</x:v>
      </x:c>
      <x:c r="J36" s="897" t="str">
        <x:v>Should</x:v>
      </x:c>
      <x:c r="K36" s="897" t="str">
        <x:v>Las pruebas no funcionales no detectan fallos críticos de rendimiento o estabilidad.</x:v>
      </x:c>
      <x:c r="L36" s="897" t="str">
        <x:v>Transversal</x:v>
      </x:c>
      <x:c r="M36" s="897" t="str">
        <x:v>—</x:v>
      </x:c>
      <x:c r="N36" s="897" t="str">
        <x:v>Planificado</x:v>
      </x:c>
      <x:c r="O36" s="897" t="str">
        <x:v>Sprint 7</x:v>
      </x:c>
      <x:c r="P36" s="898" t="n">
        <x:v>46297</x:v>
      </x:c>
      <x:c r="Q36" s="898" t="n">
        <x:v>46297</x:v>
      </x:c>
      <x:c r="R36" s="899" t="str">
        <x:v>Reporte de pruebas no funcionales</x:v>
      </x:c>
    </x:row>
    <x:row r="37" ht="58" customHeight="1">
      <x:c r="A37" s="896" t="str">
        <x:v>RNF-06</x:v>
      </x:c>
      <x:c r="B37" s="897" t="str">
        <x:v>—</x:v>
      </x:c>
      <x:c r="C37" s="897" t="str">
        <x:v>3.3.3 / 5.3.5</x:v>
      </x:c>
      <x:c r="D37" s="897" t="str">
        <x:v>Persistencia de datos</x:v>
      </x:c>
      <x:c r="E37" s="897" t="str">
        <x:v>El sistema deberá persistir la información operativa para que los datos de servidor y los registros offline puedan conservarse y recuperarse, cumpliendo PostgreSQL en backend y SQLite en móvil.</x:v>
      </x:c>
      <x:c r="F37" s="897" t="str">
        <x:v>No funcional</x:v>
      </x:c>
      <x:c r="G37" s="897" t="str">
        <x:v>Equipo de desarrollo</x:v>
      </x:c>
      <x:c r="H37" s="897" t="str">
        <x:v>Project Charter + Cronograma EDT</x:v>
      </x:c>
      <x:c r="I37" s="897" t="str">
        <x:v>PostgreSQL + SQLite y sincronización</x:v>
      </x:c>
      <x:c r="J37" s="897" t="str">
        <x:v>Must</x:v>
      </x:c>
      <x:c r="K37" s="897" t="str">
        <x:v>Los datos del backend quedan almacenados en PostgreSQL y los registros offline se conservan en SQLite hasta su sincronización.</x:v>
      </x:c>
      <x:c r="L37" s="897" t="str">
        <x:v>Datos</x:v>
      </x:c>
      <x:c r="M37" s="897" t="str">
        <x:v>RF-17</x:v>
      </x:c>
      <x:c r="N37" s="897" t="str">
        <x:v>Planificado</x:v>
      </x:c>
      <x:c r="O37" s="897" t="str">
        <x:v>Sprint 3 / Sprint 5</x:v>
      </x:c>
      <x:c r="P37" s="898" t="n">
        <x:v>46269</x:v>
      </x:c>
      <x:c r="Q37" s="898" t="n">
        <x:v>46285</x:v>
      </x:c>
      <x:c r="R37" s="899" t="str">
        <x:v>BD PostgreSQL + módulo de sincronización</x:v>
      </x:c>
    </x:row>
    <x:row r="38" ht="58" customHeight="1">
      <x:c r="A38" s="896" t="str">
        <x:v>RNF-07</x:v>
      </x:c>
      <x:c r="B38" s="897" t="str">
        <x:v>—</x:v>
      </x:c>
      <x:c r="C38" s="897" t="str">
        <x:v>8.2.1–8.2.3 / 8.4.1</x:v>
      </x:c>
      <x:c r="D38" s="897" t="str">
        <x:v>Disponibilidad en producción</x:v>
      </x:c>
      <x:c r="E38" s="897" t="str">
        <x:v>El sistema deberá quedar operativo en el entorno de producción para que los usuarios puedan acceder a la solución desplegada, cumpliendo el despliegue de backend, frontend y las pruebas de humo.</x:v>
      </x:c>
      <x:c r="F38" s="897" t="str">
        <x:v>No funcional</x:v>
      </x:c>
      <x:c r="G38" s="897" t="str">
        <x:v>Administrador</x:v>
      </x:c>
      <x:c r="H38" s="897" t="str">
        <x:v>Project Charter + Cronograma EDT</x:v>
      </x:c>
      <x:c r="I38" s="897" t="str">
        <x:v>Producción + smoke testing</x:v>
      </x:c>
      <x:c r="J38" s="897" t="str">
        <x:v>Should</x:v>
      </x:c>
      <x:c r="K38" s="897" t="str">
        <x:v>Backend y frontend quedan desplegados y superan las pruebas de humo planificadas.</x:v>
      </x:c>
      <x:c r="L38" s="897" t="str">
        <x:v>Infraestructura</x:v>
      </x:c>
      <x:c r="M38" s="897" t="str">
        <x:v>RNF-02</x:v>
      </x:c>
      <x:c r="N38" s="897" t="str">
        <x:v>Planificado</x:v>
      </x:c>
      <x:c r="O38" s="897" t="str">
        <x:v>Sprint 8</x:v>
      </x:c>
      <x:c r="P38" s="898" t="n">
        <x:v>46302</x:v>
      </x:c>
      <x:c r="Q38" s="898" t="n">
        <x:v>46304</x:v>
      </x:c>
      <x:c r="R38" s="899" t="str">
        <x:v>Entorno productivo validado</x:v>
      </x:c>
    </x:row>
    <x:row r="39" ht="58" customHeight="1">
      <x:c r="A39" s="896" t="str">
        <x:v>RNF-08</x:v>
      </x:c>
      <x:c r="B39" s="897" t="str">
        <x:v>—</x:v>
      </x:c>
      <x:c r="C39" s="897" t="str">
        <x:v>8.3.1</x:v>
      </x:c>
      <x:c r="D39" s="897" t="str">
        <x:v>Integridad de carga inicial</x:v>
      </x:c>
      <x:c r="E39" s="897" t="str">
        <x:v>La implementación deberá validar la migración y carga inicial de datos para que la puesta en producción conserve información consistente, cumpliendo la tarea de carga de datos maestros prevista.</x:v>
      </x:c>
      <x:c r="F39" s="897" t="str">
        <x:v>No funcional</x:v>
      </x:c>
      <x:c r="G39" s="897" t="str">
        <x:v>Administrador / Equipo</x:v>
      </x:c>
      <x:c r="H39" s="897" t="str">
        <x:v>Project Charter + Cronograma EDT</x:v>
      </x:c>
      <x:c r="I39" s="897" t="str">
        <x:v>Migración y carga inicial de datos maestros</x:v>
      </x:c>
      <x:c r="J39" s="897" t="str">
        <x:v>Must</x:v>
      </x:c>
      <x:c r="K39" s="897" t="str">
        <x:v>La carga inicial finaliza con los datos maestros disponibles y sin inconsistencias críticas detectadas.</x:v>
      </x:c>
      <x:c r="L39" s="897" t="str">
        <x:v>Datos</x:v>
      </x:c>
      <x:c r="M39" s="897" t="str">
        <x:v>RNF-06</x:v>
      </x:c>
      <x:c r="N39" s="897" t="str">
        <x:v>Planificado</x:v>
      </x:c>
      <x:c r="O39" s="897" t="str">
        <x:v>Sprint 8</x:v>
      </x:c>
      <x:c r="P39" s="898" t="n">
        <x:v>46304</x:v>
      </x:c>
      <x:c r="Q39" s="898" t="n">
        <x:v>46304</x:v>
      </x:c>
      <x:c r="R39" s="899" t="str">
        <x:v>Datos maestros cargados</x:v>
      </x:c>
    </x:row>
    <x:row r="40" ht="58" customHeight="1">
      <x:c r="A40" s="900" t="str">
        <x:v>RNF-09</x:v>
      </x:c>
      <x:c r="B40" s="901" t="str">
        <x:v>—</x:v>
      </x:c>
      <x:c r="C40" s="901" t="str">
        <x:v>4.3.1 / 7.3.1 / 7.3.2 / 9.2.1</x:v>
      </x:c>
      <x:c r="D40" s="901" t="str">
        <x:v>Mantenibilidad y documentación</x:v>
      </x:c>
      <x:c r="E40" s="901" t="str">
        <x:v>La solución deberá contar con documentación técnica y de usuario para que el equipo pueda desplegar, soportar y mantener el sistema, cumpliendo Swagger/OpenAPI, manual de usuario, manual técnico y entrega documental.</x:v>
      </x:c>
      <x:c r="F40" s="901" t="str">
        <x:v>No funcional</x:v>
      </x:c>
      <x:c r="G40" s="901" t="str">
        <x:v>Equipo de desarrollo</x:v>
      </x:c>
      <x:c r="H40" s="901" t="str">
        <x:v>Project Charter + Cronograma EDT</x:v>
      </x:c>
      <x:c r="I40" s="901" t="str">
        <x:v>Documentación técnica y de usuario</x:v>
      </x:c>
      <x:c r="J40" s="901" t="str">
        <x:v>Should</x:v>
      </x:c>
      <x:c r="K40" s="901" t="str">
        <x:v>Se entregan la documentación de API, el manual de usuario, el manual técnico y la documentación final previstas.</x:v>
      </x:c>
      <x:c r="L40" s="901" t="str">
        <x:v>Documentación</x:v>
      </x:c>
      <x:c r="M40" s="901" t="str">
        <x:v>—</x:v>
      </x:c>
      <x:c r="N40" s="901" t="str">
        <x:v>Planificado</x:v>
      </x:c>
      <x:c r="O40" s="901" t="str">
        <x:v>Sprint 4 / Sprint 7 / Cierre</x:v>
      </x:c>
      <x:c r="P40" s="902" t="n">
        <x:v>46279</x:v>
      </x:c>
      <x:c r="Q40" s="902" t="n">
        <x:v>46309</x:v>
      </x:c>
      <x:c r="R40" s="903" t="str">
        <x:v>Swagger + manuales + documentación final</x:v>
      </x:c>
    </x:row>
    <x:row r="41" ht="30" customHeight="1">
      <x:c r="A41"/>
      <x:c r="B41"/>
      <x:c r="C41"/>
      <x:c r="D41"/>
      <x:c r="E41"/>
      <x:c r="F41"/>
      <x:c r="G41"/>
      <x:c r="H41"/>
      <x:c r="I41"/>
      <x:c r="J41"/>
      <x:c r="K41"/>
      <x:c r="L41"/>
      <x:c r="M41"/>
    </x:row>
    <x:row r="42" ht="30" customHeight="1">
      <x:c r="A42"/>
      <x:c r="B42"/>
      <x:c r="C42"/>
      <x:c r="D42"/>
      <x:c r="E42"/>
      <x:c r="F42"/>
      <x:c r="G42"/>
      <x:c r="H42"/>
      <x:c r="I42"/>
      <x:c r="J42"/>
      <x:c r="K42"/>
      <x:c r="L42"/>
      <x:c r="M42"/>
    </x:row>
    <x:row r="43" ht="30" customHeight="1">
      <x:c r="A43"/>
      <x:c r="B43"/>
      <x:c r="C43"/>
      <x:c r="D43"/>
      <x:c r="E43"/>
      <x:c r="F43"/>
      <x:c r="G43"/>
      <x:c r="H43"/>
      <x:c r="I43"/>
      <x:c r="J43"/>
      <x:c r="K43"/>
      <x:c r="L43"/>
      <x:c r="M43"/>
    </x:row>
    <x:row r="44" ht="30" customHeight="1">
      <x:c r="A44"/>
      <x:c r="B44"/>
      <x:c r="C44"/>
      <x:c r="D44"/>
      <x:c r="E44"/>
      <x:c r="F44"/>
      <x:c r="G44"/>
      <x:c r="H44"/>
      <x:c r="I44"/>
      <x:c r="J44"/>
      <x:c r="K44"/>
      <x:c r="L44"/>
      <x:c r="M44"/>
    </x:row>
    <x:row r="45" ht="30" customHeight="1">
      <x:c r="A45"/>
      <x:c r="B45"/>
      <x:c r="C45"/>
      <x:c r="D45"/>
      <x:c r="E45"/>
      <x:c r="F45"/>
      <x:c r="G45"/>
      <x:c r="H45"/>
      <x:c r="I45"/>
      <x:c r="J45"/>
      <x:c r="K45"/>
      <x:c r="L45"/>
      <x:c r="M45"/>
    </x:row>
    <x:row r="46" ht="30" customHeight="1">
      <x:c r="A46"/>
      <x:c r="B46"/>
      <x:c r="C46"/>
      <x:c r="D46"/>
      <x:c r="E46"/>
      <x:c r="F46"/>
      <x:c r="G46"/>
      <x:c r="H46"/>
      <x:c r="I46"/>
      <x:c r="J46"/>
      <x:c r="K46"/>
      <x:c r="L46"/>
      <x:c r="M46"/>
    </x:row>
    <x:row r="47" ht="30" customHeight="1">
      <x:c r="A47"/>
      <x:c r="B47"/>
      <x:c r="C47"/>
      <x:c r="D47"/>
      <x:c r="E47"/>
      <x:c r="F47"/>
      <x:c r="G47"/>
      <x:c r="H47"/>
      <x:c r="I47"/>
      <x:c r="J47"/>
      <x:c r="K47"/>
      <x:c r="L47"/>
      <x:c r="M47"/>
    </x:row>
    <x:row r="48" ht="30" customHeight="1">
      <x:c r="A48"/>
      <x:c r="B48"/>
      <x:c r="C48"/>
      <x:c r="D48"/>
      <x:c r="E48"/>
      <x:c r="F48"/>
      <x:c r="G48"/>
      <x:c r="H48"/>
      <x:c r="I48"/>
      <x:c r="J48"/>
      <x:c r="K48"/>
      <x:c r="L48"/>
      <x:c r="M48"/>
    </x:row>
    <x:row r="49" ht="30" customHeight="1">
      <x:c r="A49"/>
      <x:c r="B49"/>
      <x:c r="C49"/>
      <x:c r="D49"/>
      <x:c r="E49"/>
      <x:c r="F49"/>
      <x:c r="G49"/>
      <x:c r="H49"/>
      <x:c r="I49"/>
      <x:c r="J49"/>
      <x:c r="K49"/>
      <x:c r="L49"/>
      <x:c r="M49"/>
    </x:row>
    <x:row r="50" ht="30" customHeight="1">
      <x:c r="A50"/>
      <x:c r="B50"/>
      <x:c r="C50"/>
      <x:c r="D50"/>
      <x:c r="E50"/>
      <x:c r="F50"/>
      <x:c r="G50"/>
      <x:c r="H50"/>
      <x:c r="I50"/>
      <x:c r="J50"/>
      <x:c r="K50"/>
      <x:c r="L50"/>
      <x:c r="M50"/>
    </x:row>
    <x:row r="51" ht="30" customHeight="1">
      <x:c r="A51"/>
      <x:c r="B51"/>
      <x:c r="C51"/>
      <x:c r="D51"/>
      <x:c r="E51"/>
      <x:c r="F51"/>
      <x:c r="G51"/>
      <x:c r="H51"/>
      <x:c r="I51"/>
      <x:c r="J51"/>
      <x:c r="K51"/>
      <x:c r="L51"/>
      <x:c r="M51"/>
    </x:row>
    <x:row r="52" ht="30" customHeight="1">
      <x:c r="A52"/>
      <x:c r="B52"/>
      <x:c r="C52"/>
      <x:c r="D52"/>
      <x:c r="E52"/>
      <x:c r="F52"/>
      <x:c r="G52"/>
      <x:c r="H52"/>
      <x:c r="I52"/>
      <x:c r="J52"/>
      <x:c r="K52"/>
      <x:c r="L52"/>
      <x:c r="M52"/>
    </x:row>
    <x:row r="53" ht="30" customHeight="1">
      <x:c r="A53"/>
      <x:c r="B53"/>
      <x:c r="C53"/>
      <x:c r="D53"/>
      <x:c r="E53"/>
      <x:c r="F53"/>
      <x:c r="G53"/>
      <x:c r="H53"/>
      <x:c r="I53"/>
      <x:c r="J53"/>
      <x:c r="K53"/>
      <x:c r="L53"/>
      <x:c r="M53"/>
    </x:row>
    <x:row r="54" ht="30" customHeight="1">
      <x:c r="A54"/>
      <x:c r="B54"/>
      <x:c r="C54"/>
      <x:c r="D54"/>
      <x:c r="E54"/>
      <x:c r="F54"/>
      <x:c r="G54"/>
      <x:c r="H54"/>
      <x:c r="I54"/>
      <x:c r="J54"/>
      <x:c r="K54"/>
      <x:c r="L54"/>
      <x:c r="M54"/>
    </x:row>
    <x:row r="55" ht="30" customHeight="1">
      <x:c r="A55"/>
      <x:c r="B55"/>
      <x:c r="C55"/>
      <x:c r="D55"/>
      <x:c r="E55"/>
      <x:c r="F55"/>
      <x:c r="G55"/>
      <x:c r="H55"/>
      <x:c r="I55"/>
      <x:c r="J55"/>
      <x:c r="K55"/>
      <x:c r="L55"/>
      <x:c r="M55"/>
    </x:row>
    <x:row r="56" ht="30" customHeight="1">
      <x:c r="A56"/>
      <x:c r="B56"/>
      <x:c r="C56"/>
      <x:c r="D56"/>
      <x:c r="E56"/>
      <x:c r="F56"/>
      <x:c r="G56"/>
      <x:c r="H56"/>
      <x:c r="I56"/>
      <x:c r="J56"/>
      <x:c r="K56"/>
      <x:c r="L56"/>
      <x:c r="M56"/>
    </x:row>
    <x:row r="57" ht="30" customHeight="1">
      <x:c r="A57"/>
      <x:c r="B57"/>
      <x:c r="C57"/>
      <x:c r="D57"/>
      <x:c r="E57"/>
      <x:c r="F57"/>
      <x:c r="G57"/>
      <x:c r="H57"/>
      <x:c r="I57"/>
      <x:c r="J57"/>
      <x:c r="K57"/>
      <x:c r="L57"/>
      <x:c r="M57"/>
    </x:row>
    <x:row r="58" ht="30" customHeight="1">
      <x:c r="A58"/>
      <x:c r="B58"/>
      <x:c r="C58"/>
      <x:c r="D58"/>
      <x:c r="E58"/>
      <x:c r="F58"/>
      <x:c r="G58"/>
      <x:c r="H58"/>
      <x:c r="I58"/>
      <x:c r="J58"/>
      <x:c r="K58"/>
      <x:c r="L58"/>
      <x:c r="M58"/>
    </x:row>
    <x:row r="59" ht="30" customHeight="1">
      <x:c r="A59"/>
      <x:c r="B59"/>
      <x:c r="C59"/>
      <x:c r="D59"/>
      <x:c r="E59"/>
      <x:c r="F59"/>
      <x:c r="G59"/>
      <x:c r="H59"/>
      <x:c r="I59"/>
      <x:c r="J59"/>
      <x:c r="K59"/>
      <x:c r="L59"/>
      <x:c r="M59"/>
    </x:row>
    <x:row r="60" ht="30" customHeight="1">
      <x:c r="A60"/>
      <x:c r="B60"/>
      <x:c r="C60"/>
      <x:c r="D60"/>
      <x:c r="E60"/>
      <x:c r="F60"/>
      <x:c r="G60"/>
      <x:c r="H60"/>
      <x:c r="I60"/>
      <x:c r="J60"/>
      <x:c r="K60"/>
      <x:c r="L60"/>
      <x:c r="M60"/>
    </x:row>
  </x:sheetData>
  <x:mergeCells>
    <x:mergeCell ref="A1:R1"/>
    <x:mergeCell ref="A2:R2"/>
  </x:mergeCells>
  <x:conditionalFormatting sqref="A5:M60">
    <x:cfRule type="expression" dxfId="8" priority="5">
      <x:formula>AND($A5&lt;&gt;"",$J5="")</x:formula>
    </x:cfRule>
  </x:conditionalFormatting>
  <x:conditionalFormatting sqref="I5:I60">
    <x:cfRule type="cellIs" dxfId="7" priority="2" operator="equal">
      <x:formula>"Must"</x:formula>
    </x:cfRule>
    <x:cfRule type="cellIs" dxfId="6" priority="3" operator="equal">
      <x:formula>"Should"</x:formula>
    </x:cfRule>
    <x:cfRule type="cellIs" dxfId="5" priority="4" operator="equal">
      <x:formula>"Could"</x:formula>
    </x:cfRule>
  </x:conditionalFormatting>
  <x:dataValidations count="7">
    <x:dataValidation type="list" allowBlank="1" errorTitle="Valor no permitido" error="Seleccione un valor de la lista desplegable." sqref="M5:M60 K5:K60 I5:I60 G5:G60 D5:E60">
      <x:formula1>#REF!</x:formula1>
      <x:formula2>0</x:formula2>
    </x:dataValidation>
    <x:dataValidation type="list" sqref="D5:D21">
      <x:formula1>"Funcional,No funcional"</x:formula1>
    </x:dataValidation>
    <x:dataValidation type="list" sqref="E5:E21">
      <x:formula1>"—,Usabilidad,Rendimiento,Seguridad,Confiabilidad,Mantenibilidad"</x:formula1>
    </x:dataValidation>
    <x:dataValidation type="list" sqref="G5:G21">
      <x:formula1>"Entrevista,Proceso de negocio,Regla de negocio,Evidencia de campo,Registros actuales,Necesidad del proyecto,Necesidad operativa,Restricción técnica,Plan del proyecto"</x:formula1>
    </x:dataValidation>
    <x:dataValidation type="list" sqref="I5:I21">
      <x:formula1>"Must,Should,Could"</x:formula1>
    </x:dataValidation>
    <x:dataValidation type="list" sqref="K5:K21">
      <x:formula1>"Proveedores,Rendimiento / Acopio,Acopio / Pagos,Calidad,Calidad / Proveedores,Proveedores / Calidad,Pagos,Dashboard,ResumenZonas,Quesos,Excel / Datos,Reportes,Transversal,Seguridad,Datos / Respaldo"</x:formula1>
    </x:dataValidation>
    <x:dataValidation type="list" sqref="M5:M21">
      <x:formula1>"Propuesto,Aprobado,En desarrollo,Implementado,En mantenimiento"</x:formula1>
    </x:dataValidation>
  </x:dataValidations>
  <x:pageMargins left="0.7" right="0.7" top="0.75" bottom="0.75" header="0.3" footer="0.3"/>
</x:worksheet>
</file>

<file path=xl/worksheets/sheet4.xml><?xml version="1.0" encoding="utf-8"?>
<x:worksheet xmlns:x="http://schemas.openxmlformats.org/spreadsheetml/2006/main">
  <x:sheetPr>
    <x:tabColor rgb="FF1F3A66"/>
  </x:sheetPr>
  <x:sheetViews>
    <x:sheetView showGridLines="0" workbookViewId="0"/>
  </x:sheetViews>
  <x:sheetFormatPr defaultColWidth="8.7109375" defaultRowHeight="15"/>
  <x:cols>
    <x:col min="1" max="1" width="10" hidden="0" customWidth="1"/>
    <x:col min="2" max="2" width="12" hidden="0" customWidth="1"/>
    <x:col min="3" max="3" width="8" hidden="0" customWidth="1"/>
    <x:col min="4" max="4" width="18" hidden="0" customWidth="1"/>
    <x:col min="5" max="5" width="43" hidden="0" customWidth="1"/>
    <x:col min="6" max="6" width="48" hidden="0" customWidth="1"/>
    <x:col min="7" max="7" width="52" hidden="0" customWidth="1"/>
    <x:col min="8" max="8" width="13" hidden="0" customWidth="1"/>
    <x:col min="9" max="9" width="22" hidden="0" customWidth="1"/>
    <x:col min="10" max="10" width="13" hidden="0" customWidth="1"/>
    <x:col min="11" max="11" width="13" hidden="0" customWidth="1"/>
  </x:cols>
  <x:sheetData>
    <x:row r="1" ht="30" customHeight="1">
      <x:c r="A1" s="828" t="str">
        <x:v>CASOS DE PRUEBA - HUATA LÁCTEOS</x:v>
      </x:c>
      <x:c r="B1" s="828"/>
      <x:c r="C1" s="828"/>
      <x:c r="D1" s="828"/>
      <x:c r="E1" s="828"/>
      <x:c r="F1" s="828"/>
      <x:c r="G1" s="828"/>
      <x:c r="H1" s="828"/>
      <x:c r="I1" s="828"/>
      <x:c r="J1" s="828"/>
      <x:c r="K1" s="828"/>
    </x:row>
    <x:row r="2" ht="18" customHeight="1">
      <x:c r="A2" s="831" t="str">
        <x:v>Casos trazados a requerimientos, Historias de Usuario, EDT, Sprint y fechas del cronograma.</x:v>
      </x:c>
      <x:c r="B2" s="831"/>
      <x:c r="C2" s="831"/>
      <x:c r="D2" s="831"/>
      <x:c r="E2" s="831"/>
      <x:c r="F2" s="831"/>
      <x:c r="G2" s="831"/>
      <x:c r="H2" s="831"/>
      <x:c r="I2" s="831"/>
      <x:c r="J2" s="831"/>
      <x:c r="K2" s="831"/>
    </x:row>
    <x:row r="3">
      <x:c r="A3"/>
      <x:c r="B3"/>
      <x:c r="C3"/>
      <x:c r="D3"/>
      <x:c r="E3"/>
      <x:c r="F3"/>
      <x:c r="G3"/>
      <x:c r="H3"/>
    </x:row>
    <x:row r="4" ht="32" customHeight="1">
      <x:c r="A4" s="917" t="str">
        <x:v>ID</x:v>
      </x:c>
      <x:c r="B4" s="917" t="str">
        <x:v>Requisito</x:v>
      </x:c>
      <x:c r="C4" s="917" t="str">
        <x:v>HU</x:v>
      </x:c>
      <x:c r="D4" s="917" t="str">
        <x:v>EDT</x:v>
      </x:c>
      <x:c r="E4" s="917" t="str">
        <x:v>Escenario</x:v>
      </x:c>
      <x:c r="F4" s="917" t="str">
        <x:v>Datos / precondición</x:v>
      </x:c>
      <x:c r="G4" s="917" t="str">
        <x:v>Resultado esperado</x:v>
      </x:c>
      <x:c r="H4" s="917" t="str">
        <x:v>Estado</x:v>
      </x:c>
      <x:c r="I4" s="917" t="str">
        <x:v>Sprint / periodo</x:v>
      </x:c>
      <x:c r="J4" s="917" t="str">
        <x:v>Fecha inicio</x:v>
      </x:c>
      <x:c r="K4" s="917" t="str">
        <x:v>Fecha fin</x:v>
      </x:c>
    </x:row>
    <x:row r="5" ht="52" customHeight="1">
      <x:c r="A5" s="876" t="str">
        <x:v>CP-01</x:v>
      </x:c>
      <x:c r="B5" s="877" t="str">
        <x:v>RF-01</x:v>
      </x:c>
      <x:c r="C5" s="877" t="str">
        <x:v>HU01</x:v>
      </x:c>
      <x:c r="D5" s="877" t="str">
        <x:v>3.4.1</x:v>
      </x:c>
      <x:c r="E5" s="877" t="str">
        <x:v>Validar inicio de sesión web conforme a HU01.</x:v>
      </x:c>
      <x:c r="F5" s="877" t="str">
        <x:v>Usuario/actor con permisos correspondientes y datos válidos para la tarea 3.4.1.</x:v>
      </x:c>
      <x:c r="G5" s="877" t="str">
        <x:v>Con credenciales válidas el usuario accede a la web; con credenciales inválidas el acceso es rechazado.</x:v>
      </x:c>
      <x:c r="H5" s="877" t="str">
        <x:v>Pendiente</x:v>
      </x:c>
      <x:c r="I5" s="877" t="str">
        <x:v>Sprint 3</x:v>
      </x:c>
      <x:c r="J5" s="878" t="n">
        <x:v>46271</x:v>
      </x:c>
      <x:c r="K5" s="924" t="n">
        <x:v>46271</x:v>
      </x:c>
    </x:row>
    <x:row r="6" ht="52" customHeight="1">
      <x:c r="A6" s="880" t="str">
        <x:v>CP-02</x:v>
      </x:c>
      <x:c r="B6" s="881" t="str">
        <x:v>RF-02</x:v>
      </x:c>
      <x:c r="C6" s="881" t="str">
        <x:v>HU02</x:v>
      </x:c>
      <x:c r="D6" s="881" t="str">
        <x:v>3.4.2</x:v>
      </x:c>
      <x:c r="E6" s="881" t="str">
        <x:v>Validar inicio de sesión móvil conforme a HU02.</x:v>
      </x:c>
      <x:c r="F6" s="881" t="str">
        <x:v>Usuario/actor con permisos correspondientes y datos válidos para la tarea 3.4.2.</x:v>
      </x:c>
      <x:c r="G6" s="881" t="str">
        <x:v>Con credenciales válidas el usuario accede desde la app móvil; con credenciales inválidas el acceso es rechazado.</x:v>
      </x:c>
      <x:c r="H6" s="881" t="str">
        <x:v>Pendiente</x:v>
      </x:c>
      <x:c r="I6" s="881" t="str">
        <x:v>Sprint 3</x:v>
      </x:c>
      <x:c r="J6" s="882" t="n">
        <x:v>46271</x:v>
      </x:c>
      <x:c r="K6" s="925" t="n">
        <x:v>46271</x:v>
      </x:c>
    </x:row>
    <x:row r="7" ht="52" customHeight="1">
      <x:c r="A7" s="880" t="str">
        <x:v>CP-03</x:v>
      </x:c>
      <x:c r="B7" s="881" t="str">
        <x:v>RF-03</x:v>
      </x:c>
      <x:c r="C7" s="881" t="str">
        <x:v>HU03</x:v>
      </x:c>
      <x:c r="D7" s="881" t="str">
        <x:v>3.4.3</x:v>
      </x:c>
      <x:c r="E7" s="881" t="str">
        <x:v>Validar autenticación y sesión segura conforme a HU03.</x:v>
      </x:c>
      <x:c r="F7" s="881" t="str">
        <x:v>Usuario/actor con permisos correspondientes y datos válidos para la tarea 3.4.3.</x:v>
      </x:c>
      <x:c r="G7" s="881" t="str">
        <x:v>La autenticación válida crea una sesión utilizable y la sesión permanece activa durante el uso previsto.</x:v>
      </x:c>
      <x:c r="H7" s="881" t="str">
        <x:v>Pendiente</x:v>
      </x:c>
      <x:c r="I7" s="881" t="str">
        <x:v>Sprint 3</x:v>
      </x:c>
      <x:c r="J7" s="882" t="n">
        <x:v>46270</x:v>
      </x:c>
      <x:c r="K7" s="925" t="n">
        <x:v>46271</x:v>
      </x:c>
    </x:row>
    <x:row r="8" ht="52" customHeight="1">
      <x:c r="A8" s="880" t="str">
        <x:v>CP-04</x:v>
      </x:c>
      <x:c r="B8" s="881" t="str">
        <x:v>RF-04</x:v>
      </x:c>
      <x:c r="C8" s="881" t="str">
        <x:v>HU04</x:v>
      </x:c>
      <x:c r="D8" s="881" t="str">
        <x:v>4.2.1</x:v>
      </x:c>
      <x:c r="E8" s="881" t="str">
        <x:v>Validar administrar productores vía api conforme a HU04.</x:v>
      </x:c>
      <x:c r="F8" s="881" t="str">
        <x:v>Usuario/actor con permisos correspondientes y datos válidos para la tarea 4.2.1.</x:v>
      </x:c>
      <x:c r="G8" s="881" t="str">
        <x:v>La API permite crear, consultar, actualizar y eliminar productores sin perder consistencia de datos.</x:v>
      </x:c>
      <x:c r="H8" s="881" t="str">
        <x:v>Pendiente</x:v>
      </x:c>
      <x:c r="I8" s="881" t="str">
        <x:v>Sprint 4</x:v>
      </x:c>
      <x:c r="J8" s="882" t="n">
        <x:v>46274</x:v>
      </x:c>
      <x:c r="K8" s="925" t="n">
        <x:v>46275</x:v>
      </x:c>
    </x:row>
    <x:row r="9" ht="52" customHeight="1">
      <x:c r="A9" s="880" t="str">
        <x:v>CP-05</x:v>
      </x:c>
      <x:c r="B9" s="881" t="str">
        <x:v>RF-05</x:v>
      </x:c>
      <x:c r="C9" s="881" t="str">
        <x:v>HU05</x:v>
      </x:c>
      <x:c r="D9" s="881" t="str">
        <x:v>4.2.2</x:v>
      </x:c>
      <x:c r="E9" s="881" t="str">
        <x:v>Validar administrar acopiadores y rutas vía api conforme a HU05.</x:v>
      </x:c>
      <x:c r="F9" s="881" t="str">
        <x:v>Usuario/actor con permisos correspondientes y datos válidos para la tarea 4.2.2.</x:v>
      </x:c>
      <x:c r="G9" s="881" t="str">
        <x:v>La API permite crear, consultar, actualizar y eliminar acopiadores y rutas.</x:v>
      </x:c>
      <x:c r="H9" s="881" t="str">
        <x:v>Pendiente</x:v>
      </x:c>
      <x:c r="I9" s="881" t="str">
        <x:v>Sprint 4</x:v>
      </x:c>
      <x:c r="J9" s="882" t="n">
        <x:v>46275</x:v>
      </x:c>
      <x:c r="K9" s="925" t="n">
        <x:v>46276</x:v>
      </x:c>
    </x:row>
    <x:row r="10" ht="52" customHeight="1">
      <x:c r="A10" s="880" t="str">
        <x:v>CP-06</x:v>
      </x:c>
      <x:c r="B10" s="881" t="str">
        <x:v>RF-06</x:v>
      </x:c>
      <x:c r="C10" s="881" t="str">
        <x:v>HU06</x:v>
      </x:c>
      <x:c r="D10" s="881" t="str">
        <x:v>4.2.3</x:v>
      </x:c>
      <x:c r="E10" s="881" t="str">
        <x:v>Validar administrar centros de acopio vía api conforme a HU06.</x:v>
      </x:c>
      <x:c r="F10" s="881" t="str">
        <x:v>Usuario/actor con permisos correspondientes y datos válidos para la tarea 4.2.3.</x:v>
      </x:c>
      <x:c r="G10" s="881" t="str">
        <x:v>La API permite crear, consultar, actualizar y eliminar centros de acopio.</x:v>
      </x:c>
      <x:c r="H10" s="881" t="str">
        <x:v>Pendiente</x:v>
      </x:c>
      <x:c r="I10" s="881" t="str">
        <x:v>Sprint 4</x:v>
      </x:c>
      <x:c r="J10" s="882" t="n">
        <x:v>46276</x:v>
      </x:c>
      <x:c r="K10" s="925" t="n">
        <x:v>46276</x:v>
      </x:c>
    </x:row>
    <x:row r="11" ht="52" customHeight="1">
      <x:c r="A11" s="880" t="str">
        <x:v>CP-07</x:v>
      </x:c>
      <x:c r="B11" s="881" t="str">
        <x:v>RF-07</x:v>
      </x:c>
      <x:c r="C11" s="881" t="str">
        <x:v>HU07</x:v>
      </x:c>
      <x:c r="D11" s="881" t="str">
        <x:v>4.2.4</x:v>
      </x:c>
      <x:c r="E11" s="881" t="str">
        <x:v>Validar gestionar productores desde la web conforme a HU07.</x:v>
      </x:c>
      <x:c r="F11" s="881" t="str">
        <x:v>Usuario/actor con permisos correspondientes y datos válidos para la tarea 4.2.4.</x:v>
      </x:c>
      <x:c r="G11" s="881" t="str">
        <x:v>Desde la web se puede listar, crear, editar y eliminar productores.</x:v>
      </x:c>
      <x:c r="H11" s="881" t="str">
        <x:v>Pendiente</x:v>
      </x:c>
      <x:c r="I11" s="881" t="str">
        <x:v>Sprint 4</x:v>
      </x:c>
      <x:c r="J11" s="882" t="n">
        <x:v>46276</x:v>
      </x:c>
      <x:c r="K11" s="925" t="n">
        <x:v>46277</x:v>
      </x:c>
    </x:row>
    <x:row r="12" ht="52" customHeight="1">
      <x:c r="A12" s="880" t="str">
        <x:v>CP-08</x:v>
      </x:c>
      <x:c r="B12" s="881" t="str">
        <x:v>RF-08</x:v>
      </x:c>
      <x:c r="C12" s="881" t="str">
        <x:v>HU08</x:v>
      </x:c>
      <x:c r="D12" s="881" t="str">
        <x:v>4.2.5</x:v>
      </x:c>
      <x:c r="E12" s="881" t="str">
        <x:v>Validar gestionar rutas y centros desde la web conforme a HU08.</x:v>
      </x:c>
      <x:c r="F12" s="881" t="str">
        <x:v>Usuario/actor con permisos correspondientes y datos válidos para la tarea 4.2.5.</x:v>
      </x:c>
      <x:c r="G12" s="881" t="str">
        <x:v>Desde la web se pueden gestionar rutas y centros de acopio y consultar los cambios guardados.</x:v>
      </x:c>
      <x:c r="H12" s="881" t="str">
        <x:v>Pendiente</x:v>
      </x:c>
      <x:c r="I12" s="881" t="str">
        <x:v>Sprint 4</x:v>
      </x:c>
      <x:c r="J12" s="882" t="n">
        <x:v>46277</x:v>
      </x:c>
      <x:c r="K12" s="925" t="n">
        <x:v>46278</x:v>
      </x:c>
    </x:row>
    <x:row r="13" ht="52" customHeight="1">
      <x:c r="A13" s="880" t="str">
        <x:v>CP-09</x:v>
      </x:c>
      <x:c r="B13" s="881" t="str">
        <x:v>RF-09</x:v>
      </x:c>
      <x:c r="C13" s="881" t="str">
        <x:v>HU09</x:v>
      </x:c>
      <x:c r="D13" s="881" t="str">
        <x:v>4.2.6</x:v>
      </x:c>
      <x:c r="E13" s="881" t="str">
        <x:v>Validar consultar productores asignados conforme a HU09.</x:v>
      </x:c>
      <x:c r="F13" s="881" t="str">
        <x:v>Usuario/actor con permisos correspondientes y datos válidos para la tarea 4.2.6.</x:v>
      </x:c>
      <x:c r="G13" s="881" t="str">
        <x:v>El acopiador visualiza únicamente los productores asignados a su operación.</x:v>
      </x:c>
      <x:c r="H13" s="881" t="str">
        <x:v>Pendiente</x:v>
      </x:c>
      <x:c r="I13" s="881" t="str">
        <x:v>Sprint 4</x:v>
      </x:c>
      <x:c r="J13" s="882" t="n">
        <x:v>46276</x:v>
      </x:c>
      <x:c r="K13" s="925" t="n">
        <x:v>46277</x:v>
      </x:c>
    </x:row>
    <x:row r="14" ht="52" customHeight="1">
      <x:c r="A14" s="880" t="str">
        <x:v>CP-10</x:v>
      </x:c>
      <x:c r="B14" s="881" t="str">
        <x:v>RF-10</x:v>
      </x:c>
      <x:c r="C14" s="881" t="str">
        <x:v>HU10</x:v>
      </x:c>
      <x:c r="D14" s="881" t="str">
        <x:v>4.2.7</x:v>
      </x:c>
      <x:c r="E14" s="881" t="str">
        <x:v>Validar que la ruta del día permita registrar el vehículo y la revisión de limpieza.</x:v>
      </x:c>
      <x:c r="F14" s="881" t="str">
        <x:v>Ruta asignada, vehículo identificado y lista de limpieza completada.</x:v>
      </x:c>
      <x:c r="G14" s="881" t="str">
        <x:v>La ruta queda relacionada con el vehículo y conserva la confirmación de limpieza.</x:v>
      </x:c>
      <x:c r="H14" s="881" t="str">
        <x:v>Pendiente</x:v>
      </x:c>
      <x:c r="I14" s="881" t="str">
        <x:v>Sprint 4</x:v>
      </x:c>
      <x:c r="J14" s="882" t="n">
        <x:v>46277</x:v>
      </x:c>
      <x:c r="K14" s="925" t="n">
        <x:v>46278</x:v>
      </x:c>
    </x:row>
    <x:row r="15" ht="52" customHeight="1">
      <x:c r="A15" s="880" t="str">
        <x:v>CP-11</x:v>
      </x:c>
      <x:c r="B15" s="881" t="str">
        <x:v>RF-11</x:v>
      </x:c>
      <x:c r="C15" s="881" t="str">
        <x:v>HU11</x:v>
      </x:c>
      <x:c r="D15" s="881" t="str">
        <x:v>5.2.1</x:v>
      </x:c>
      <x:c r="E15" s="881" t="str">
        <x:v>Registrar un recojo con datos del proveedor, litros, ruta, vehículo y revisión visual de la leche.</x:v>
      </x:c>
      <x:c r="F15" s="881" t="str">
        <x:v>Proveedor, litros, fecha/hora, ruta, vehículo y observación de color, olor, grumos o suciedad.</x:v>
      </x:c>
      <x:c r="G15" s="881" t="str">
        <x:v>El recojo queda guardado con todos los datos y se puede revisar después.</x:v>
      </x:c>
      <x:c r="H15" s="881" t="str">
        <x:v>Pendiente</x:v>
      </x:c>
      <x:c r="I15" s="881" t="str">
        <x:v>Sprint 5</x:v>
      </x:c>
      <x:c r="J15" s="882" t="n">
        <x:v>46281</x:v>
      </x:c>
      <x:c r="K15" s="925" t="n">
        <x:v>46282</x:v>
      </x:c>
    </x:row>
    <x:row r="16" ht="52" customHeight="1">
      <x:c r="A16" s="880" t="str">
        <x:v>CP-12</x:v>
      </x:c>
      <x:c r="B16" s="881" t="str">
        <x:v>RF-12</x:v>
      </x:c>
      <x:c r="C16" s="881" t="str">
        <x:v>HU12</x:v>
      </x:c>
      <x:c r="D16" s="881" t="str">
        <x:v>5.2.2</x:v>
      </x:c>
      <x:c r="E16" s="881" t="str">
        <x:v>Consultar el pago semanal de un proveedor.</x:v>
      </x:c>
      <x:c r="F16" s="881" t="str">
        <x:v>Entregas de una semana con diferentes resultados de calidad y precios configurados.</x:v>
      </x:c>
      <x:c r="G16" s="881" t="str">
        <x:v>El sistema muestra litros, precio aplicado y total semanal del proveedor.</x:v>
      </x:c>
      <x:c r="H16" s="881" t="str">
        <x:v>Pendiente</x:v>
      </x:c>
      <x:c r="I16" s="881" t="str">
        <x:v>Sprint 5</x:v>
      </x:c>
      <x:c r="J16" s="882" t="n">
        <x:v>46285</x:v>
      </x:c>
      <x:c r="K16" s="925" t="n">
        <x:v>46285</x:v>
      </x:c>
    </x:row>
    <x:row r="17" ht="52" customHeight="1">
      <x:c r="A17" s="880" t="str">
        <x:v>CP-13</x:v>
      </x:c>
      <x:c r="B17" s="881" t="str">
        <x:v>RF-13</x:v>
      </x:c>
      <x:c r="C17" s="881" t="str">
        <x:v>HU13</x:v>
      </x:c>
      <x:c r="D17" s="881" t="str">
        <x:v>5.3.1</x:v>
      </x:c>
      <x:c r="E17" s="881" t="str">
        <x:v>Revisar una leche con densidad fuera del rango y prueba de punto de congelación disponible.</x:v>
      </x:c>
      <x:c r="F17" s="881" t="str">
        <x:v>Densidad, acidez, temperatura, punto de congelación, máquina utilizada y foto del resultado.</x:v>
      </x:c>
      <x:c r="G17" s="881" t="str">
        <x:v>La densidad fuera de rango deja la leche OBSERVADA; el posible agua añadida se revisa con el punto de congelación y la evidencia.</x:v>
      </x:c>
      <x:c r="H17" s="881" t="str">
        <x:v>Pendiente</x:v>
      </x:c>
      <x:c r="I17" s="881" t="str">
        <x:v>Sprint 5</x:v>
      </x:c>
      <x:c r="J17" s="882" t="n">
        <x:v>46282</x:v>
      </x:c>
      <x:c r="K17" s="925" t="n">
        <x:v>46282</x:v>
      </x:c>
    </x:row>
    <x:row r="18" ht="52" customHeight="1">
      <x:c r="A18" s="880" t="str">
        <x:v>CP-14</x:v>
      </x:c>
      <x:c r="B18" s="881" t="str">
        <x:v>RF-14</x:v>
      </x:c>
      <x:c r="C18" s="881" t="str">
        <x:v>HU14</x:v>
      </x:c>
      <x:c r="D18" s="881" t="str">
        <x:v>5.3.2</x:v>
      </x:c>
      <x:c r="E18" s="881" t="str">
        <x:v>Calcular el pago de una entrega según litros y calidad.</x:v>
      </x:c>
      <x:c r="F18" s="881" t="str">
        <x:v>Litros entregados, resultado de calidad y precios configurados.</x:v>
      </x:c>
      <x:c r="G18" s="881" t="str">
        <x:v>El sistema aplica el precio correspondiente y calcula correctamente el importe.</x:v>
      </x:c>
      <x:c r="H18" s="881" t="str">
        <x:v>Pendiente</x:v>
      </x:c>
      <x:c r="I18" s="881" t="str">
        <x:v>Sprint 5</x:v>
      </x:c>
      <x:c r="J18" s="882" t="n">
        <x:v>46283</x:v>
      </x:c>
      <x:c r="K18" s="925" t="n">
        <x:v>46284</x:v>
      </x:c>
    </x:row>
    <x:row r="19" ht="52" customHeight="1">
      <x:c r="A19" s="880" t="str">
        <x:v>CP-15</x:v>
      </x:c>
      <x:c r="B19" s="881" t="str">
        <x:v>RF-15</x:v>
      </x:c>
      <x:c r="C19" s="881" t="str">
        <x:v>HU15</x:v>
      </x:c>
      <x:c r="D19" s="881" t="str">
        <x:v>5.3.3</x:v>
      </x:c>
      <x:c r="E19" s="881" t="str">
        <x:v>Validar registrar y consultar recojos desde la web conforme a HU15.</x:v>
      </x:c>
      <x:c r="F19" s="881" t="str">
        <x:v>Usuario/actor con permisos correspondientes y datos válidos para la tarea 5.3.3.</x:v>
      </x:c>
      <x:c r="G19" s="881" t="str">
        <x:v>Desde la web se puede registrar un recojo y posteriormente consultarlo.</x:v>
      </x:c>
      <x:c r="H19" s="881" t="str">
        <x:v>Pendiente</x:v>
      </x:c>
      <x:c r="I19" s="881" t="str">
        <x:v>Sprint 5</x:v>
      </x:c>
      <x:c r="J19" s="882" t="n">
        <x:v>46283</x:v>
      </x:c>
      <x:c r="K19" s="925" t="n">
        <x:v>46284</x:v>
      </x:c>
    </x:row>
    <x:row r="20" ht="52" customHeight="1">
      <x:c r="A20" s="880" t="str">
        <x:v>CP-16</x:v>
      </x:c>
      <x:c r="B20" s="881" t="str">
        <x:v>RF-16</x:v>
      </x:c>
      <x:c r="C20" s="881" t="str">
        <x:v>HU16</x:v>
      </x:c>
      <x:c r="D20" s="881" t="str">
        <x:v>5.3.4</x:v>
      </x:c>
      <x:c r="E20" s="881" t="str">
        <x:v>Validar registrar recojo sin conexión conforme a HU16.</x:v>
      </x:c>
      <x:c r="F20" s="881" t="str">
        <x:v>Usuario/actor con permisos correspondientes y datos válidos para la tarea 5.3.4.</x:v>
      </x:c>
      <x:c r="G20" s="881" t="str">
        <x:v>Sin conexión, el recojo puede guardarse localmente sin perder la información capturada.</x:v>
      </x:c>
      <x:c r="H20" s="881" t="str">
        <x:v>Pendiente</x:v>
      </x:c>
      <x:c r="I20" s="881" t="str">
        <x:v>Sprint 5</x:v>
      </x:c>
      <x:c r="J20" s="882" t="n">
        <x:v>46283</x:v>
      </x:c>
      <x:c r="K20" s="925" t="n">
        <x:v>46284</x:v>
      </x:c>
    </x:row>
    <x:row r="21" ht="52" customHeight="1">
      <x:c r="A21" s="880" t="str">
        <x:v>CP-17</x:v>
      </x:c>
      <x:c r="B21" s="881" t="str">
        <x:v>RF-17</x:v>
      </x:c>
      <x:c r="C21" s="881" t="str">
        <x:v>HU17</x:v>
      </x:c>
      <x:c r="D21" s="881" t="str">
        <x:v>5.3.5</x:v>
      </x:c>
      <x:c r="E21" s="881" t="str">
        <x:v>Validar sincronizar datos offline conforme a HU17.</x:v>
      </x:c>
      <x:c r="F21" s="881" t="str">
        <x:v>Usuario/actor con permisos correspondientes y datos válidos para la tarea 5.3.5.</x:v>
      </x:c>
      <x:c r="G21" s="881" t="str">
        <x:v>Al recuperar conectividad, los registros pendientes se sincronizan y quedan disponibles en el backend.</x:v>
      </x:c>
      <x:c r="H21" s="881" t="str">
        <x:v>Pendiente</x:v>
      </x:c>
      <x:c r="I21" s="881" t="str">
        <x:v>Sprint 5</x:v>
      </x:c>
      <x:c r="J21" s="882" t="n">
        <x:v>46284</x:v>
      </x:c>
      <x:c r="K21" s="925" t="n">
        <x:v>46285</x:v>
      </x:c>
    </x:row>
    <x:row r="22" ht="52" customHeight="1">
      <x:c r="A22" s="880" t="str">
        <x:v>CP-18</x:v>
      </x:c>
      <x:c r="B22" s="881" t="str">
        <x:v>RF-18</x:v>
      </x:c>
      <x:c r="C22" s="881" t="str">
        <x:v>HU18</x:v>
      </x:c>
      <x:c r="D22" s="881" t="str">
        <x:v>5.3.6</x:v>
      </x:c>
      <x:c r="E22" s="881" t="str">
        <x:v>Adjuntar una foto o comprobante del análisis a un recojo observado.</x:v>
      </x:c>
      <x:c r="F22" s="881" t="str">
        <x:v>Recojo existente y foto/archivo del resultado de la máquina.</x:v>
      </x:c>
      <x:c r="G22" s="881" t="str">
        <x:v>La evidencia queda guardada en el recojo correcto y puede revisarse desde el historial.</x:v>
      </x:c>
      <x:c r="H22" s="881" t="str">
        <x:v>Pendiente</x:v>
      </x:c>
      <x:c r="I22" s="881" t="str">
        <x:v>Sprint 5</x:v>
      </x:c>
      <x:c r="J22" s="882" t="n">
        <x:v>46286</x:v>
      </x:c>
      <x:c r="K22" s="925" t="n">
        <x:v>46286</x:v>
      </x:c>
    </x:row>
    <x:row r="23" ht="52" customHeight="1">
      <x:c r="A23" s="880" t="str">
        <x:v>CP-19</x:v>
      </x:c>
      <x:c r="B23" s="881" t="str">
        <x:v>RF-19</x:v>
      </x:c>
      <x:c r="C23" s="881" t="str">
        <x:v>HU19</x:v>
      </x:c>
      <x:c r="D23" s="881" t="str">
        <x:v>6.2.1</x:v>
      </x:c>
      <x:c r="E23" s="881" t="str">
        <x:v>Generar un reporte con producción y problemas de calidad.</x:v>
      </x:c>
      <x:c r="F23" s="881" t="str">
        <x:v>Recojos de varios proveedores y rutas, algunos normales y otros observados.</x:v>
      </x:c>
      <x:c r="G23" s="881" t="str">
        <x:v>El reporte muestra producción, problemas de calidad y pagos con datos correctos.</x:v>
      </x:c>
      <x:c r="H23" s="881" t="str">
        <x:v>Pendiente</x:v>
      </x:c>
      <x:c r="I23" s="881" t="str">
        <x:v>Sprint 6</x:v>
      </x:c>
      <x:c r="J23" s="882" t="n">
        <x:v>46288</x:v>
      </x:c>
      <x:c r="K23" s="925" t="n">
        <x:v>46289</x:v>
      </x:c>
    </x:row>
    <x:row r="24" ht="52" customHeight="1">
      <x:c r="A24" s="880" t="str">
        <x:v>CP-20</x:v>
      </x:c>
      <x:c r="B24" s="881" t="str">
        <x:v>RF-20</x:v>
      </x:c>
      <x:c r="C24" s="881" t="str">
        <x:v>HU20</x:v>
      </x:c>
      <x:c r="D24" s="881" t="str">
        <x:v>6.2.2</x:v>
      </x:c>
      <x:c r="E24" s="881" t="str">
        <x:v>Validar generar notificaciones conforme a HU20.</x:v>
      </x:c>
      <x:c r="F24" s="881" t="str">
        <x:v>Usuario/actor con permisos correspondientes y datos válidos para la tarea 6.2.2.</x:v>
      </x:c>
      <x:c r="G24" s="881" t="str">
        <x:v>El sistema genera una notificación configurada por el canal previsto.</x:v>
      </x:c>
      <x:c r="H24" s="881" t="str">
        <x:v>Pendiente</x:v>
      </x:c>
      <x:c r="I24" s="881" t="str">
        <x:v>Sprint 6</x:v>
      </x:c>
      <x:c r="J24" s="882" t="n">
        <x:v>46289</x:v>
      </x:c>
      <x:c r="K24" s="925" t="n">
        <x:v>46289</x:v>
      </x:c>
    </x:row>
    <x:row r="25" ht="52" customHeight="1">
      <x:c r="A25" s="880" t="str">
        <x:v>CP-21</x:v>
      </x:c>
      <x:c r="B25" s="881" t="str">
        <x:v>RF-21</x:v>
      </x:c>
      <x:c r="C25" s="881" t="str">
        <x:v>HU21</x:v>
      </x:c>
      <x:c r="D25" s="881" t="str">
        <x:v>6.2.3</x:v>
      </x:c>
      <x:c r="E25" s="881" t="str">
        <x:v>Validar visualizar dashboard con gráficos conforme a HU21.</x:v>
      </x:c>
      <x:c r="F25" s="881" t="str">
        <x:v>Usuario/actor con permisos correspondientes y datos válidos para la tarea 6.2.3.</x:v>
      </x:c>
      <x:c r="G25" s="881" t="str">
        <x:v>Los gráficos del dashboard reflejan los datos de producción y tendencias registrados.</x:v>
      </x:c>
      <x:c r="H25" s="881" t="str">
        <x:v>Pendiente</x:v>
      </x:c>
      <x:c r="I25" s="881" t="str">
        <x:v>Sprint 6</x:v>
      </x:c>
      <x:c r="J25" s="882" t="n">
        <x:v>46290</x:v>
      </x:c>
      <x:c r="K25" s="925" t="n">
        <x:v>46291</x:v>
      </x:c>
    </x:row>
    <x:row r="26" ht="52" customHeight="1">
      <x:c r="A26" s="880" t="str">
        <x:v>CP-22</x:v>
      </x:c>
      <x:c r="B26" s="881" t="str">
        <x:v>RF-22</x:v>
      </x:c>
      <x:c r="C26" s="881" t="str">
        <x:v>HU22</x:v>
      </x:c>
      <x:c r="D26" s="881" t="str">
        <x:v>6.2.4</x:v>
      </x:c>
      <x:c r="E26" s="881" t="str">
        <x:v>Validar administrar usuarios y roles conforme a HU22.</x:v>
      </x:c>
      <x:c r="F26" s="881" t="str">
        <x:v>Usuario/actor con permisos correspondientes y datos válidos para la tarea 6.2.4.</x:v>
      </x:c>
      <x:c r="G26" s="881" t="str">
        <x:v>El administrador puede crear/editar usuarios, asignar roles y verificar que los permisos se apliquen.</x:v>
      </x:c>
      <x:c r="H26" s="881" t="str">
        <x:v>Pendiente</x:v>
      </x:c>
      <x:c r="I26" s="881" t="str">
        <x:v>Sprint 6</x:v>
      </x:c>
      <x:c r="J26" s="882" t="n">
        <x:v>46291</x:v>
      </x:c>
      <x:c r="K26" s="925" t="n">
        <x:v>46291</x:v>
      </x:c>
    </x:row>
    <x:row r="27" ht="52" customHeight="1">
      <x:c r="A27" s="880" t="str">
        <x:v>CP-23</x:v>
      </x:c>
      <x:c r="B27" s="881" t="str">
        <x:v>RF-23</x:v>
      </x:c>
      <x:c r="C27" s="881" t="str">
        <x:v>HU23</x:v>
      </x:c>
      <x:c r="D27" s="881" t="str">
        <x:v>6.2.5</x:v>
      </x:c>
      <x:c r="E27" s="881" t="str">
        <x:v>Validar recibir notificaciones push conforme a HU23.</x:v>
      </x:c>
      <x:c r="F27" s="881" t="str">
        <x:v>Usuario/actor con permisos correspondientes y datos válidos para la tarea 6.2.5.</x:v>
      </x:c>
      <x:c r="G27" s="881" t="str">
        <x:v>La app móvil recibe una notificación push enviada mediante el mecanismo configurado.</x:v>
      </x:c>
      <x:c r="H27" s="881" t="str">
        <x:v>Pendiente</x:v>
      </x:c>
      <x:c r="I27" s="881" t="str">
        <x:v>Sprint 6</x:v>
      </x:c>
      <x:c r="J27" s="882" t="n">
        <x:v>46290</x:v>
      </x:c>
      <x:c r="K27" s="925" t="n">
        <x:v>46290</x:v>
      </x:c>
    </x:row>
    <x:row r="28" ht="52" customHeight="1">
      <x:c r="A28" s="880" t="str">
        <x:v>CP-24</x:v>
      </x:c>
      <x:c r="B28" s="881" t="str">
        <x:v>RF-24</x:v>
      </x:c>
      <x:c r="C28" s="881" t="str">
        <x:v>HU24</x:v>
      </x:c>
      <x:c r="D28" s="881" t="str">
        <x:v>6.2.6</x:v>
      </x:c>
      <x:c r="E28" s="881" t="str">
        <x:v>Validar consultar historial de recojos conforme a HU24.</x:v>
      </x:c>
      <x:c r="F28" s="881" t="str">
        <x:v>Usuario/actor con permisos correspondientes y datos válidos para la tarea 6.2.6.</x:v>
      </x:c>
      <x:c r="G28" s="881" t="str">
        <x:v>El acopiador visualiza su historial de recojos y reportes personales.</x:v>
      </x:c>
      <x:c r="H28" s="881" t="str">
        <x:v>Pendiente</x:v>
      </x:c>
      <x:c r="I28" s="881" t="str">
        <x:v>Sprint 6</x:v>
      </x:c>
      <x:c r="J28" s="882" t="n">
        <x:v>46290</x:v>
      </x:c>
      <x:c r="K28" s="925" t="n">
        <x:v>46291</x:v>
      </x:c>
    </x:row>
    <x:row r="29" ht="52" customHeight="1">
      <x:c r="A29" s="880" t="str">
        <x:v>CP-25</x:v>
      </x:c>
      <x:c r="B29" s="881" t="str">
        <x:v>RI-01</x:v>
      </x:c>
      <x:c r="C29" s="881" t="str">
        <x:v>HU25</x:v>
      </x:c>
      <x:c r="D29" s="881" t="str">
        <x:v>8.5.2</x:v>
      </x:c>
      <x:c r="E29" s="881" t="str">
        <x:v>Verificar ejecución de capacitar administradores del sistema conforme a HU25.</x:v>
      </x:c>
      <x:c r="F29" s="881" t="str">
        <x:v>Sistema desplegado, material de capacitación disponible y participantes convocados.</x:v>
      </x:c>
      <x:c r="G29" s="881" t="str">
        <x:v>Se realiza la capacitación web prevista y los administradores reciben el material o guía correspondiente.</x:v>
      </x:c>
      <x:c r="H29" s="881" t="str">
        <x:v>Pendiente</x:v>
      </x:c>
      <x:c r="I29" s="881" t="str">
        <x:v>Sprint 8</x:v>
      </x:c>
      <x:c r="J29" s="882" t="n">
        <x:v>46305</x:v>
      </x:c>
      <x:c r="K29" s="925" t="n">
        <x:v>46305</x:v>
      </x:c>
    </x:row>
    <x:row r="30" ht="52" customHeight="1">
      <x:c r="A30" s="880" t="str">
        <x:v>CP-26</x:v>
      </x:c>
      <x:c r="B30" s="881" t="str">
        <x:v>RI-02</x:v>
      </x:c>
      <x:c r="C30" s="881" t="str">
        <x:v>HU26</x:v>
      </x:c>
      <x:c r="D30" s="881" t="str">
        <x:v>8.5.3</x:v>
      </x:c>
      <x:c r="E30" s="881" t="str">
        <x:v>Verificar ejecución de capacitar acopiadores en la app móvil conforme a HU26.</x:v>
      </x:c>
      <x:c r="F30" s="881" t="str">
        <x:v>Sistema desplegado, material de capacitación disponible y participantes convocados.</x:v>
      </x:c>
      <x:c r="G30" s="881" t="str">
        <x:v>Se realiza la capacitación móvil en Huata y los acopiadores practican el registro de recojos.</x:v>
      </x:c>
      <x:c r="H30" s="881" t="str">
        <x:v>Pendiente</x:v>
      </x:c>
      <x:c r="I30" s="881" t="str">
        <x:v>Sprint 8</x:v>
      </x:c>
      <x:c r="J30" s="882" t="n">
        <x:v>46306</x:v>
      </x:c>
      <x:c r="K30" s="925" t="n">
        <x:v>46306</x:v>
      </x:c>
    </x:row>
    <x:row r="31" ht="52" customHeight="1">
      <x:c r="A31" s="880" t="str">
        <x:v>CP-27</x:v>
      </x:c>
      <x:c r="B31" s="881" t="str">
        <x:v>RS-01</x:v>
      </x:c>
      <x:c r="C31" s="881" t="str">
        <x:v>HU27</x:v>
      </x:c>
      <x:c r="D31" s="881" t="str">
        <x:v>8.5.4</x:v>
      </x:c>
      <x:c r="E31" s="881" t="str">
        <x:v>Verificar brindar soporte post-implementación conforme a HU27.</x:v>
      </x:c>
      <x:c r="F31" s="881" t="str">
        <x:v>Sistema desplegado y usuarios con acceso al canal de soporte.</x:v>
      </x:c>
      <x:c r="G31" s="881" t="str">
        <x:v>Durante el hipercare se registran y atienden las dudas o incidencias reportadas por los usuarios.</x:v>
      </x:c>
      <x:c r="H31" s="881" t="str">
        <x:v>Pendiente</x:v>
      </x:c>
      <x:c r="I31" s="881" t="str">
        <x:v>Sprint 8</x:v>
      </x:c>
      <x:c r="J31" s="882" t="n">
        <x:v>46306</x:v>
      </x:c>
      <x:c r="K31" s="925" t="n">
        <x:v>46307</x:v>
      </x:c>
    </x:row>
    <x:row r="32" ht="52" customHeight="1">
      <x:c r="A32" s="896" t="str">
        <x:v>CP-28</x:v>
      </x:c>
      <x:c r="B32" s="897" t="str">
        <x:v>RNF-01</x:v>
      </x:c>
      <x:c r="C32" s="897" t="str">
        <x:v>—</x:v>
      </x:c>
      <x:c r="D32" s="897" t="str">
        <x:v>2.2.1–2.2.7 / 6.3.1</x:v>
      </x:c>
      <x:c r="E32" s="897" t="str">
        <x:v>Verificar requisito no funcional: interfaz intuitiva y usable.</x:v>
      </x:c>
      <x:c r="F32" s="897" t="str">
        <x:v>Ambiente de prueba configurado y datos representativos del flujo.</x:v>
      </x:c>
      <x:c r="G32" s="897" t="str">
        <x:v>Los flujos principales pueden ejecutarse sin pérdida de controles y los ajustes de UI/UX planificados quedan incorporados.</x:v>
      </x:c>
      <x:c r="H32" s="897" t="str">
        <x:v>Pendiente</x:v>
      </x:c>
      <x:c r="I32" s="897" t="str">
        <x:v>Sprint 2 / Sprint 6</x:v>
      </x:c>
      <x:c r="J32" s="898" t="n">
        <x:v>46261</x:v>
      </x:c>
      <x:c r="K32" s="927" t="n">
        <x:v>46292</x:v>
      </x:c>
    </x:row>
    <x:row r="33" ht="52" customHeight="1">
      <x:c r="A33" s="896" t="str">
        <x:v>CP-29</x:v>
      </x:c>
      <x:c r="B33" s="897" t="str">
        <x:v>RNF-02</x:v>
      </x:c>
      <x:c r="C33" s="897" t="str">
        <x:v>—</x:v>
      </x:c>
      <x:c r="D33" s="897" t="str">
        <x:v>3.3.8 / 3.4.3 / 7.2.9</x:v>
      </x:c>
      <x:c r="E33" s="897" t="str">
        <x:v>Verificar requisito no funcional: seguridad de la información.</x:v>
      </x:c>
      <x:c r="F33" s="897" t="str">
        <x:v>Ambiente de prueba configurado y datos representativos del flujo.</x:v>
      </x:c>
      <x:c r="G33" s="897" t="str">
        <x:v>Las funciones protegidas requieren autenticación válida y las pruebas de seguridad no presentan fallos críticos.</x:v>
      </x:c>
      <x:c r="H33" s="897" t="str">
        <x:v>Pendiente</x:v>
      </x:c>
      <x:c r="I33" s="897" t="str">
        <x:v>Sprint 3 / Sprint 7</x:v>
      </x:c>
      <x:c r="J33" s="898" t="n">
        <x:v>46269</x:v>
      </x:c>
      <x:c r="K33" s="927" t="n">
        <x:v>46297</x:v>
      </x:c>
    </x:row>
    <x:row r="34" ht="52" customHeight="1">
      <x:c r="A34" s="896" t="str">
        <x:v>CP-30</x:v>
      </x:c>
      <x:c r="B34" s="897" t="str">
        <x:v>RNF-03</x:v>
      </x:c>
      <x:c r="C34" s="897" t="str">
        <x:v>—</x:v>
      </x:c>
      <x:c r="D34" s="897" t="str">
        <x:v>8.2.4</x:v>
      </x:c>
      <x:c r="E34" s="897" t="str">
        <x:v>Verificar requisito no funcional: compatibilidad android.</x:v>
      </x:c>
      <x:c r="F34" s="897" t="str">
        <x:v>Ambiente de prueba configurado y datos representativos del flujo.</x:v>
      </x:c>
      <x:c r="G34" s="897" t="str">
        <x:v>La APK se genera, se distribuye y permite ejecutar los flujos móviles previstos.</x:v>
      </x:c>
      <x:c r="H34" s="897" t="str">
        <x:v>Pendiente</x:v>
      </x:c>
      <x:c r="I34" s="897" t="str">
        <x:v>Sprint 8</x:v>
      </x:c>
      <x:c r="J34" s="898" t="n">
        <x:v>46303</x:v>
      </x:c>
      <x:c r="K34" s="927" t="n">
        <x:v>46303</x:v>
      </x:c>
    </x:row>
    <x:row r="35" ht="52" customHeight="1">
      <x:c r="A35" s="896" t="str">
        <x:v>CP-31</x:v>
      </x:c>
      <x:c r="B35" s="897" t="str">
        <x:v>RNF-04</x:v>
      </x:c>
      <x:c r="C35" s="897" t="str">
        <x:v>—</x:v>
      </x:c>
      <x:c r="D35" s="897" t="str">
        <x:v>—</x:v>
      </x:c>
      <x:c r="E35" s="897" t="str">
        <x:v>Verificar requisito no funcional: compatibilidad web.</x:v>
      </x:c>
      <x:c r="F35" s="897" t="str">
        <x:v>Ambiente de prueba configurado y datos representativos del flujo.</x:v>
      </x:c>
      <x:c r="G35" s="897" t="str">
        <x:v>Las funciones web críticas pueden ejecutarse en los navegadores objetivo definidos por el proyecto.</x:v>
      </x:c>
      <x:c r="H35" s="897" t="str">
        <x:v>Pendiente</x:v>
      </x:c>
      <x:c r="I35" s="897" t="str">
        <x:v>Transversal</x:v>
      </x:c>
      <x:c r="J35" s="898" t="n">
        <x:v>46253</x:v>
      </x:c>
      <x:c r="K35" s="927" t="n">
        <x:v>46309</x:v>
      </x:c>
    </x:row>
    <x:row r="36" ht="52" customHeight="1">
      <x:c r="A36" s="896" t="str">
        <x:v>CP-32</x:v>
      </x:c>
      <x:c r="B36" s="897" t="str">
        <x:v>RNF-05</x:v>
      </x:c>
      <x:c r="C36" s="897" t="str">
        <x:v>—</x:v>
      </x:c>
      <x:c r="D36" s="897" t="str">
        <x:v>7.2.9</x:v>
      </x:c>
      <x:c r="E36" s="897" t="str">
        <x:v>Verificar requisito no funcional: rendimiento y estabilidad.</x:v>
      </x:c>
      <x:c r="F36" s="897" t="str">
        <x:v>Ambiente de prueba configurado y datos representativos del flujo.</x:v>
      </x:c>
      <x:c r="G36" s="897" t="str">
        <x:v>Las pruebas no funcionales no detectan fallos críticos de rendimiento o estabilidad.</x:v>
      </x:c>
      <x:c r="H36" s="897" t="str">
        <x:v>Pendiente</x:v>
      </x:c>
      <x:c r="I36" s="897" t="str">
        <x:v>Sprint 7</x:v>
      </x:c>
      <x:c r="J36" s="898" t="n">
        <x:v>46297</x:v>
      </x:c>
      <x:c r="K36" s="927" t="n">
        <x:v>46297</x:v>
      </x:c>
    </x:row>
    <x:row r="37" ht="52" customHeight="1">
      <x:c r="A37" s="896" t="str">
        <x:v>CP-33</x:v>
      </x:c>
      <x:c r="B37" s="897" t="str">
        <x:v>RNF-06</x:v>
      </x:c>
      <x:c r="C37" s="897" t="str">
        <x:v>—</x:v>
      </x:c>
      <x:c r="D37" s="897" t="str">
        <x:v>3.3.3 / 5.3.5</x:v>
      </x:c>
      <x:c r="E37" s="897" t="str">
        <x:v>Verificar requisito no funcional: persistencia de datos.</x:v>
      </x:c>
      <x:c r="F37" s="897" t="str">
        <x:v>Ambiente de prueba configurado y datos representativos del flujo.</x:v>
      </x:c>
      <x:c r="G37" s="897" t="str">
        <x:v>Los datos del backend quedan almacenados en PostgreSQL y los registros offline se conservan en SQLite hasta su sincronización.</x:v>
      </x:c>
      <x:c r="H37" s="897" t="str">
        <x:v>Pendiente</x:v>
      </x:c>
      <x:c r="I37" s="897" t="str">
        <x:v>Sprint 3 / Sprint 5</x:v>
      </x:c>
      <x:c r="J37" s="898" t="n">
        <x:v>46269</x:v>
      </x:c>
      <x:c r="K37" s="927" t="n">
        <x:v>46285</x:v>
      </x:c>
    </x:row>
    <x:row r="38" ht="52" customHeight="1">
      <x:c r="A38" s="896" t="str">
        <x:v>CP-34</x:v>
      </x:c>
      <x:c r="B38" s="897" t="str">
        <x:v>RNF-07</x:v>
      </x:c>
      <x:c r="C38" s="897" t="str">
        <x:v>—</x:v>
      </x:c>
      <x:c r="D38" s="897" t="str">
        <x:v>8.2.1–8.2.3 / 8.4.1</x:v>
      </x:c>
      <x:c r="E38" s="897" t="str">
        <x:v>Verificar requisito no funcional: disponibilidad en producción.</x:v>
      </x:c>
      <x:c r="F38" s="897" t="str">
        <x:v>Ambiente de prueba configurado y datos representativos del flujo.</x:v>
      </x:c>
      <x:c r="G38" s="897" t="str">
        <x:v>Backend y frontend quedan desplegados y superan las pruebas de humo planificadas.</x:v>
      </x:c>
      <x:c r="H38" s="897" t="str">
        <x:v>Pendiente</x:v>
      </x:c>
      <x:c r="I38" s="897" t="str">
        <x:v>Sprint 8</x:v>
      </x:c>
      <x:c r="J38" s="898" t="n">
        <x:v>46302</x:v>
      </x:c>
      <x:c r="K38" s="927" t="n">
        <x:v>46304</x:v>
      </x:c>
    </x:row>
    <x:row r="39" ht="52" customHeight="1">
      <x:c r="A39" s="896" t="str">
        <x:v>CP-35</x:v>
      </x:c>
      <x:c r="B39" s="897" t="str">
        <x:v>RNF-08</x:v>
      </x:c>
      <x:c r="C39" s="897" t="str">
        <x:v>—</x:v>
      </x:c>
      <x:c r="D39" s="897" t="str">
        <x:v>8.3.1</x:v>
      </x:c>
      <x:c r="E39" s="897" t="str">
        <x:v>Verificar requisito no funcional: integridad de carga inicial.</x:v>
      </x:c>
      <x:c r="F39" s="897" t="str">
        <x:v>Ambiente de prueba configurado y datos representativos del flujo.</x:v>
      </x:c>
      <x:c r="G39" s="897" t="str">
        <x:v>La carga inicial finaliza con los datos maestros disponibles y sin inconsistencias críticas detectadas.</x:v>
      </x:c>
      <x:c r="H39" s="897" t="str">
        <x:v>Pendiente</x:v>
      </x:c>
      <x:c r="I39" s="897" t="str">
        <x:v>Sprint 8</x:v>
      </x:c>
      <x:c r="J39" s="898" t="n">
        <x:v>46304</x:v>
      </x:c>
      <x:c r="K39" s="927" t="n">
        <x:v>46304</x:v>
      </x:c>
    </x:row>
    <x:row r="40" ht="52" customHeight="1">
      <x:c r="A40" s="900" t="str">
        <x:v>CP-36</x:v>
      </x:c>
      <x:c r="B40" s="901" t="str">
        <x:v>RNF-09</x:v>
      </x:c>
      <x:c r="C40" s="901" t="str">
        <x:v>—</x:v>
      </x:c>
      <x:c r="D40" s="901" t="str">
        <x:v>4.3.1 / 7.3.1 / 7.3.2 / 9.2.1</x:v>
      </x:c>
      <x:c r="E40" s="901" t="str">
        <x:v>Verificar requisito no funcional: mantenibilidad y documentación.</x:v>
      </x:c>
      <x:c r="F40" s="901" t="str">
        <x:v>Ambiente de prueba configurado y datos representativos del flujo.</x:v>
      </x:c>
      <x:c r="G40" s="901" t="str">
        <x:v>Se entregan la documentación de API, el manual de usuario, el manual técnico y la documentación final previstas.</x:v>
      </x:c>
      <x:c r="H40" s="901" t="str">
        <x:v>Pendiente</x:v>
      </x:c>
      <x:c r="I40" s="901" t="str">
        <x:v>Sprint 4 / Sprint 7 / Cierre</x:v>
      </x:c>
      <x:c r="J40" s="902" t="n">
        <x:v>46279</x:v>
      </x:c>
      <x:c r="K40" s="928" t="n">
        <x:v>46309</x:v>
      </x:c>
    </x:row>
  </x:sheetData>
  <x:mergeCells>
    <x:mergeCell ref="A1:K1"/>
    <x:mergeCell ref="A2:K2"/>
  </x:mergeCells>
  <x:conditionalFormatting sqref="G5:G40">
    <x:cfRule type="cellIs" dxfId="4" priority="2" operator="equal">
      <x:formula>"Aprobado"</x:formula>
    </x:cfRule>
    <x:cfRule type="cellIs" dxfId="3" priority="3" operator="equal">
      <x:formula>"Fallido"</x:formula>
    </x:cfRule>
  </x:conditionalFormatting>
  <x:conditionalFormatting sqref="H5:H40">
    <x:cfRule type="expression" dxfId="15" priority="4">
      <x:formula>H5="Aprobado"</x:formula>
    </x:cfRule>
    <x:cfRule type="expression" dxfId="16" priority="5">
      <x:formula>H5="Fallido"</x:formula>
    </x:cfRule>
  </x:conditionalFormatting>
  <x:dataValidations count="3">
    <x:dataValidation type="list" allowBlank="1" errorTitle="Valor no permitido" error="Seleccione un valor de la lista desplegable." sqref="G5:G40">
      <x:formula1>#REF!</x:formula1>
      <x:formula2>0</x:formula2>
    </x:dataValidation>
    <x:dataValidation type="list" sqref="G5:G21">
      <x:formula1>"Pendiente,Aprobado,Fallido,Bloqueado"</x:formula1>
    </x:dataValidation>
    <x:dataValidation type="list" sqref="H5:H40">
      <x:formula1>"Pendiente,Aprobado,Fallido,Bloqueado"</x:formula1>
    </x:dataValidation>
  </x:dataValidations>
  <x:pageMargins left="0.7" right="0.7" top="0.75" bottom="0.75" header="0.3" footer="0.3"/>
</x:worksheet>
</file>

<file path=xl/worksheets/sheet5.xml><?xml version="1.0" encoding="utf-8"?>
<x:worksheet xmlns:x="http://schemas.openxmlformats.org/spreadsheetml/2006/main">
  <x:sheetPr>
    <x:tabColor rgb="FFB98600"/>
  </x:sheetPr>
  <x:sheetViews>
    <x:sheetView showGridLines="0" workbookViewId="0"/>
  </x:sheetViews>
  <x:sheetFormatPr defaultColWidth="8.7109375" defaultRowHeight="15"/>
  <x:cols>
    <x:col min="1" max="1" width="12" hidden="0" customWidth="1"/>
    <x:col min="2" max="2" width="8" hidden="0" customWidth="1"/>
    <x:col min="3" max="3" width="20" hidden="0" customWidth="1"/>
    <x:col min="4" max="4" width="30" hidden="0" customWidth="1"/>
    <x:col min="5" max="5" width="16" hidden="0" customWidth="1"/>
    <x:col min="6" max="6" width="26" hidden="0" customWidth="1"/>
    <x:col min="7" max="7" width="22" hidden="0" customWidth="1"/>
    <x:col min="8" max="8" width="13" hidden="0" customWidth="1"/>
    <x:col min="9" max="9" width="13" hidden="0" customWidth="1"/>
    <x:col min="10" max="10" width="13" hidden="0" customWidth="1"/>
    <x:col min="11" max="11" width="44" hidden="0" customWidth="1"/>
    <x:col min="12" max="12" width="13" hidden="0" customWidth="1"/>
    <x:col min="13" max="13" width="14" hidden="0" customWidth="1"/>
  </x:cols>
  <x:sheetData>
    <x:row r="1" ht="30" customHeight="1">
      <x:c r="A1" s="828" t="str">
        <x:v>MATRIZ DE TRAZABILIDAD - HUATA LÁCTEOS</x:v>
      </x:c>
      <x:c r="B1" s="828"/>
      <x:c r="C1" s="828"/>
      <x:c r="D1" s="828"/>
      <x:c r="E1" s="828"/>
      <x:c r="F1" s="828"/>
      <x:c r="G1" s="828"/>
      <x:c r="H1" s="828"/>
      <x:c r="I1" s="828"/>
      <x:c r="J1" s="828"/>
      <x:c r="K1" s="828"/>
      <x:c r="L1" s="828"/>
      <x:c r="M1" s="828"/>
    </x:row>
    <x:row r="2" ht="18" customHeight="1">
      <x:c r="A2" s="831" t="str">
        <x:v>Trazabilidad completa: Requisito → HU → EDT → Sprint/fechas → Caso de prueba → Entregable.</x:v>
      </x:c>
      <x:c r="B2" s="831"/>
      <x:c r="C2" s="831"/>
      <x:c r="D2" s="831"/>
      <x:c r="E2" s="831"/>
      <x:c r="F2" s="831"/>
      <x:c r="G2" s="831"/>
      <x:c r="H2" s="831"/>
      <x:c r="I2" s="831"/>
      <x:c r="J2" s="831"/>
      <x:c r="K2" s="831"/>
      <x:c r="L2" s="831"/>
      <x:c r="M2" s="831"/>
    </x:row>
    <x:row r="3">
      <x:c r="A3"/>
      <x:c r="B3"/>
      <x:c r="C3"/>
      <x:c r="D3"/>
      <x:c r="E3"/>
      <x:c r="F3"/>
      <x:c r="G3"/>
      <x:c r="H3"/>
      <x:c r="I3"/>
      <x:c r="J3"/>
    </x:row>
    <x:row r="4" ht="32" customHeight="1">
      <x:c r="A4" s="917" t="str">
        <x:v>ID requisito</x:v>
      </x:c>
      <x:c r="B4" s="917" t="str">
        <x:v>HU</x:v>
      </x:c>
      <x:c r="C4" s="917" t="str">
        <x:v>EDT</x:v>
      </x:c>
      <x:c r="D4" s="917" t="str">
        <x:v>Nombre</x:v>
      </x:c>
      <x:c r="E4" s="917" t="str">
        <x:v>Tipo</x:v>
      </x:c>
      <x:c r="F4" s="917" t="str">
        <x:v>Fuente</x:v>
      </x:c>
      <x:c r="G4" s="917" t="str">
        <x:v>Sprint / periodo</x:v>
      </x:c>
      <x:c r="H4" s="917" t="str">
        <x:v>Fecha inicio</x:v>
      </x:c>
      <x:c r="I4" s="917" t="str">
        <x:v>Fecha fin</x:v>
      </x:c>
      <x:c r="J4" s="917" t="str">
        <x:v>Caso de prueba</x:v>
      </x:c>
      <x:c r="K4" s="917" t="str">
        <x:v>Entregable / evidencia</x:v>
      </x:c>
      <x:c r="L4" s="917" t="str">
        <x:v>Estado</x:v>
      </x:c>
      <x:c r="M4" s="917" t="str">
        <x:v>Trazabilidad</x:v>
      </x:c>
    </x:row>
    <x:row r="5" ht="38" customHeight="1">
      <x:c r="A5" s="876" t="str">
        <x:v>RF-01</x:v>
      </x:c>
      <x:c r="B5" s="877" t="str">
        <x:v>HU01</x:v>
      </x:c>
      <x:c r="C5" s="877" t="str">
        <x:v>3.4.1</x:v>
      </x:c>
      <x:c r="D5" s="877" t="str">
        <x:v>Inicio de sesión web</x:v>
      </x:c>
      <x:c r="E5" s="877" t="str">
        <x:v>Funcional</x:v>
      </x:c>
      <x:c r="F5" s="877" t="str">
        <x:v>Cronograma EDT</x:v>
      </x:c>
      <x:c r="G5" s="877" t="str">
        <x:v>Sprint 3</x:v>
      </x:c>
      <x:c r="H5" s="878" t="n">
        <x:v>46271</x:v>
      </x:c>
      <x:c r="I5" s="878" t="str">
        <x:f t="shared" ref="I5:I36" si="0">IF(A5="","",IF(AND(C5&lt;&gt;"",E5&lt;&gt;"",F5&lt;&gt;"SIN PRUEBA",G5&lt;&gt;""),"Completa","Incompleta"))</x:f>
        <x:v>Completa</x:v>
      </x:c>
      <x:c r="J5" s="877" t="str">
        <x:v>CP-01</x:v>
      </x:c>
      <x:c r="K5" s="877" t="str">
        <x:v>HU01: Desarrollo Web: Pantalla de Login (Angular)</x:v>
      </x:c>
      <x:c r="L5" s="877" t="str">
        <x:v>Planificado</x:v>
      </x:c>
      <x:c r="M5" s="879" t="str">
        <x:v>Completa</x:v>
      </x:c>
    </x:row>
    <x:row r="6" ht="38" customHeight="1">
      <x:c r="A6" s="880" t="str">
        <x:v>RF-02</x:v>
      </x:c>
      <x:c r="B6" s="881" t="str">
        <x:v>HU02</x:v>
      </x:c>
      <x:c r="C6" s="881" t="str">
        <x:v>3.4.2</x:v>
      </x:c>
      <x:c r="D6" s="881" t="str">
        <x:v>Inicio de sesión móvil</x:v>
      </x:c>
      <x:c r="E6" s="881" t="str">
        <x:v>Funcional</x:v>
      </x:c>
      <x:c r="F6" s="881" t="str">
        <x:v>Cronograma EDT</x:v>
      </x:c>
      <x:c r="G6" s="881" t="str">
        <x:v>Sprint 3</x:v>
      </x:c>
      <x:c r="H6" s="882" t="n">
        <x:v>46271</x:v>
      </x:c>
      <x:c r="I6" s="882" t="n">
        <x:f t="shared" si="0"/>
        <x:v>46271</x:v>
      </x:c>
      <x:c r="J6" s="881" t="str">
        <x:v>CP-02</x:v>
      </x:c>
      <x:c r="K6" s="881" t="str">
        <x:v>HU02: Desarrollo Móvil: Pantalla de Login (Flutter)</x:v>
      </x:c>
      <x:c r="L6" s="881" t="str">
        <x:v>Planificado</x:v>
      </x:c>
      <x:c r="M6" s="883" t="str">
        <x:v>Completa</x:v>
      </x:c>
    </x:row>
    <x:row r="7" ht="38" customHeight="1">
      <x:c r="A7" s="880" t="str">
        <x:v>RF-03</x:v>
      </x:c>
      <x:c r="B7" s="881" t="str">
        <x:v>HU03</x:v>
      </x:c>
      <x:c r="C7" s="881" t="str">
        <x:v>3.4.3</x:v>
      </x:c>
      <x:c r="D7" s="881" t="str">
        <x:v>Autenticación y sesión segura</x:v>
      </x:c>
      <x:c r="E7" s="881" t="str">
        <x:v>Funcional</x:v>
      </x:c>
      <x:c r="F7" s="881" t="str">
        <x:v>Cronograma EDT</x:v>
      </x:c>
      <x:c r="G7" s="881" t="str">
        <x:v>Sprint 3</x:v>
      </x:c>
      <x:c r="H7" s="882" t="n">
        <x:v>46270</x:v>
      </x:c>
      <x:c r="I7" s="882" t="n">
        <x:f t="shared" si="0"/>
        <x:v>46271</x:v>
      </x:c>
      <x:c r="J7" s="881" t="str">
        <x:v>CP-03</x:v>
      </x:c>
      <x:c r="K7" s="881" t="str">
        <x:v>HU03: Desarrollo Backend: Módulo de Autenticación</x:v>
      </x:c>
      <x:c r="L7" s="881" t="str">
        <x:v>Planificado</x:v>
      </x:c>
      <x:c r="M7" s="883" t="str">
        <x:v>Completa</x:v>
      </x:c>
    </x:row>
    <x:row r="8" ht="38" customHeight="1">
      <x:c r="A8" s="880" t="str">
        <x:v>RF-04</x:v>
      </x:c>
      <x:c r="B8" s="881" t="str">
        <x:v>HU04</x:v>
      </x:c>
      <x:c r="C8" s="881" t="str">
        <x:v>4.2.1</x:v>
      </x:c>
      <x:c r="D8" s="881" t="str">
        <x:v>Administrar productores vía API</x:v>
      </x:c>
      <x:c r="E8" s="881" t="str">
        <x:v>Funcional</x:v>
      </x:c>
      <x:c r="F8" s="881" t="str">
        <x:v>Cronograma EDT + RN-15/RN-17</x:v>
      </x:c>
      <x:c r="G8" s="881" t="str">
        <x:v>Sprint 4</x:v>
      </x:c>
      <x:c r="H8" s="882" t="n">
        <x:v>46274</x:v>
      </x:c>
      <x:c r="I8" s="882" t="n">
        <x:f t="shared" si="0"/>
        <x:v>46275</x:v>
      </x:c>
      <x:c r="J8" s="881" t="str">
        <x:v>CP-04</x:v>
      </x:c>
      <x:c r="K8" s="881" t="str">
        <x:v>CRUD productores + historial de calidad</x:v>
      </x:c>
      <x:c r="L8" s="881" t="str">
        <x:v>Planificado</x:v>
      </x:c>
      <x:c r="M8" s="883" t="str">
        <x:v>Completa</x:v>
      </x:c>
    </x:row>
    <x:row r="9" ht="38" customHeight="1">
      <x:c r="A9" s="880" t="str">
        <x:v>RF-05</x:v>
      </x:c>
      <x:c r="B9" s="881" t="str">
        <x:v>HU05</x:v>
      </x:c>
      <x:c r="C9" s="881" t="str">
        <x:v>4.2.2</x:v>
      </x:c>
      <x:c r="D9" s="881" t="str">
        <x:v>Administrar acopiadores y rutas vía API</x:v>
      </x:c>
      <x:c r="E9" s="881" t="str">
        <x:v>Funcional</x:v>
      </x:c>
      <x:c r="F9" s="881" t="str">
        <x:v>Cronograma EDT</x:v>
      </x:c>
      <x:c r="G9" s="881" t="str">
        <x:v>Sprint 4</x:v>
      </x:c>
      <x:c r="H9" s="882" t="n">
        <x:v>46275</x:v>
      </x:c>
      <x:c r="I9" s="882" t="n">
        <x:f t="shared" si="0"/>
        <x:v>46276</x:v>
      </x:c>
      <x:c r="J9" s="881" t="str">
        <x:v>CP-05</x:v>
      </x:c>
      <x:c r="K9" s="881" t="str">
        <x:v>HU05: Backend: CRUD de Acopiadores y Rutas</x:v>
      </x:c>
      <x:c r="L9" s="881" t="str">
        <x:v>Planificado</x:v>
      </x:c>
      <x:c r="M9" s="883" t="str">
        <x:v>Completa</x:v>
      </x:c>
    </x:row>
    <x:row r="10" ht="38" customHeight="1">
      <x:c r="A10" s="880" t="str">
        <x:v>RF-06</x:v>
      </x:c>
      <x:c r="B10" s="881" t="str">
        <x:v>HU06</x:v>
      </x:c>
      <x:c r="C10" s="881" t="str">
        <x:v>4.2.3</x:v>
      </x:c>
      <x:c r="D10" s="881" t="str">
        <x:v>Administrar centros de acopio vía API</x:v>
      </x:c>
      <x:c r="E10" s="881" t="str">
        <x:v>Funcional</x:v>
      </x:c>
      <x:c r="F10" s="881" t="str">
        <x:v>Cronograma EDT</x:v>
      </x:c>
      <x:c r="G10" s="881" t="str">
        <x:v>Sprint 4</x:v>
      </x:c>
      <x:c r="H10" s="882" t="n">
        <x:v>46276</x:v>
      </x:c>
      <x:c r="I10" s="882" t="n">
        <x:f t="shared" si="0"/>
        <x:v>46276</x:v>
      </x:c>
      <x:c r="J10" s="881" t="str">
        <x:v>CP-06</x:v>
      </x:c>
      <x:c r="K10" s="881" t="str">
        <x:v>HU06: Backend: CRUD de Centros de Acopio</x:v>
      </x:c>
      <x:c r="L10" s="881" t="str">
        <x:v>Planificado</x:v>
      </x:c>
      <x:c r="M10" s="883" t="str">
        <x:v>Completa</x:v>
      </x:c>
    </x:row>
    <x:row r="11" ht="38" customHeight="1">
      <x:c r="A11" s="880" t="str">
        <x:v>RF-07</x:v>
      </x:c>
      <x:c r="B11" s="881" t="str">
        <x:v>HU07</x:v>
      </x:c>
      <x:c r="C11" s="881" t="str">
        <x:v>4.2.4</x:v>
      </x:c>
      <x:c r="D11" s="881" t="str">
        <x:v>Gestionar productores desde la web</x:v>
      </x:c>
      <x:c r="E11" s="881" t="str">
        <x:v>Funcional</x:v>
      </x:c>
      <x:c r="F11" s="881" t="str">
        <x:v>Cronograma EDT + RN-15/RN-17</x:v>
      </x:c>
      <x:c r="G11" s="881" t="str">
        <x:v>Sprint 4</x:v>
      </x:c>
      <x:c r="H11" s="882" t="n">
        <x:v>46276</x:v>
      </x:c>
      <x:c r="I11" s="882" t="n">
        <x:f t="shared" si="0"/>
        <x:v>46277</x:v>
      </x:c>
      <x:c r="J11" s="881" t="str">
        <x:v>CP-07</x:v>
      </x:c>
      <x:c r="K11" s="881" t="str">
        <x:v>Pantallas de productores + historial de calidad</x:v>
      </x:c>
      <x:c r="L11" s="881" t="str">
        <x:v>Planificado</x:v>
      </x:c>
      <x:c r="M11" s="883" t="str">
        <x:v>Completa</x:v>
      </x:c>
    </x:row>
    <x:row r="12" ht="38" customHeight="1">
      <x:c r="A12" s="880" t="str">
        <x:v>RF-08</x:v>
      </x:c>
      <x:c r="B12" s="881" t="str">
        <x:v>HU08</x:v>
      </x:c>
      <x:c r="C12" s="881" t="str">
        <x:v>4.2.5</x:v>
      </x:c>
      <x:c r="D12" s="881" t="str">
        <x:v>Gestionar rutas y centros desde la web</x:v>
      </x:c>
      <x:c r="E12" s="881" t="str">
        <x:v>Funcional</x:v>
      </x:c>
      <x:c r="F12" s="881" t="str">
        <x:v>Cronograma EDT</x:v>
      </x:c>
      <x:c r="G12" s="881" t="str">
        <x:v>Sprint 4</x:v>
      </x:c>
      <x:c r="H12" s="882" t="n">
        <x:v>46277</x:v>
      </x:c>
      <x:c r="I12" s="882" t="n">
        <x:f t="shared" si="0"/>
        <x:v>46278</x:v>
      </x:c>
      <x:c r="J12" s="881" t="str">
        <x:v>CP-08</x:v>
      </x:c>
      <x:c r="K12" s="881" t="str">
        <x:v>HU08: Web: Módulo de gestión de Rutas y Centros de Acopio</x:v>
      </x:c>
      <x:c r="L12" s="881" t="str">
        <x:v>Planificado</x:v>
      </x:c>
      <x:c r="M12" s="883" t="str">
        <x:v>Completa</x:v>
      </x:c>
    </x:row>
    <x:row r="13" ht="38" customHeight="1">
      <x:c r="A13" s="880" t="str">
        <x:v>RF-09</x:v>
      </x:c>
      <x:c r="B13" s="881" t="str">
        <x:v>HU09</x:v>
      </x:c>
      <x:c r="C13" s="881" t="str">
        <x:v>4.2.6</x:v>
      </x:c>
      <x:c r="D13" s="881" t="str">
        <x:v>Consultar productores asignados</x:v>
      </x:c>
      <x:c r="E13" s="881" t="str">
        <x:v>Funcional</x:v>
      </x:c>
      <x:c r="F13" s="881" t="str">
        <x:v>Cronograma EDT</x:v>
      </x:c>
      <x:c r="G13" s="881" t="str">
        <x:v>Sprint 4</x:v>
      </x:c>
      <x:c r="H13" s="882" t="n">
        <x:v>46276</x:v>
      </x:c>
      <x:c r="I13" s="882" t="n">
        <x:f t="shared" si="0"/>
        <x:v>46277</x:v>
      </x:c>
      <x:c r="J13" s="881" t="str">
        <x:v>CP-09</x:v>
      </x:c>
      <x:c r="K13" s="881" t="str">
        <x:v>HU09: Móvil: Módulo de consulta de productores asignados</x:v>
      </x:c>
      <x:c r="L13" s="881" t="str">
        <x:v>Planificado</x:v>
      </x:c>
      <x:c r="M13" s="883" t="str">
        <x:v>Completa</x:v>
      </x:c>
    </x:row>
    <x:row r="14" ht="38" customHeight="1">
      <x:c r="A14" s="880" t="str">
        <x:v>RF-10</x:v>
      </x:c>
      <x:c r="B14" s="881" t="str">
        <x:v>HU10</x:v>
      </x:c>
      <x:c r="C14" s="881" t="str">
        <x:v>4.2.7</x:v>
      </x:c>
      <x:c r="D14" s="881" t="str">
        <x:v>Consultar ruta del día</x:v>
      </x:c>
      <x:c r="E14" s="881" t="str">
        <x:v>Funcional</x:v>
      </x:c>
      <x:c r="F14" s="881" t="str">
        <x:v>Cronograma EDT + RN-11/RN-12/RN-13</x:v>
      </x:c>
      <x:c r="G14" s="881" t="str">
        <x:v>Sprint 4</x:v>
      </x:c>
      <x:c r="H14" s="882" t="n">
        <x:v>46277</x:v>
      </x:c>
      <x:c r="I14" s="882" t="n">
        <x:f t="shared" si="0"/>
        <x:v>46278</x:v>
      </x:c>
      <x:c r="J14" s="881" t="str">
        <x:v>CP-10</x:v>
      </x:c>
      <x:c r="K14" s="881" t="str">
        <x:v>Ruta del día + vehículo + revisión de limpieza</x:v>
      </x:c>
      <x:c r="L14" s="881" t="str">
        <x:v>Planificado</x:v>
      </x:c>
      <x:c r="M14" s="883" t="str">
        <x:v>Completa</x:v>
      </x:c>
    </x:row>
    <x:row r="15" ht="38" customHeight="1">
      <x:c r="A15" s="880" t="str">
        <x:v>RF-11</x:v>
      </x:c>
      <x:c r="B15" s="881" t="str">
        <x:v>HU11</x:v>
      </x:c>
      <x:c r="C15" s="881" t="str">
        <x:v>5.2.1</x:v>
      </x:c>
      <x:c r="D15" s="881" t="str">
        <x:v>Registrar recojo de leche</x:v>
      </x:c>
      <x:c r="E15" s="881" t="str">
        <x:v>Funcional</x:v>
      </x:c>
      <x:c r="F15" s="881" t="str">
        <x:v>Cronograma EDT + RN-07/RN-11/RN-12/RN-14/RN-17</x:v>
      </x:c>
      <x:c r="G15" s="881" t="str">
        <x:v>Sprint 5</x:v>
      </x:c>
      <x:c r="H15" s="882" t="n">
        <x:v>46281</x:v>
      </x:c>
      <x:c r="I15" s="882" t="n">
        <x:f t="shared" si="0"/>
        <x:v>46282</x:v>
      </x:c>
      <x:c r="J15" s="881" t="str">
        <x:v>CP-11</x:v>
      </x:c>
      <x:c r="K15" s="881" t="str">
        <x:v>Registro completo del recojo</x:v>
      </x:c>
      <x:c r="L15" s="881" t="str">
        <x:v>Planificado</x:v>
      </x:c>
      <x:c r="M15" s="883" t="str">
        <x:v>Completa</x:v>
      </x:c>
    </x:row>
    <x:row r="16" ht="38" customHeight="1">
      <x:c r="A16" s="880" t="str">
        <x:v>RF-12</x:v>
      </x:c>
      <x:c r="B16" s="881" t="str">
        <x:v>HU12</x:v>
      </x:c>
      <x:c r="C16" s="881" t="str">
        <x:v>5.2.2</x:v>
      </x:c>
      <x:c r="D16" s="881" t="str">
        <x:v>Consultar liquidaciones</x:v>
      </x:c>
      <x:c r="E16" s="881" t="str">
        <x:v>Funcional</x:v>
      </x:c>
      <x:c r="F16" s="881" t="str">
        <x:v>Cronograma EDT + RN-01/RN-02/RN-16</x:v>
      </x:c>
      <x:c r="G16" s="881" t="str">
        <x:v>Sprint 5</x:v>
      </x:c>
      <x:c r="H16" s="882" t="n">
        <x:v>46285</x:v>
      </x:c>
      <x:c r="I16" s="882" t="n">
        <x:f t="shared" si="0"/>
        <x:v>46285</x:v>
      </x:c>
      <x:c r="J16" s="881" t="str">
        <x:v>CP-12</x:v>
      </x:c>
      <x:c r="K16" s="881" t="str">
        <x:v>Pago semanal con litros y precio aplicado</x:v>
      </x:c>
      <x:c r="L16" s="881" t="str">
        <x:v>Planificado</x:v>
      </x:c>
      <x:c r="M16" s="883" t="str">
        <x:v>Completa</x:v>
      </x:c>
    </x:row>
    <x:row r="17" ht="38" customHeight="1">
      <x:c r="A17" s="880" t="str">
        <x:v>RF-13</x:v>
      </x:c>
      <x:c r="B17" s="881" t="str">
        <x:v>HU13</x:v>
      </x:c>
      <x:c r="C17" s="881" t="str">
        <x:v>5.3.1</x:v>
      </x:c>
      <x:c r="D17" s="881" t="str">
        <x:v>Registrar parámetros de calidad</x:v>
      </x:c>
      <x:c r="E17" s="881" t="str">
        <x:v>Funcional</x:v>
      </x:c>
      <x:c r="F17" s="881" t="str">
        <x:v>Cronograma EDT + RN-03–RN-10/RN-14</x:v>
      </x:c>
      <x:c r="G17" s="881" t="str">
        <x:v>Sprint 5</x:v>
      </x:c>
      <x:c r="H17" s="882" t="n">
        <x:v>46282</x:v>
      </x:c>
      <x:c r="I17" s="882" t="n">
        <x:f t="shared" si="0"/>
        <x:v>46282</x:v>
      </x:c>
      <x:c r="J17" s="881" t="str">
        <x:v>CP-13</x:v>
      </x:c>
      <x:c r="K17" s="881" t="str">
        <x:v>Resultados de calidad + máquina usada + foto del análisis</x:v>
      </x:c>
      <x:c r="L17" s="881" t="str">
        <x:v>Planificado</x:v>
      </x:c>
      <x:c r="M17" s="883" t="str">
        <x:v>Completa</x:v>
      </x:c>
    </x:row>
    <x:row r="18" ht="38" customHeight="1">
      <x:c r="A18" s="880" t="str">
        <x:v>RF-14</x:v>
      </x:c>
      <x:c r="B18" s="881" t="str">
        <x:v>HU14</x:v>
      </x:c>
      <x:c r="C18" s="881" t="str">
        <x:v>5.3.2</x:v>
      </x:c>
      <x:c r="D18" s="881" t="str">
        <x:v>Calcular pago o liquidación</x:v>
      </x:c>
      <x:c r="E18" s="881" t="str">
        <x:v>Funcional</x:v>
      </x:c>
      <x:c r="F18" s="881" t="str">
        <x:v>Cronograma EDT + RN-01/RN-02/RN-16</x:v>
      </x:c>
      <x:c r="G18" s="881" t="str">
        <x:v>Sprint 5</x:v>
      </x:c>
      <x:c r="H18" s="882" t="n">
        <x:v>46283</x:v>
      </x:c>
      <x:c r="I18" s="882" t="n">
        <x:f t="shared" si="0"/>
        <x:v>46284</x:v>
      </x:c>
      <x:c r="J18" s="881" t="str">
        <x:v>CP-14</x:v>
      </x:c>
      <x:c r="K18" s="881" t="str">
        <x:v>Cálculo del pago con precio vigente</x:v>
      </x:c>
      <x:c r="L18" s="881" t="str">
        <x:v>Planificado</x:v>
      </x:c>
      <x:c r="M18" s="883" t="str">
        <x:v>Completa</x:v>
      </x:c>
    </x:row>
    <x:row r="19" ht="38" customHeight="1">
      <x:c r="A19" s="880" t="str">
        <x:v>RF-15</x:v>
      </x:c>
      <x:c r="B19" s="881" t="str">
        <x:v>HU15</x:v>
      </x:c>
      <x:c r="C19" s="881" t="str">
        <x:v>5.3.3</x:v>
      </x:c>
      <x:c r="D19" s="881" t="str">
        <x:v>Registrar y consultar recojos desde la web</x:v>
      </x:c>
      <x:c r="E19" s="881" t="str">
        <x:v>Funcional</x:v>
      </x:c>
      <x:c r="F19" s="881" t="str">
        <x:v>Cronograma EDT</x:v>
      </x:c>
      <x:c r="G19" s="881" t="str">
        <x:v>Sprint 5</x:v>
      </x:c>
      <x:c r="H19" s="882" t="n">
        <x:v>46283</x:v>
      </x:c>
      <x:c r="I19" s="882" t="n">
        <x:f t="shared" si="0"/>
        <x:v>46284</x:v>
      </x:c>
      <x:c r="J19" s="881" t="str">
        <x:v>CP-15</x:v>
      </x:c>
      <x:c r="K19" s="881" t="str">
        <x:v>HU15: Web: Módulo de registro y consulta de recojos</x:v>
      </x:c>
      <x:c r="L19" s="881" t="str">
        <x:v>Planificado</x:v>
      </x:c>
      <x:c r="M19" s="883" t="str">
        <x:v>Completa</x:v>
      </x:c>
    </x:row>
    <x:row r="20" ht="38" customHeight="1">
      <x:c r="A20" s="880" t="str">
        <x:v>RF-16</x:v>
      </x:c>
      <x:c r="B20" s="881" t="str">
        <x:v>HU16</x:v>
      </x:c>
      <x:c r="C20" s="881" t="str">
        <x:v>5.3.4</x:v>
      </x:c>
      <x:c r="D20" s="881" t="str">
        <x:v>Registrar recojo sin conexión</x:v>
      </x:c>
      <x:c r="E20" s="881" t="str">
        <x:v>Funcional</x:v>
      </x:c>
      <x:c r="F20" s="881" t="str">
        <x:v>Cronograma EDT</x:v>
      </x:c>
      <x:c r="G20" s="881" t="str">
        <x:v>Sprint 5</x:v>
      </x:c>
      <x:c r="H20" s="882" t="n">
        <x:v>46283</x:v>
      </x:c>
      <x:c r="I20" s="882" t="n">
        <x:f t="shared" si="0"/>
        <x:v>46284</x:v>
      </x:c>
      <x:c r="J20" s="881" t="str">
        <x:v>CP-16</x:v>
      </x:c>
      <x:c r="K20" s="881" t="str">
        <x:v>HU16: Móvil: Pantalla de registro de recojo de leche (offline-first)</x:v>
      </x:c>
      <x:c r="L20" s="881" t="str">
        <x:v>Planificado</x:v>
      </x:c>
      <x:c r="M20" s="883" t="str">
        <x:v>Completa</x:v>
      </x:c>
    </x:row>
    <x:row r="21" ht="38" customHeight="1">
      <x:c r="A21" s="880" t="str">
        <x:v>RF-17</x:v>
      </x:c>
      <x:c r="B21" s="881" t="str">
        <x:v>HU17</x:v>
      </x:c>
      <x:c r="C21" s="881" t="str">
        <x:v>5.3.5</x:v>
      </x:c>
      <x:c r="D21" s="881" t="str">
        <x:v>Sincronizar datos offline</x:v>
      </x:c>
      <x:c r="E21" s="881" t="str">
        <x:v>Funcional</x:v>
      </x:c>
      <x:c r="F21" s="881" t="str">
        <x:v>Cronograma EDT</x:v>
      </x:c>
      <x:c r="G21" s="881" t="str">
        <x:v>Sprint 5</x:v>
      </x:c>
      <x:c r="H21" s="882" t="n">
        <x:v>46284</x:v>
      </x:c>
      <x:c r="I21" s="882" t="n">
        <x:f t="shared" si="0"/>
        <x:v>46285</x:v>
      </x:c>
      <x:c r="J21" s="881" t="str">
        <x:v>CP-17</x:v>
      </x:c>
      <x:c r="K21" s="881" t="str">
        <x:v>HU17: Móvil: Almacenamiento local (SQLite) y sincronización</x:v>
      </x:c>
      <x:c r="L21" s="881" t="str">
        <x:v>Planificado</x:v>
      </x:c>
      <x:c r="M21" s="883" t="str">
        <x:v>Completa</x:v>
      </x:c>
    </x:row>
    <x:row r="22" ht="38" customHeight="1">
      <x:c r="A22" s="880" t="str">
        <x:v>RF-18</x:v>
      </x:c>
      <x:c r="B22" s="881" t="str">
        <x:v>HU18</x:v>
      </x:c>
      <x:c r="C22" s="881" t="str">
        <x:v>5.3.6</x:v>
      </x:c>
      <x:c r="D22" s="881" t="str">
        <x:v>Capturar evidencia del recojo</x:v>
      </x:c>
      <x:c r="E22" s="881" t="str">
        <x:v>Funcional</x:v>
      </x:c>
      <x:c r="F22" s="881" t="str">
        <x:v>Cronograma EDT + RN-04/RN-05/RN-08</x:v>
      </x:c>
      <x:c r="G22" s="881" t="str">
        <x:v>Sprint 5</x:v>
      </x:c>
      <x:c r="H22" s="882" t="n">
        <x:v>46286</x:v>
      </x:c>
      <x:c r="I22" s="882" t="n">
        <x:f t="shared" si="0"/>
        <x:v>46286</x:v>
      </x:c>
      <x:c r="J22" s="881" t="str">
        <x:v>CP-18</x:v>
      </x:c>
      <x:c r="K22" s="881" t="str">
        <x:v>Foto, firma o comprobante guardado en el recojo</x:v>
      </x:c>
      <x:c r="L22" s="881" t="str">
        <x:v>Planificado</x:v>
      </x:c>
      <x:c r="M22" s="883" t="str">
        <x:v>Completa</x:v>
      </x:c>
    </x:row>
    <x:row r="23" ht="38" customHeight="1">
      <x:c r="A23" s="880" t="str">
        <x:v>RF-19</x:v>
      </x:c>
      <x:c r="B23" s="881" t="str">
        <x:v>HU19</x:v>
      </x:c>
      <x:c r="C23" s="881" t="str">
        <x:v>6.2.1</x:v>
      </x:c>
      <x:c r="D23" s="881" t="str">
        <x:v>Generar reportes gerenciales</x:v>
      </x:c>
      <x:c r="E23" s="881" t="str">
        <x:v>Funcional</x:v>
      </x:c>
      <x:c r="F23" s="881" t="str">
        <x:v>Cronograma EDT + RN-12/RN-15/RN-17</x:v>
      </x:c>
      <x:c r="G23" s="881" t="str">
        <x:v>Sprint 6</x:v>
      </x:c>
      <x:c r="H23" s="882" t="n">
        <x:v>46288</x:v>
      </x:c>
      <x:c r="I23" s="882" t="n">
        <x:f t="shared" si="0"/>
        <x:v>46289</x:v>
      </x:c>
      <x:c r="J23" s="881" t="str">
        <x:v>CP-19</x:v>
      </x:c>
      <x:c r="K23" s="881" t="str">
        <x:v>Reporte de producción + problemas de calidad + pagos</x:v>
      </x:c>
      <x:c r="L23" s="881" t="str">
        <x:v>Planificado</x:v>
      </x:c>
      <x:c r="M23" s="883" t="str">
        <x:v>Completa</x:v>
      </x:c>
    </x:row>
    <x:row r="24" ht="38" customHeight="1">
      <x:c r="A24" s="880" t="str">
        <x:v>RF-20</x:v>
      </x:c>
      <x:c r="B24" s="881" t="str">
        <x:v>HU20</x:v>
      </x:c>
      <x:c r="C24" s="881" t="str">
        <x:v>6.2.2</x:v>
      </x:c>
      <x:c r="D24" s="881" t="str">
        <x:v>Generar notificaciones</x:v>
      </x:c>
      <x:c r="E24" s="881" t="str">
        <x:v>Funcional</x:v>
      </x:c>
      <x:c r="F24" s="881" t="str">
        <x:v>Cronograma EDT</x:v>
      </x:c>
      <x:c r="G24" s="881" t="str">
        <x:v>Sprint 6</x:v>
      </x:c>
      <x:c r="H24" s="882" t="n">
        <x:v>46289</x:v>
      </x:c>
      <x:c r="I24" s="882" t="n">
        <x:f t="shared" si="0"/>
        <x:v>46289</x:v>
      </x:c>
      <x:c r="J24" s="881" t="str">
        <x:v>CP-20</x:v>
      </x:c>
      <x:c r="K24" s="881" t="str">
        <x:v>HU20: Backend: Módulo de notificaciones (email / push)</x:v>
      </x:c>
      <x:c r="L24" s="881" t="str">
        <x:v>Planificado</x:v>
      </x:c>
      <x:c r="M24" s="883" t="str">
        <x:v>Completa</x:v>
      </x:c>
    </x:row>
    <x:row r="25" ht="38" customHeight="1">
      <x:c r="A25" s="880" t="str">
        <x:v>RF-21</x:v>
      </x:c>
      <x:c r="B25" s="881" t="str">
        <x:v>HU21</x:v>
      </x:c>
      <x:c r="C25" s="881" t="str">
        <x:v>6.2.3</x:v>
      </x:c>
      <x:c r="D25" s="881" t="str">
        <x:v>Visualizar dashboard con gráficos</x:v>
      </x:c>
      <x:c r="E25" s="881" t="str">
        <x:v>Funcional</x:v>
      </x:c>
      <x:c r="F25" s="881" t="str">
        <x:v>Cronograma EDT</x:v>
      </x:c>
      <x:c r="G25" s="881" t="str">
        <x:v>Sprint 6</x:v>
      </x:c>
      <x:c r="H25" s="882" t="n">
        <x:v>46290</x:v>
      </x:c>
      <x:c r="I25" s="882" t="n">
        <x:f t="shared" si="0"/>
        <x:v>46291</x:v>
      </x:c>
      <x:c r="J25" s="881" t="str">
        <x:v>CP-21</x:v>
      </x:c>
      <x:c r="K25" s="881" t="str">
        <x:v>HU21: Web: Dashboard de reportes con gráficos</x:v>
      </x:c>
      <x:c r="L25" s="881" t="str">
        <x:v>Planificado</x:v>
      </x:c>
      <x:c r="M25" s="883" t="str">
        <x:v>Completa</x:v>
      </x:c>
    </x:row>
    <x:row r="26" ht="38" customHeight="1">
      <x:c r="A26" s="880" t="str">
        <x:v>RF-22</x:v>
      </x:c>
      <x:c r="B26" s="881" t="str">
        <x:v>HU22</x:v>
      </x:c>
      <x:c r="C26" s="881" t="str">
        <x:v>6.2.4</x:v>
      </x:c>
      <x:c r="D26" s="881" t="str">
        <x:v>Administrar usuarios y roles</x:v>
      </x:c>
      <x:c r="E26" s="881" t="str">
        <x:v>Funcional</x:v>
      </x:c>
      <x:c r="F26" s="881" t="str">
        <x:v>Cronograma EDT</x:v>
      </x:c>
      <x:c r="G26" s="881" t="str">
        <x:v>Sprint 6</x:v>
      </x:c>
      <x:c r="H26" s="882" t="n">
        <x:v>46291</x:v>
      </x:c>
      <x:c r="I26" s="882" t="n">
        <x:f t="shared" si="0"/>
        <x:v>46291</x:v>
      </x:c>
      <x:c r="J26" s="881" t="str">
        <x:v>CP-22</x:v>
      </x:c>
      <x:c r="K26" s="881" t="str">
        <x:v>HU22: Web: Módulo de administración de usuarios y roles</x:v>
      </x:c>
      <x:c r="L26" s="881" t="str">
        <x:v>Planificado</x:v>
      </x:c>
      <x:c r="M26" s="883" t="str">
        <x:v>Completa</x:v>
      </x:c>
    </x:row>
    <x:row r="27" ht="38" customHeight="1">
      <x:c r="A27" s="880" t="str">
        <x:v>RF-23</x:v>
      </x:c>
      <x:c r="B27" s="881" t="str">
        <x:v>HU23</x:v>
      </x:c>
      <x:c r="C27" s="881" t="str">
        <x:v>6.2.5</x:v>
      </x:c>
      <x:c r="D27" s="881" t="str">
        <x:v>Recibir notificaciones push</x:v>
      </x:c>
      <x:c r="E27" s="881" t="str">
        <x:v>Funcional</x:v>
      </x:c>
      <x:c r="F27" s="881" t="str">
        <x:v>Cronograma EDT</x:v>
      </x:c>
      <x:c r="G27" s="881" t="str">
        <x:v>Sprint 6</x:v>
      </x:c>
      <x:c r="H27" s="882" t="n">
        <x:v>46290</x:v>
      </x:c>
      <x:c r="I27" s="882" t="n">
        <x:f t="shared" si="0"/>
        <x:v>46290</x:v>
      </x:c>
      <x:c r="J27" s="881" t="str">
        <x:v>CP-23</x:v>
      </x:c>
      <x:c r="K27" s="881" t="str">
        <x:v>HU23: Móvil: Notificaciones push (Firebase Cloud Messaging)</x:v>
      </x:c>
      <x:c r="L27" s="881" t="str">
        <x:v>Planificado</x:v>
      </x:c>
      <x:c r="M27" s="883" t="str">
        <x:v>Completa</x:v>
      </x:c>
    </x:row>
    <x:row r="28" ht="38" customHeight="1">
      <x:c r="A28" s="880" t="str">
        <x:v>RF-24</x:v>
      </x:c>
      <x:c r="B28" s="881" t="str">
        <x:v>HU24</x:v>
      </x:c>
      <x:c r="C28" s="881" t="str">
        <x:v>6.2.6</x:v>
      </x:c>
      <x:c r="D28" s="881" t="str">
        <x:v>Consultar historial de recojos</x:v>
      </x:c>
      <x:c r="E28" s="881" t="str">
        <x:v>Funcional</x:v>
      </x:c>
      <x:c r="F28" s="881" t="str">
        <x:v>Cronograma EDT</x:v>
      </x:c>
      <x:c r="G28" s="881" t="str">
        <x:v>Sprint 6</x:v>
      </x:c>
      <x:c r="H28" s="882" t="n">
        <x:v>46290</x:v>
      </x:c>
      <x:c r="I28" s="882" t="n">
        <x:f t="shared" si="0"/>
        <x:v>46291</x:v>
      </x:c>
      <x:c r="J28" s="881" t="str">
        <x:v>CP-24</x:v>
      </x:c>
      <x:c r="K28" s="881" t="str">
        <x:v>HU24: Móvil: Pantalla de historial de recojos y reportes personales</x:v>
      </x:c>
      <x:c r="L28" s="881" t="str">
        <x:v>Planificado</x:v>
      </x:c>
      <x:c r="M28" s="883" t="str">
        <x:v>Completa</x:v>
      </x:c>
    </x:row>
    <x:row r="29" ht="38" customHeight="1">
      <x:c r="A29" s="880" t="str">
        <x:v>RI-01</x:v>
      </x:c>
      <x:c r="B29" s="881" t="str">
        <x:v>HU25</x:v>
      </x:c>
      <x:c r="C29" s="881" t="str">
        <x:v>8.5.2</x:v>
      </x:c>
      <x:c r="D29" s="881" t="str">
        <x:v>Capacitar administradores del sistema</x:v>
      </x:c>
      <x:c r="E29" s="881" t="str">
        <x:v>Implementación</x:v>
      </x:c>
      <x:c r="F29" s="881" t="str">
        <x:v>Cronograma EDT</x:v>
      </x:c>
      <x:c r="G29" s="881" t="str">
        <x:v>Sprint 8</x:v>
      </x:c>
      <x:c r="H29" s="882" t="n">
        <x:v>46305</x:v>
      </x:c>
      <x:c r="I29" s="882" t="n">
        <x:f t="shared" si="0"/>
        <x:v>46305</x:v>
      </x:c>
      <x:c r="J29" s="881" t="str">
        <x:v>CP-25</x:v>
      </x:c>
      <x:c r="K29" s="881" t="str">
        <x:v>HU25: Capacitación a administradores del sistema (módulo Web)</x:v>
      </x:c>
      <x:c r="L29" s="881" t="str">
        <x:v>Planificado</x:v>
      </x:c>
      <x:c r="M29" s="883" t="str">
        <x:v>Completa</x:v>
      </x:c>
    </x:row>
    <x:row r="30" ht="38" customHeight="1">
      <x:c r="A30" s="880" t="str">
        <x:v>RI-02</x:v>
      </x:c>
      <x:c r="B30" s="881" t="str">
        <x:v>HU26</x:v>
      </x:c>
      <x:c r="C30" s="881" t="str">
        <x:v>8.5.3</x:v>
      </x:c>
      <x:c r="D30" s="881" t="str">
        <x:v>Capacitar acopiadores en la app móvil</x:v>
      </x:c>
      <x:c r="E30" s="881" t="str">
        <x:v>Implementación</x:v>
      </x:c>
      <x:c r="F30" s="881" t="str">
        <x:v>Cronograma EDT</x:v>
      </x:c>
      <x:c r="G30" s="881" t="str">
        <x:v>Sprint 8</x:v>
      </x:c>
      <x:c r="H30" s="882" t="n">
        <x:v>46306</x:v>
      </x:c>
      <x:c r="I30" s="882" t="n">
        <x:f t="shared" si="0"/>
        <x:v>46306</x:v>
      </x:c>
      <x:c r="J30" s="881" t="str">
        <x:v>CP-26</x:v>
      </x:c>
      <x:c r="K30" s="881" t="str">
        <x:v>HU26: Capacitación a acopiadores / usuarios finales (App Móvil) en Huata</x:v>
      </x:c>
      <x:c r="L30" s="881" t="str">
        <x:v>Planificado</x:v>
      </x:c>
      <x:c r="M30" s="883" t="str">
        <x:v>Completa</x:v>
      </x:c>
    </x:row>
    <x:row r="31" ht="38" customHeight="1">
      <x:c r="A31" s="880" t="str">
        <x:v>RS-01</x:v>
      </x:c>
      <x:c r="B31" s="881" t="str">
        <x:v>HU27</x:v>
      </x:c>
      <x:c r="C31" s="881" t="str">
        <x:v>8.5.4</x:v>
      </x:c>
      <x:c r="D31" s="881" t="str">
        <x:v>Brindar soporte post-implementación</x:v>
      </x:c>
      <x:c r="E31" s="881" t="str">
        <x:v>Servicio</x:v>
      </x:c>
      <x:c r="F31" s="881" t="str">
        <x:v>Cronograma EDT</x:v>
      </x:c>
      <x:c r="G31" s="881" t="str">
        <x:v>Sprint 8</x:v>
      </x:c>
      <x:c r="H31" s="882" t="n">
        <x:v>46306</x:v>
      </x:c>
      <x:c r="I31" s="882" t="n">
        <x:f t="shared" si="0"/>
        <x:v>46307</x:v>
      </x:c>
      <x:c r="J31" s="881" t="str">
        <x:v>CP-27</x:v>
      </x:c>
      <x:c r="K31" s="881" t="str">
        <x:v>HU27: Soporte post-implementación (hipercare)</x:v>
      </x:c>
      <x:c r="L31" s="881" t="str">
        <x:v>Planificado</x:v>
      </x:c>
      <x:c r="M31" s="883" t="str">
        <x:v>Completa</x:v>
      </x:c>
    </x:row>
    <x:row r="32" ht="38" customHeight="1">
      <x:c r="A32" s="896" t="str">
        <x:v>RNF-01</x:v>
      </x:c>
      <x:c r="B32" s="897" t="str">
        <x:v>—</x:v>
      </x:c>
      <x:c r="C32" s="897" t="str">
        <x:v>2.2.1–2.2.7 / 6.3.1</x:v>
      </x:c>
      <x:c r="D32" s="897" t="str">
        <x:v>Interfaz intuitiva y usable</x:v>
      </x:c>
      <x:c r="E32" s="897" t="str">
        <x:v>No funcional</x:v>
      </x:c>
      <x:c r="F32" s="897" t="str">
        <x:v>Project Charter + Cronograma EDT</x:v>
      </x:c>
      <x:c r="G32" s="897" t="str">
        <x:v>Sprint 2 / Sprint 6</x:v>
      </x:c>
      <x:c r="H32" s="898" t="n">
        <x:v>46261</x:v>
      </x:c>
      <x:c r="I32" s="898" t="n">
        <x:f t="shared" si="0"/>
        <x:v>46292</x:v>
      </x:c>
      <x:c r="J32" s="897" t="str">
        <x:v>CP-28</x:v>
      </x:c>
      <x:c r="K32" s="897" t="str">
        <x:v>Prototipos + ajustes UI/UX</x:v>
      </x:c>
      <x:c r="L32" s="897" t="str">
        <x:v>Planificado</x:v>
      </x:c>
      <x:c r="M32" s="899" t="str">
        <x:v>Completa</x:v>
      </x:c>
    </x:row>
    <x:row r="33" ht="38" customHeight="1">
      <x:c r="A33" s="896" t="str">
        <x:v>RNF-02</x:v>
      </x:c>
      <x:c r="B33" s="897" t="str">
        <x:v>—</x:v>
      </x:c>
      <x:c r="C33" s="897" t="str">
        <x:v>3.3.8 / 3.4.3 / 7.2.9</x:v>
      </x:c>
      <x:c r="D33" s="897" t="str">
        <x:v>Seguridad de la información</x:v>
      </x:c>
      <x:c r="E33" s="897" t="str">
        <x:v>No funcional</x:v>
      </x:c>
      <x:c r="F33" s="897" t="str">
        <x:v>Project Charter + Cronograma EDT</x:v>
      </x:c>
      <x:c r="G33" s="897" t="str">
        <x:v>Sprint 3 / Sprint 7</x:v>
      </x:c>
      <x:c r="H33" s="898" t="n">
        <x:v>46269</x:v>
      </x:c>
      <x:c r="I33" s="898" t="n">
        <x:f t="shared" si="0"/>
        <x:v>46297</x:v>
      </x:c>
      <x:c r="J33" s="897" t="str">
        <x:v>CP-29</x:v>
      </x:c>
      <x:c r="K33" s="897" t="str">
        <x:v>Seguridad base + pruebas no funcionales</x:v>
      </x:c>
      <x:c r="L33" s="897" t="str">
        <x:v>Planificado</x:v>
      </x:c>
      <x:c r="M33" s="899" t="str">
        <x:v>Completa</x:v>
      </x:c>
    </x:row>
    <x:row r="34" ht="38" customHeight="1">
      <x:c r="A34" s="896" t="str">
        <x:v>RNF-03</x:v>
      </x:c>
      <x:c r="B34" s="897" t="str">
        <x:v>—</x:v>
      </x:c>
      <x:c r="C34" s="897" t="str">
        <x:v>8.2.4</x:v>
      </x:c>
      <x:c r="D34" s="897" t="str">
        <x:v>Compatibilidad Android</x:v>
      </x:c>
      <x:c r="E34" s="897" t="str">
        <x:v>No funcional</x:v>
      </x:c>
      <x:c r="F34" s="897" t="str">
        <x:v>Project Charter + Cronograma EDT</x:v>
      </x:c>
      <x:c r="G34" s="897" t="str">
        <x:v>Sprint 8</x:v>
      </x:c>
      <x:c r="H34" s="898" t="n">
        <x:v>46303</x:v>
      </x:c>
      <x:c r="I34" s="898" t="n">
        <x:f t="shared" si="0"/>
        <x:v>46303</x:v>
      </x:c>
      <x:c r="J34" s="897" t="str">
        <x:v>CP-30</x:v>
      </x:c>
      <x:c r="K34" s="897" t="str">
        <x:v>APK distribuida</x:v>
      </x:c>
      <x:c r="L34" s="897" t="str">
        <x:v>Planificado</x:v>
      </x:c>
      <x:c r="M34" s="899" t="str">
        <x:v>Completa</x:v>
      </x:c>
    </x:row>
    <x:row r="35" ht="38" customHeight="1">
      <x:c r="A35" s="896" t="str">
        <x:v>RNF-04</x:v>
      </x:c>
      <x:c r="B35" s="897" t="str">
        <x:v>—</x:v>
      </x:c>
      <x:c r="C35" s="897" t="str">
        <x:v>—</x:v>
      </x:c>
      <x:c r="D35" s="897" t="str">
        <x:v>Compatibilidad web</x:v>
      </x:c>
      <x:c r="E35" s="897" t="str">
        <x:v>No funcional</x:v>
      </x:c>
      <x:c r="F35" s="897" t="str">
        <x:v>Project Charter</x:v>
      </x:c>
      <x:c r="G35" s="897" t="str">
        <x:v>Transversal</x:v>
      </x:c>
      <x:c r="H35" s="898" t="n">
        <x:v>46253</x:v>
      </x:c>
      <x:c r="I35" s="898" t="n">
        <x:f t="shared" si="0"/>
        <x:v>46309</x:v>
      </x:c>
      <x:c r="J35" s="897" t="str">
        <x:v>CP-31</x:v>
      </x:c>
      <x:c r="K35" s="897" t="str">
        <x:v>Validación transversal de compatibilidad web</x:v>
      </x:c>
      <x:c r="L35" s="897" t="str">
        <x:v>Planificado</x:v>
      </x:c>
      <x:c r="M35" s="899" t="str">
        <x:v>Completa</x:v>
      </x:c>
    </x:row>
    <x:row r="36" ht="38" customHeight="1">
      <x:c r="A36" s="896" t="str">
        <x:v>RNF-05</x:v>
      </x:c>
      <x:c r="B36" s="897" t="str">
        <x:v>—</x:v>
      </x:c>
      <x:c r="C36" s="897" t="str">
        <x:v>7.2.9</x:v>
      </x:c>
      <x:c r="D36" s="897" t="str">
        <x:v>Rendimiento y estabilidad</x:v>
      </x:c>
      <x:c r="E36" s="897" t="str">
        <x:v>No funcional</x:v>
      </x:c>
      <x:c r="F36" s="897" t="str">
        <x:v>Project Charter + Cronograma EDT</x:v>
      </x:c>
      <x:c r="G36" s="897" t="str">
        <x:v>Sprint 7</x:v>
      </x:c>
      <x:c r="H36" s="898" t="n">
        <x:v>46297</x:v>
      </x:c>
      <x:c r="I36" s="898" t="n">
        <x:f t="shared" si="0"/>
        <x:v>46297</x:v>
      </x:c>
      <x:c r="J36" s="897" t="str">
        <x:v>CP-32</x:v>
      </x:c>
      <x:c r="K36" s="897" t="str">
        <x:v>Reporte de pruebas no funcionales</x:v>
      </x:c>
      <x:c r="L36" s="897" t="str">
        <x:v>Planificado</x:v>
      </x:c>
      <x:c r="M36" s="899" t="str">
        <x:v>Completa</x:v>
      </x:c>
    </x:row>
    <x:row r="37" ht="38" customHeight="1">
      <x:c r="A37" s="896" t="str">
        <x:v>RNF-06</x:v>
      </x:c>
      <x:c r="B37" s="897" t="str">
        <x:v>—</x:v>
      </x:c>
      <x:c r="C37" s="897" t="str">
        <x:v>3.3.3 / 5.3.5</x:v>
      </x:c>
      <x:c r="D37" s="897" t="str">
        <x:v>Persistencia de datos</x:v>
      </x:c>
      <x:c r="E37" s="897" t="str">
        <x:v>No funcional</x:v>
      </x:c>
      <x:c r="F37" s="897" t="str">
        <x:v>Project Charter + Cronograma EDT</x:v>
      </x:c>
      <x:c r="G37" s="897" t="str">
        <x:v>Sprint 3 / Sprint 5</x:v>
      </x:c>
      <x:c r="H37" s="898" t="n">
        <x:v>46269</x:v>
      </x:c>
      <x:c r="I37" s="898" t="str">
        <x:f t="shared" ref="I37:I60" si="1">IF(A37="","",IF(AND(C37&lt;&gt;"",E37&lt;&gt;"",F37&lt;&gt;"SIN PRUEBA",G37&lt;&gt;""),"Completa","Incompleta"))</x:f>
        <x:v>Completa</x:v>
      </x:c>
      <x:c r="J37" s="897" t="str">
        <x:v>CP-33</x:v>
      </x:c>
      <x:c r="K37" s="897" t="str">
        <x:v>BD PostgreSQL + módulo de sincronización</x:v>
      </x:c>
      <x:c r="L37" s="897" t="str">
        <x:v>Planificado</x:v>
      </x:c>
      <x:c r="M37" s="899" t="str">
        <x:v>Completa</x:v>
      </x:c>
    </x:row>
    <x:row r="38" ht="38" customHeight="1">
      <x:c r="A38" s="896" t="str">
        <x:v>RNF-07</x:v>
      </x:c>
      <x:c r="B38" s="897" t="str">
        <x:v>—</x:v>
      </x:c>
      <x:c r="C38" s="897" t="str">
        <x:v>8.2.1–8.2.3 / 8.4.1</x:v>
      </x:c>
      <x:c r="D38" s="897" t="str">
        <x:v>Disponibilidad en producción</x:v>
      </x:c>
      <x:c r="E38" s="897" t="str">
        <x:v>No funcional</x:v>
      </x:c>
      <x:c r="F38" s="897" t="str">
        <x:v>Project Charter + Cronograma EDT</x:v>
      </x:c>
      <x:c r="G38" s="897" t="str">
        <x:v>Sprint 8</x:v>
      </x:c>
      <x:c r="H38" s="898" t="n">
        <x:v>46302</x:v>
      </x:c>
      <x:c r="I38" s="898" t="n">
        <x:f t="shared" si="1"/>
        <x:v>46304</x:v>
      </x:c>
      <x:c r="J38" s="897" t="str">
        <x:v>CP-34</x:v>
      </x:c>
      <x:c r="K38" s="897" t="str">
        <x:v>Entorno productivo validado</x:v>
      </x:c>
      <x:c r="L38" s="897" t="str">
        <x:v>Planificado</x:v>
      </x:c>
      <x:c r="M38" s="899" t="str">
        <x:v>Completa</x:v>
      </x:c>
    </x:row>
    <x:row r="39" ht="38" customHeight="1">
      <x:c r="A39" s="896" t="str">
        <x:v>RNF-08</x:v>
      </x:c>
      <x:c r="B39" s="897" t="str">
        <x:v>—</x:v>
      </x:c>
      <x:c r="C39" s="897" t="str">
        <x:v>8.3.1</x:v>
      </x:c>
      <x:c r="D39" s="897" t="str">
        <x:v>Integridad de carga inicial</x:v>
      </x:c>
      <x:c r="E39" s="897" t="str">
        <x:v>No funcional</x:v>
      </x:c>
      <x:c r="F39" s="897" t="str">
        <x:v>Project Charter + Cronograma EDT</x:v>
      </x:c>
      <x:c r="G39" s="897" t="str">
        <x:v>Sprint 8</x:v>
      </x:c>
      <x:c r="H39" s="898" t="n">
        <x:v>46304</x:v>
      </x:c>
      <x:c r="I39" s="898" t="n">
        <x:f t="shared" si="1"/>
        <x:v>46304</x:v>
      </x:c>
      <x:c r="J39" s="897" t="str">
        <x:v>CP-35</x:v>
      </x:c>
      <x:c r="K39" s="897" t="str">
        <x:v>Datos maestros cargados</x:v>
      </x:c>
      <x:c r="L39" s="897" t="str">
        <x:v>Planificado</x:v>
      </x:c>
      <x:c r="M39" s="899" t="str">
        <x:v>Completa</x:v>
      </x:c>
    </x:row>
    <x:row r="40" ht="38" customHeight="1">
      <x:c r="A40" s="900" t="str">
        <x:v>RNF-09</x:v>
      </x:c>
      <x:c r="B40" s="901" t="str">
        <x:v>—</x:v>
      </x:c>
      <x:c r="C40" s="901" t="str">
        <x:v>4.3.1 / 7.3.1 / 7.3.2 / 9.2.1</x:v>
      </x:c>
      <x:c r="D40" s="901" t="str">
        <x:v>Mantenibilidad y documentación</x:v>
      </x:c>
      <x:c r="E40" s="901" t="str">
        <x:v>No funcional</x:v>
      </x:c>
      <x:c r="F40" s="901" t="str">
        <x:v>Project Charter + Cronograma EDT</x:v>
      </x:c>
      <x:c r="G40" s="901" t="str">
        <x:v>Sprint 4 / Sprint 7 / Cierre</x:v>
      </x:c>
      <x:c r="H40" s="902" t="n">
        <x:v>46279</x:v>
      </x:c>
      <x:c r="I40" s="902" t="n">
        <x:f t="shared" si="1"/>
        <x:v>46309</x:v>
      </x:c>
      <x:c r="J40" s="901" t="str">
        <x:v>CP-36</x:v>
      </x:c>
      <x:c r="K40" s="901" t="str">
        <x:v>Swagger + manuales + documentación final</x:v>
      </x:c>
      <x:c r="L40" s="901" t="str">
        <x:v>Planificado</x:v>
      </x:c>
      <x:c r="M40" s="903" t="str">
        <x:v>Completa</x:v>
      </x:c>
    </x:row>
    <x:row r="41" ht="25.5" customHeight="1">
      <x:c r="A41"/>
      <x:c r="B41"/>
      <x:c r="C41"/>
      <x:c r="D41"/>
      <x:c r="E41"/>
      <x:c r="F41"/>
      <x:c r="G41"/>
      <x:c r="H41"/>
      <x:c r="I41">
        <x:f t="shared" si="1"/>
      </x:c>
    </x:row>
    <x:row r="42" ht="25.5" customHeight="1">
      <x:c r="A42"/>
      <x:c r="B42"/>
      <x:c r="C42"/>
      <x:c r="D42"/>
      <x:c r="E42"/>
      <x:c r="F42"/>
      <x:c r="G42"/>
      <x:c r="H42"/>
      <x:c r="I42">
        <x:f t="shared" si="1"/>
      </x:c>
    </x:row>
    <x:row r="43" ht="25.5" customHeight="1">
      <x:c r="A43"/>
      <x:c r="B43"/>
      <x:c r="C43"/>
      <x:c r="D43"/>
      <x:c r="E43"/>
      <x:c r="F43"/>
      <x:c r="G43"/>
      <x:c r="H43"/>
      <x:c r="I43">
        <x:f t="shared" si="1"/>
      </x:c>
    </x:row>
    <x:row r="44" ht="25.5" customHeight="1">
      <x:c r="A44"/>
      <x:c r="B44"/>
      <x:c r="C44"/>
      <x:c r="D44"/>
      <x:c r="E44"/>
      <x:c r="F44"/>
      <x:c r="G44"/>
      <x:c r="H44"/>
      <x:c r="I44">
        <x:f t="shared" si="1"/>
      </x:c>
    </x:row>
    <x:row r="45" ht="25.5" customHeight="1">
      <x:c r="A45"/>
      <x:c r="B45"/>
      <x:c r="C45"/>
      <x:c r="D45"/>
      <x:c r="E45"/>
      <x:c r="F45"/>
      <x:c r="G45"/>
      <x:c r="H45"/>
      <x:c r="I45">
        <x:f t="shared" si="1"/>
      </x:c>
    </x:row>
    <x:row r="46" ht="25.5" customHeight="1">
      <x:c r="A46"/>
      <x:c r="B46"/>
      <x:c r="C46"/>
      <x:c r="D46"/>
      <x:c r="E46"/>
      <x:c r="F46"/>
      <x:c r="G46"/>
      <x:c r="H46"/>
      <x:c r="I46">
        <x:f t="shared" si="1"/>
      </x:c>
    </x:row>
    <x:row r="47" ht="25.5" customHeight="1">
      <x:c r="A47"/>
      <x:c r="B47"/>
      <x:c r="C47"/>
      <x:c r="D47"/>
      <x:c r="E47"/>
      <x:c r="F47"/>
      <x:c r="G47"/>
      <x:c r="H47"/>
      <x:c r="I47">
        <x:f t="shared" si="1"/>
      </x:c>
    </x:row>
    <x:row r="48" ht="25.5" customHeight="1">
      <x:c r="A48"/>
      <x:c r="B48"/>
      <x:c r="C48"/>
      <x:c r="D48"/>
      <x:c r="E48"/>
      <x:c r="F48"/>
      <x:c r="G48"/>
      <x:c r="H48"/>
      <x:c r="I48">
        <x:f t="shared" si="1"/>
      </x:c>
    </x:row>
    <x:row r="49" ht="25.5" customHeight="1">
      <x:c r="A49"/>
      <x:c r="B49"/>
      <x:c r="C49"/>
      <x:c r="D49"/>
      <x:c r="E49"/>
      <x:c r="F49"/>
      <x:c r="G49"/>
      <x:c r="H49"/>
      <x:c r="I49">
        <x:f t="shared" si="1"/>
      </x:c>
    </x:row>
    <x:row r="50" ht="25.5" customHeight="1">
      <x:c r="A50"/>
      <x:c r="B50"/>
      <x:c r="C50"/>
      <x:c r="D50"/>
      <x:c r="E50"/>
      <x:c r="F50"/>
      <x:c r="G50"/>
      <x:c r="H50"/>
      <x:c r="I50">
        <x:f t="shared" si="1"/>
      </x:c>
    </x:row>
    <x:row r="51" ht="25.5" customHeight="1">
      <x:c r="A51"/>
      <x:c r="B51"/>
      <x:c r="C51"/>
      <x:c r="D51"/>
      <x:c r="E51"/>
      <x:c r="F51"/>
      <x:c r="G51"/>
      <x:c r="H51"/>
      <x:c r="I51">
        <x:f t="shared" si="1"/>
      </x:c>
    </x:row>
    <x:row r="52" ht="25.5" customHeight="1">
      <x:c r="A52"/>
      <x:c r="B52"/>
      <x:c r="C52"/>
      <x:c r="D52"/>
      <x:c r="E52"/>
      <x:c r="F52"/>
      <x:c r="G52"/>
      <x:c r="H52"/>
      <x:c r="I52">
        <x:f t="shared" si="1"/>
      </x:c>
    </x:row>
    <x:row r="53" ht="25.5" customHeight="1">
      <x:c r="A53"/>
      <x:c r="B53"/>
      <x:c r="C53"/>
      <x:c r="D53"/>
      <x:c r="E53"/>
      <x:c r="F53"/>
      <x:c r="G53"/>
      <x:c r="H53"/>
      <x:c r="I53">
        <x:f t="shared" si="1"/>
      </x:c>
    </x:row>
    <x:row r="54" ht="25.5" customHeight="1">
      <x:c r="A54"/>
      <x:c r="B54"/>
      <x:c r="C54"/>
      <x:c r="D54"/>
      <x:c r="E54"/>
      <x:c r="F54"/>
      <x:c r="G54"/>
      <x:c r="H54"/>
      <x:c r="I54">
        <x:f t="shared" si="1"/>
      </x:c>
    </x:row>
    <x:row r="55" ht="25.5" customHeight="1">
      <x:c r="A55"/>
      <x:c r="B55"/>
      <x:c r="C55"/>
      <x:c r="D55"/>
      <x:c r="E55"/>
      <x:c r="F55"/>
      <x:c r="G55"/>
      <x:c r="H55"/>
      <x:c r="I55">
        <x:f t="shared" si="1"/>
      </x:c>
    </x:row>
    <x:row r="56" ht="25.5" customHeight="1">
      <x:c r="A56"/>
      <x:c r="B56"/>
      <x:c r="C56"/>
      <x:c r="D56"/>
      <x:c r="E56"/>
      <x:c r="F56"/>
      <x:c r="G56"/>
      <x:c r="H56"/>
      <x:c r="I56">
        <x:f t="shared" si="1"/>
      </x:c>
    </x:row>
    <x:row r="57" ht="25.5" customHeight="1">
      <x:c r="A57"/>
      <x:c r="B57"/>
      <x:c r="C57"/>
      <x:c r="D57"/>
      <x:c r="E57"/>
      <x:c r="F57"/>
      <x:c r="G57"/>
      <x:c r="H57"/>
      <x:c r="I57">
        <x:f t="shared" si="1"/>
      </x:c>
    </x:row>
    <x:row r="58" ht="25.5" customHeight="1">
      <x:c r="A58"/>
      <x:c r="B58"/>
      <x:c r="C58"/>
      <x:c r="D58"/>
      <x:c r="E58"/>
      <x:c r="F58"/>
      <x:c r="G58"/>
      <x:c r="H58"/>
      <x:c r="I58">
        <x:f t="shared" si="1"/>
      </x:c>
    </x:row>
    <x:row r="59" ht="25.5" customHeight="1">
      <x:c r="A59"/>
      <x:c r="B59"/>
      <x:c r="C59"/>
      <x:c r="D59"/>
      <x:c r="E59"/>
      <x:c r="F59"/>
      <x:c r="G59"/>
      <x:c r="H59"/>
      <x:c r="I59">
        <x:f t="shared" si="1"/>
      </x:c>
    </x:row>
    <x:row r="60" ht="25.5" customHeight="1">
      <x:c r="A60"/>
      <x:c r="B60"/>
      <x:c r="C60"/>
      <x:c r="D60"/>
      <x:c r="E60"/>
      <x:c r="F60"/>
      <x:c r="G60"/>
      <x:c r="H60"/>
      <x:c r="I60">
        <x:f t="shared" si="1"/>
      </x:c>
    </x:row>
  </x:sheetData>
  <x:mergeCells>
    <x:mergeCell ref="A1:M1"/>
    <x:mergeCell ref="A2:M2"/>
  </x:mergeCells>
  <x:conditionalFormatting sqref="F5:F60">
    <x:cfRule type="cellIs" dxfId="2" priority="2" operator="equal">
      <x:formula>"SIN PRUEBA"</x:formula>
    </x:cfRule>
  </x:conditionalFormatting>
  <x:conditionalFormatting sqref="I5:I60">
    <x:cfRule type="cellIs" dxfId="1" priority="3" operator="equal">
      <x:formula>"Completa"</x:formula>
    </x:cfRule>
    <x:cfRule type="cellIs" dxfId="0" priority="4" operator="equal">
      <x:formula>"Incompleta"</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52" hidden="0" customWidth="1"/>
    <x:col min="3" max="3" width="14" hidden="0" customWidth="1"/>
    <x:col min="4" max="4" width="14" hidden="0" customWidth="1"/>
    <x:col min="5" max="5" width="68" hidden="0" customWidth="1"/>
    <x:col min="6" max="6" width="10" hidden="0" customWidth="1"/>
    <x:col min="7" max="7" width="14" hidden="0" customWidth="1"/>
    <x:col min="8" max="8" width="7" hidden="0" customWidth="1"/>
    <x:col min="9" max="9" width="7" hidden="0" customWidth="1"/>
    <x:col min="10" max="10" width="7" hidden="0" customWidth="1"/>
    <x:col min="11" max="11" width="7" hidden="0" customWidth="1"/>
    <x:col min="12" max="12" width="7" hidden="0" customWidth="1"/>
    <x:col min="13" max="13" width="7" hidden="0" customWidth="1"/>
    <x:col min="14" max="14" width="7" hidden="0" customWidth="1"/>
    <x:col min="15" max="15" width="7" hidden="0" customWidth="1"/>
    <x:col min="16" max="16" width="9" hidden="0" customWidth="1"/>
    <x:col min="17" max="17" width="9" hidden="0" customWidth="1"/>
    <x:col min="18" max="18" width="2" hidden="0" customWidth="1"/>
    <x:col min="19" max="19" width="2" hidden="0" customWidth="1"/>
  </x:cols>
  <x:sheetData>
    <x:row r="1" ht="26" customHeight="1">
      <x:c r="A1" s="693" t="str">
        <x:v>CRONOGRAMA DEL PROYECTO · HUATA LÁCTEOS</x:v>
      </x:c>
      <x:c r="B1" s="693"/>
      <x:c r="C1" s="693"/>
      <x:c r="D1" s="693"/>
      <x:c r="E1" s="693"/>
      <x:c r="F1"/>
      <x:c r="G1"/>
      <x:c r="H1"/>
      <x:c r="I1"/>
      <x:c r="J1"/>
      <x:c r="K1"/>
      <x:c r="L1"/>
      <x:c r="M1"/>
      <x:c r="N1"/>
      <x:c r="O1"/>
      <x:c r="P1"/>
      <x:c r="Q1"/>
      <x:c r="R1"/>
      <x:c r="S1"/>
    </x:row>
    <x:row r="2" ht="22" customHeight="1">
      <x:c r="A2" s="696" t="str">
        <x:v>Estructura EDT oficial según archivo proporcionado: tarea, comienzo, fin e historia de usuario.</x:v>
      </x:c>
      <x:c r="B2" s="696"/>
      <x:c r="C2" s="696"/>
      <x:c r="D2" s="696"/>
      <x:c r="E2" s="696"/>
      <x:c r="F2"/>
      <x:c r="G2"/>
      <x:c r="H2"/>
      <x:c r="I2"/>
      <x:c r="J2"/>
      <x:c r="K2"/>
      <x:c r="L2"/>
      <x:c r="M2"/>
      <x:c r="N2"/>
      <x:c r="O2"/>
      <x:c r="P2"/>
      <x:c r="Q2"/>
      <x:c r="R2"/>
      <x:c r="S2"/>
    </x:row>
    <x:row r="4" ht="28" customHeight="1">
      <x:c r="A4" s="708" t="str">
        <x:v>EDT</x:v>
      </x:c>
      <x:c r="B4" s="709" t="str">
        <x:v>Nombre de tarea</x:v>
      </x:c>
      <x:c r="C4" s="709" t="str">
        <x:v>Comienzo</x:v>
      </x:c>
      <x:c r="D4" s="709" t="str">
        <x:v>Fin</x:v>
      </x:c>
      <x:c r="E4" s="710" t="str">
        <x:v>Historia de Usuario</x:v>
      </x:c>
      <x:c r="F4"/>
      <x:c r="G4"/>
      <x:c r="H4"/>
      <x:c r="I4"/>
      <x:c r="J4"/>
      <x:c r="K4"/>
      <x:c r="L4"/>
      <x:c r="M4"/>
      <x:c r="N4"/>
      <x:c r="O4"/>
      <x:c r="P4"/>
      <x:c r="Q4"/>
      <x:c r="R4"/>
      <x:c r="S4"/>
    </x:row>
    <x:row r="5" ht="34" customHeight="1">
      <x:c r="A5" s="785" t="str">
        <x:v>1.1.1</x:v>
      </x:c>
      <x:c r="B5" s="752" t="str">
        <x:v>Kick off del proyecto y conformación del equipo</x:v>
      </x:c>
      <x:c r="C5" s="793" t="n">
        <x:v>46253</x:v>
      </x:c>
      <x:c r="D5" s="793" t="n">
        <x:v>46253</x:v>
      </x:c>
      <x:c r="E5" s="754" t="str">
        <x:v>—</x:v>
      </x:c>
    </x:row>
    <x:row r="6" ht="34" customHeight="1">
      <x:c r="A6" s="786" t="str">
        <x:v>1.1.2</x:v>
      </x:c>
      <x:c r="B6" s="756" t="str">
        <x:v>Elaboración del Project Charter</x:v>
      </x:c>
      <x:c r="C6" s="794" t="n">
        <x:v>46253</x:v>
      </x:c>
      <x:c r="D6" s="794" t="n">
        <x:v>46254</x:v>
      </x:c>
      <x:c r="E6" s="758" t="str">
        <x:v>—</x:v>
      </x:c>
      <x:c r="H6"/>
      <x:c r="I6"/>
      <x:c r="J6"/>
      <x:c r="K6"/>
      <x:c r="L6"/>
      <x:c r="M6"/>
      <x:c r="N6"/>
      <x:c r="O6"/>
      <x:c r="P6"/>
      <x:c r="Q6"/>
      <x:c r="R6"/>
      <x:c r="S6"/>
    </x:row>
    <x:row r="7" ht="34" customHeight="1">
      <x:c r="A7" s="786" t="str">
        <x:v>1.1.3</x:v>
      </x:c>
      <x:c r="B7" s="756" t="str">
        <x:v>Definición de objetivos, alcance y stakeholders</x:v>
      </x:c>
      <x:c r="C7" s="794" t="n">
        <x:v>46254</x:v>
      </x:c>
      <x:c r="D7" s="794" t="n">
        <x:v>46254</x:v>
      </x:c>
      <x:c r="E7" s="758" t="str">
        <x:v>—</x:v>
      </x:c>
      <x:c r="F7"/>
      <x:c r="G7"/>
      <x:c r="H7"/>
      <x:c r="I7"/>
      <x:c r="J7"/>
      <x:c r="K7"/>
      <x:c r="L7"/>
      <x:c r="M7"/>
      <x:c r="N7"/>
      <x:c r="O7"/>
      <x:c r="P7"/>
      <x:c r="Q7"/>
      <x:c r="R7"/>
      <x:c r="S7"/>
    </x:row>
    <x:row r="8" ht="34" customHeight="1">
      <x:c r="A8" s="786" t="str">
        <x:v>1.1.4</x:v>
      </x:c>
      <x:c r="B8" s="756" t="str">
        <x:v>Elaboración de cronograma preliminar en MS Project</x:v>
      </x:c>
      <x:c r="C8" s="794" t="n">
        <x:v>46254</x:v>
      </x:c>
      <x:c r="D8" s="794" t="n">
        <x:v>46254</x:v>
      </x:c>
      <x:c r="E8" s="758" t="str">
        <x:v>—</x:v>
      </x:c>
      <x:c r="F8"/>
      <x:c r="G8"/>
      <x:c r="H8"/>
      <x:c r="I8"/>
      <x:c r="J8"/>
      <x:c r="K8"/>
      <x:c r="L8"/>
      <x:c r="M8"/>
      <x:c r="N8"/>
      <x:c r="O8"/>
      <x:c r="P8"/>
      <x:c r="Q8"/>
      <x:c r="R8"/>
      <x:c r="S8"/>
    </x:row>
    <x:row r="9" ht="34" customHeight="1">
      <x:c r="A9" s="786" t="str">
        <x:v>1.1.5</x:v>
      </x:c>
      <x:c r="B9" s="756" t="str">
        <x:v>Levantamiento de información en campo (Huata)</x:v>
      </x:c>
      <x:c r="C9" s="794" t="n">
        <x:v>46255</x:v>
      </x:c>
      <x:c r="D9" s="794" t="n">
        <x:v>46256</x:v>
      </x:c>
      <x:c r="E9" s="758" t="str">
        <x:v>—</x:v>
      </x:c>
      <x:c r="F9"/>
      <x:c r="G9"/>
      <x:c r="H9"/>
      <x:c r="I9"/>
      <x:c r="J9"/>
      <x:c r="K9"/>
      <x:c r="L9"/>
      <x:c r="M9"/>
      <x:c r="N9"/>
      <x:c r="O9"/>
      <x:c r="P9"/>
      <x:c r="Q9"/>
      <x:c r="R9"/>
      <x:c r="S9"/>
    </x:row>
    <x:row r="10" ht="34" customHeight="1">
      <x:c r="A10" s="786" t="str">
        <x:v>1.1.6</x:v>
      </x:c>
      <x:c r="B10" s="756" t="str">
        <x:v>Identificación de actores del sistema</x:v>
      </x:c>
      <x:c r="C10" s="794" t="n">
        <x:v>46256</x:v>
      </x:c>
      <x:c r="D10" s="794" t="n">
        <x:v>46256</x:v>
      </x:c>
      <x:c r="E10" s="758" t="str">
        <x:v>—</x:v>
      </x:c>
      <x:c r="F10"/>
      <x:c r="G10"/>
      <x:c r="H10"/>
      <x:c r="I10"/>
      <x:c r="J10"/>
      <x:c r="K10"/>
      <x:c r="L10"/>
      <x:c r="M10"/>
      <x:c r="N10"/>
      <x:c r="O10"/>
      <x:c r="P10"/>
      <x:c r="Q10"/>
      <x:c r="R10"/>
      <x:c r="S10"/>
    </x:row>
    <x:row r="11" ht="34" customHeight="1">
      <x:c r="A11" s="786" t="str">
        <x:v>1.1.7</x:v>
      </x:c>
      <x:c r="B11" s="756" t="str">
        <x:v>Elaboración de Requerimientos Funcionales (RF)</x:v>
      </x:c>
      <x:c r="C11" s="794" t="n">
        <x:v>46257</x:v>
      </x:c>
      <x:c r="D11" s="794" t="n">
        <x:v>46257</x:v>
      </x:c>
      <x:c r="E11" s="758" t="str">
        <x:v>—</x:v>
      </x:c>
      <x:c r="F11"/>
      <x:c r="G11"/>
      <x:c r="H11"/>
      <x:c r="I11"/>
      <x:c r="J11"/>
      <x:c r="K11"/>
      <x:c r="L11"/>
      <x:c r="M11"/>
      <x:c r="N11"/>
      <x:c r="O11"/>
      <x:c r="P11"/>
      <x:c r="Q11"/>
      <x:c r="R11"/>
      <x:c r="S11"/>
    </x:row>
    <x:row r="12" ht="34" customHeight="1">
      <x:c r="A12" s="786" t="str">
        <x:v>1.1.8</x:v>
      </x:c>
      <x:c r="B12" s="756" t="str">
        <x:v>Elaboración de Requerimientos No Funcionales (RNF)</x:v>
      </x:c>
      <x:c r="C12" s="794" t="n">
        <x:v>46257</x:v>
      </x:c>
      <x:c r="D12" s="794" t="n">
        <x:v>46257</x:v>
      </x:c>
      <x:c r="E12" s="758" t="str">
        <x:v>—</x:v>
      </x:c>
      <x:c r="F12"/>
      <x:c r="G12"/>
      <x:c r="H12"/>
      <x:c r="I12"/>
      <x:c r="J12"/>
      <x:c r="K12"/>
      <x:c r="L12"/>
      <x:c r="M12"/>
      <x:c r="N12"/>
      <x:c r="O12"/>
      <x:c r="P12"/>
      <x:c r="Q12"/>
      <x:c r="R12"/>
      <x:c r="S12"/>
    </x:row>
    <x:row r="13" ht="34" customHeight="1">
      <x:c r="A13" s="786" t="str">
        <x:v>1.1.9</x:v>
      </x:c>
      <x:c r="B13" s="756" t="str">
        <x:v>Elaboración de Historias de Usuario / Casos de Uso</x:v>
      </x:c>
      <x:c r="C13" s="794" t="n">
        <x:v>46258</x:v>
      </x:c>
      <x:c r="D13" s="794" t="n">
        <x:v>46258</x:v>
      </x:c>
      <x:c r="E13" s="758" t="str">
        <x:v>—</x:v>
      </x:c>
      <x:c r="F13"/>
      <x:c r="G13"/>
      <x:c r="H13"/>
      <x:c r="I13"/>
      <x:c r="J13"/>
      <x:c r="K13"/>
      <x:c r="L13"/>
      <x:c r="M13"/>
      <x:c r="N13"/>
      <x:c r="O13"/>
      <x:c r="P13"/>
      <x:c r="Q13"/>
      <x:c r="R13"/>
      <x:c r="S13"/>
    </x:row>
    <x:row r="14" ht="34" customHeight="1">
      <x:c r="A14" s="786" t="str">
        <x:v>1.1.10</x:v>
      </x:c>
      <x:c r="B14" s="756" t="str">
        <x:v>Priorización del Backlog (MoSCoW)</x:v>
      </x:c>
      <x:c r="C14" s="794" t="n">
        <x:v>46258</x:v>
      </x:c>
      <x:c r="D14" s="794" t="n">
        <x:v>46258</x:v>
      </x:c>
      <x:c r="E14" s="758" t="str">
        <x:v>—</x:v>
      </x:c>
      <x:c r="F14"/>
      <x:c r="G14"/>
      <x:c r="H14"/>
      <x:c r="I14"/>
      <x:c r="J14"/>
      <x:c r="K14"/>
      <x:c r="L14"/>
      <x:c r="M14"/>
      <x:c r="N14"/>
      <x:c r="O14"/>
      <x:c r="P14"/>
      <x:c r="Q14"/>
      <x:c r="R14"/>
      <x:c r="S14"/>
    </x:row>
    <x:row r="15" ht="34" customHeight="1">
      <x:c r="A15" s="786" t="str">
        <x:v>1.1.11</x:v>
      </x:c>
      <x:c r="B15" s="756" t="str">
        <x:v>Elaboración de Plan de Gestión del Proyecto</x:v>
      </x:c>
      <x:c r="C15" s="794" t="n">
        <x:v>46259</x:v>
      </x:c>
      <x:c r="D15" s="794" t="n">
        <x:v>46259</x:v>
      </x:c>
      <x:c r="E15" s="758" t="str">
        <x:v>—</x:v>
      </x:c>
      <x:c r="F15"/>
      <x:c r="G15"/>
      <x:c r="H15"/>
      <x:c r="I15"/>
      <x:c r="J15"/>
      <x:c r="K15"/>
      <x:c r="L15"/>
      <x:c r="M15"/>
      <x:c r="N15"/>
      <x:c r="O15"/>
      <x:c r="P15"/>
      <x:c r="Q15"/>
      <x:c r="R15"/>
      <x:c r="S15"/>
    </x:row>
    <x:row r="16" ht="34" customHeight="1">
      <x:c r="A16" s="786" t="str">
        <x:v>1.1.12</x:v>
      </x:c>
      <x:c r="B16" s="756" t="str">
        <x:v>Revisión y consolidación de documentos de la Sprint 1</x:v>
      </x:c>
      <x:c r="C16" s="794" t="n">
        <x:v>46259</x:v>
      </x:c>
      <x:c r="D16" s="794" t="n">
        <x:v>46259</x:v>
      </x:c>
      <x:c r="E16" s="758" t="str">
        <x:v>—</x:v>
      </x:c>
      <x:c r="F16"/>
      <x:c r="G16"/>
      <x:c r="H16"/>
      <x:c r="I16"/>
      <x:c r="J16"/>
      <x:c r="K16"/>
      <x:c r="L16"/>
      <x:c r="M16"/>
      <x:c r="N16"/>
      <x:c r="O16"/>
      <x:c r="P16"/>
      <x:c r="Q16"/>
      <x:c r="R16"/>
      <x:c r="S16"/>
    </x:row>
    <x:row r="17" ht="34" customHeight="1">
      <x:c r="A17" s="786" t="str">
        <x:v>1.1.13</x:v>
      </x:c>
      <x:c r="B17" s="756" t="str">
        <x:v>Sprint Review + Retrospectiva Sprint 1</x:v>
      </x:c>
      <x:c r="C17" s="794" t="n">
        <x:v>46259</x:v>
      </x:c>
      <x:c r="D17" s="794" t="n">
        <x:v>46259</x:v>
      </x:c>
      <x:c r="E17" s="758" t="str">
        <x:v>—</x:v>
      </x:c>
      <x:c r="F17"/>
      <x:c r="G17"/>
      <x:c r="H17"/>
      <x:c r="I17"/>
      <x:c r="J17"/>
      <x:c r="K17"/>
      <x:c r="L17"/>
      <x:c r="M17"/>
      <x:c r="N17"/>
      <x:c r="O17"/>
      <x:c r="P17"/>
      <x:c r="Q17"/>
      <x:c r="R17"/>
      <x:c r="S17"/>
    </x:row>
    <x:row r="18" ht="34" customHeight="1">
      <x:c r="A18" s="787" t="str">
        <x:v>2.1.1</x:v>
      </x:c>
      <x:c r="B18" s="760" t="str">
        <x:v>Sprint Planning Sprint 2</x:v>
      </x:c>
      <x:c r="C18" s="795" t="n">
        <x:v>46260</x:v>
      </x:c>
      <x:c r="D18" s="795" t="n">
        <x:v>46260</x:v>
      </x:c>
      <x:c r="E18" s="762" t="str">
        <x:v>—</x:v>
      </x:c>
      <x:c r="F18"/>
      <x:c r="G18"/>
      <x:c r="H18"/>
      <x:c r="I18"/>
      <x:c r="J18"/>
      <x:c r="K18"/>
      <x:c r="L18"/>
      <x:c r="M18"/>
      <x:c r="N18"/>
      <x:c r="O18"/>
      <x:c r="P18"/>
      <x:c r="Q18"/>
      <x:c r="R18"/>
      <x:c r="S18"/>
    </x:row>
    <x:row r="19" ht="34" customHeight="1">
      <x:c r="A19" s="787" t="str">
        <x:v>2.1.2</x:v>
      </x:c>
      <x:c r="B19" s="760" t="str">
        <x:v>Presentación de requerimientos (RF/RNF) al cliente</x:v>
      </x:c>
      <x:c r="C19" s="795" t="n">
        <x:v>46260</x:v>
      </x:c>
      <x:c r="D19" s="795" t="n">
        <x:v>46260</x:v>
      </x:c>
      <x:c r="E19" s="762" t="str">
        <x:v>—</x:v>
      </x:c>
      <x:c r="F19"/>
      <x:c r="G19"/>
      <x:c r="H19"/>
      <x:c r="I19"/>
      <x:c r="J19"/>
      <x:c r="K19"/>
      <x:c r="L19"/>
      <x:c r="M19"/>
      <x:c r="N19"/>
      <x:c r="O19"/>
      <x:c r="P19"/>
      <x:c r="Q19"/>
      <x:c r="R19"/>
      <x:c r="S19"/>
    </x:row>
    <x:row r="20" ht="34" customHeight="1">
      <x:c r="A20" s="787" t="str">
        <x:v>2.1.3</x:v>
      </x:c>
      <x:c r="B20" s="760" t="str">
        <x:v>Levantamiento de observaciones y ajustes a requerimientos</x:v>
      </x:c>
      <x:c r="C20" s="795" t="n">
        <x:v>46261</x:v>
      </x:c>
      <x:c r="D20" s="795" t="n">
        <x:v>46261</x:v>
      </x:c>
      <x:c r="E20" s="762" t="str">
        <x:v>—</x:v>
      </x:c>
      <x:c r="F20"/>
      <x:c r="G20"/>
      <x:c r="H20"/>
      <x:c r="I20"/>
      <x:c r="J20"/>
      <x:c r="K20"/>
      <x:c r="L20"/>
      <x:c r="M20"/>
      <x:c r="N20"/>
      <x:c r="O20"/>
      <x:c r="P20"/>
      <x:c r="Q20"/>
      <x:c r="R20"/>
      <x:c r="S20"/>
    </x:row>
    <x:row r="21" ht="34" customHeight="1">
      <x:c r="A21" s="787" t="str">
        <x:v>2.1.4</x:v>
      </x:c>
      <x:c r="B21" s="760" t="str">
        <x:v>Firma de Acta de Aprobación de Requerimientos</x:v>
      </x:c>
      <x:c r="C21" s="795" t="n">
        <x:v>46262</x:v>
      </x:c>
      <x:c r="D21" s="795" t="n">
        <x:v>46262</x:v>
      </x:c>
      <x:c r="E21" s="762" t="str">
        <x:v>—</x:v>
      </x:c>
      <x:c r="F21"/>
      <x:c r="G21"/>
      <x:c r="H21"/>
      <x:c r="I21"/>
      <x:c r="J21"/>
      <x:c r="K21"/>
      <x:c r="L21"/>
      <x:c r="M21"/>
      <x:c r="N21"/>
      <x:c r="O21"/>
      <x:c r="P21"/>
      <x:c r="Q21"/>
      <x:c r="R21"/>
      <x:c r="S21"/>
    </x:row>
    <x:row r="22" ht="34" customHeight="1">
      <x:c r="A22" s="787" t="str">
        <x:v>2.1.5</x:v>
      </x:c>
      <x:c r="B22" s="760" t="str">
        <x:v>Sprint Review + Retrospectiva Sprint 2</x:v>
      </x:c>
      <x:c r="C22" s="795" t="n">
        <x:v>46266</x:v>
      </x:c>
      <x:c r="D22" s="795" t="n">
        <x:v>46266</x:v>
      </x:c>
      <x:c r="E22" s="762" t="str">
        <x:v>—</x:v>
      </x:c>
      <x:c r="F22"/>
      <x:c r="G22"/>
      <x:c r="H22"/>
      <x:c r="I22"/>
      <x:c r="J22"/>
      <x:c r="K22"/>
      <x:c r="L22"/>
      <x:c r="M22"/>
      <x:c r="N22"/>
      <x:c r="O22"/>
      <x:c r="P22"/>
      <x:c r="Q22"/>
      <x:c r="R22"/>
      <x:c r="S22"/>
    </x:row>
    <x:row r="23" ht="34" customHeight="1">
      <x:c r="A23" s="787" t="str">
        <x:v>2.2.1</x:v>
      </x:c>
      <x:c r="B23" s="760" t="str">
        <x:v>Diseño de wireframes de baja fidelidad (Web y Móvil)</x:v>
      </x:c>
      <x:c r="C23" s="795" t="n">
        <x:v>46261</x:v>
      </x:c>
      <x:c r="D23" s="795" t="n">
        <x:v>46261</x:v>
      </x:c>
      <x:c r="E23" s="762" t="str">
        <x:v>—</x:v>
      </x:c>
      <x:c r="F23"/>
      <x:c r="G23"/>
      <x:c r="H23"/>
      <x:c r="I23"/>
      <x:c r="J23"/>
      <x:c r="K23"/>
      <x:c r="L23"/>
      <x:c r="M23"/>
      <x:c r="N23"/>
      <x:c r="O23"/>
      <x:c r="P23"/>
      <x:c r="Q23"/>
      <x:c r="R23"/>
      <x:c r="S23"/>
    </x:row>
    <x:row r="24" ht="34" customHeight="1">
      <x:c r="A24" s="787" t="str">
        <x:v>2.2.2</x:v>
      </x:c>
      <x:c r="B24" s="760" t="str">
        <x:v>Definición de guía de estilos / Design System</x:v>
      </x:c>
      <x:c r="C24" s="795" t="n">
        <x:v>46262</x:v>
      </x:c>
      <x:c r="D24" s="795" t="n">
        <x:v>46262</x:v>
      </x:c>
      <x:c r="E24" s="762" t="str">
        <x:v>—</x:v>
      </x:c>
    </x:row>
    <x:row r="25" ht="34" customHeight="1">
      <x:c r="A25" s="787" t="str">
        <x:v>2.2.3</x:v>
      </x:c>
      <x:c r="B25" s="760" t="str">
        <x:v>Diseño de prototipo de alta fidelidad en Figma - Web</x:v>
      </x:c>
      <x:c r="C25" s="795" t="n">
        <x:v>46263</x:v>
      </x:c>
      <x:c r="D25" s="795" t="n">
        <x:v>46264</x:v>
      </x:c>
      <x:c r="E25" s="762" t="str">
        <x:v>—</x:v>
      </x:c>
      <x:c r="F25"/>
      <x:c r="G25"/>
      <x:c r="H25"/>
      <x:c r="I25"/>
      <x:c r="J25"/>
      <x:c r="K25"/>
      <x:c r="L25"/>
      <x:c r="M25"/>
      <x:c r="N25"/>
      <x:c r="O25"/>
      <x:c r="P25"/>
      <x:c r="Q25"/>
      <x:c r="R25"/>
      <x:c r="S25"/>
    </x:row>
    <x:row r="26" ht="34" customHeight="1">
      <x:c r="A26" s="787" t="str">
        <x:v>2.2.4</x:v>
      </x:c>
      <x:c r="B26" s="760" t="str">
        <x:v>Diseño de prototipo de alta fidelidad en Figma - Móvil</x:v>
      </x:c>
      <x:c r="C26" s="795" t="n">
        <x:v>46263</x:v>
      </x:c>
      <x:c r="D26" s="795" t="n">
        <x:v>46264</x:v>
      </x:c>
      <x:c r="E26" s="762" t="str">
        <x:v>—</x:v>
      </x:c>
    </x:row>
    <x:row r="27" ht="34" customHeight="1">
      <x:c r="A27" s="787" t="str">
        <x:v>2.2.5</x:v>
      </x:c>
      <x:c r="B27" s="760" t="str">
        <x:v>Maquetación del prototipo navegable en HTML/CSS (Web)</x:v>
      </x:c>
      <x:c r="C27" s="795" t="n">
        <x:v>46265</x:v>
      </x:c>
      <x:c r="D27" s="795" t="n">
        <x:v>46265</x:v>
      </x:c>
      <x:c r="E27" s="762" t="str">
        <x:v>—</x:v>
      </x:c>
    </x:row>
    <x:row r="28" ht="34" customHeight="1">
      <x:c r="A28" s="787" t="str">
        <x:v>2.2.6</x:v>
      </x:c>
      <x:c r="B28" s="760" t="str">
        <x:v>Revisión de prototipos (Figma + HTML) con el cliente</x:v>
      </x:c>
      <x:c r="C28" s="795" t="n">
        <x:v>46265</x:v>
      </x:c>
      <x:c r="D28" s="795" t="n">
        <x:v>46265</x:v>
      </x:c>
      <x:c r="E28" s="762" t="str">
        <x:v>—</x:v>
      </x:c>
    </x:row>
    <x:row r="29" ht="34" customHeight="1">
      <x:c r="A29" s="787" t="str">
        <x:v>2.2.7</x:v>
      </x:c>
      <x:c r="B29" s="760" t="str">
        <x:v>Ajustes de prototipos según observaciones</x:v>
      </x:c>
      <x:c r="C29" s="795" t="n">
        <x:v>46266</x:v>
      </x:c>
      <x:c r="D29" s="795" t="n">
        <x:v>46266</x:v>
      </x:c>
      <x:c r="E29" s="762" t="str">
        <x:v>—</x:v>
      </x:c>
    </x:row>
    <x:row r="30" ht="34" customHeight="1">
      <x:c r="A30" s="788" t="str">
        <x:v>3.1.1</x:v>
      </x:c>
      <x:c r="B30" s="764" t="str">
        <x:v>Sprint Planning Sprint 3</x:v>
      </x:c>
      <x:c r="C30" s="796" t="n">
        <x:v>46267</x:v>
      </x:c>
      <x:c r="D30" s="796" t="n">
        <x:v>46267</x:v>
      </x:c>
      <x:c r="E30" s="766" t="str">
        <x:v>—</x:v>
      </x:c>
    </x:row>
    <x:row r="31" ht="34" customHeight="1">
      <x:c r="A31" s="788" t="str">
        <x:v>3.1.2</x:v>
      </x:c>
      <x:c r="B31" s="764" t="str">
        <x:v>Sprint Review + Retrospectiva Sprint 3</x:v>
      </x:c>
      <x:c r="C31" s="796" t="n">
        <x:v>46273</x:v>
      </x:c>
      <x:c r="D31" s="796" t="n">
        <x:v>46273</x:v>
      </x:c>
      <x:c r="E31" s="766" t="str">
        <x:v>—</x:v>
      </x:c>
    </x:row>
    <x:row r="32" ht="34" customHeight="1">
      <x:c r="A32" s="788" t="str">
        <x:v>3.2.1</x:v>
      </x:c>
      <x:c r="B32" s="764" t="str">
        <x:v>Firma / Aprobación final de prototipos</x:v>
      </x:c>
      <x:c r="C32" s="796" t="n">
        <x:v>46267</x:v>
      </x:c>
      <x:c r="D32" s="796" t="n">
        <x:v>46267</x:v>
      </x:c>
      <x:c r="E32" s="766" t="str">
        <x:v>—</x:v>
      </x:c>
    </x:row>
    <x:row r="33" ht="34" customHeight="1">
      <x:c r="A33" s="788" t="str">
        <x:v>3.3.1</x:v>
      </x:c>
      <x:c r="B33" s="764" t="str">
        <x:v>Diseño de la arquitectura del sistema</x:v>
      </x:c>
      <x:c r="C33" s="796" t="n">
        <x:v>46267</x:v>
      </x:c>
      <x:c r="D33" s="796" t="n">
        <x:v>46267</x:v>
      </x:c>
      <x:c r="E33" s="766" t="str">
        <x:v>—</x:v>
      </x:c>
    </x:row>
    <x:row r="34" ht="34" customHeight="1">
      <x:c r="A34" s="788" t="str">
        <x:v>3.3.2</x:v>
      </x:c>
      <x:c r="B34" s="764" t="str">
        <x:v>Diseño del modelo de datos (MER)</x:v>
      </x:c>
      <x:c r="C34" s="796" t="n">
        <x:v>46268</x:v>
      </x:c>
      <x:c r="D34" s="796" t="n">
        <x:v>46268</x:v>
      </x:c>
      <x:c r="E34" s="766" t="str">
        <x:v>—</x:v>
      </x:c>
    </x:row>
    <x:row r="35" ht="34" customHeight="1">
      <x:c r="A35" s="788" t="str">
        <x:v>3.3.3</x:v>
      </x:c>
      <x:c r="B35" s="764" t="str">
        <x:v>Creación de la base de datos en PostgreSQL</x:v>
      </x:c>
      <x:c r="C35" s="796" t="n">
        <x:v>46269</x:v>
      </x:c>
      <x:c r="D35" s="796" t="n">
        <x:v>46269</x:v>
      </x:c>
      <x:c r="E35" s="766" t="str">
        <x:v>—</x:v>
      </x:c>
    </x:row>
    <x:row r="36" ht="34" customHeight="1">
      <x:c r="A36" s="788" t="str">
        <x:v>3.3.4</x:v>
      </x:c>
      <x:c r="B36" s="764" t="str">
        <x:v>Configuración de repositorio Git y GitFlow</x:v>
      </x:c>
      <x:c r="C36" s="796" t="n">
        <x:v>46268</x:v>
      </x:c>
      <x:c r="D36" s="796" t="n">
        <x:v>46268</x:v>
      </x:c>
      <x:c r="E36" s="766" t="str">
        <x:v>—</x:v>
      </x:c>
    </x:row>
    <x:row r="37" ht="34" customHeight="1">
      <x:c r="A37" s="788" t="str">
        <x:v>3.3.5</x:v>
      </x:c>
      <x:c r="B37" s="764" t="str">
        <x:v>Configuración de entorno backend (Java 21, Spring Boot)</x:v>
      </x:c>
      <x:c r="C37" s="796" t="n">
        <x:v>46268</x:v>
      </x:c>
      <x:c r="D37" s="796" t="n">
        <x:v>46268</x:v>
      </x:c>
      <x:c r="E37" s="766" t="str">
        <x:v>—</x:v>
      </x:c>
    </x:row>
    <x:row r="38" ht="34" customHeight="1">
      <x:c r="A38" s="788" t="str">
        <x:v>3.3.6</x:v>
      </x:c>
      <x:c r="B38" s="764" t="str">
        <x:v>Configuración de entorno frontend Angular</x:v>
      </x:c>
      <x:c r="C38" s="796" t="n">
        <x:v>46268</x:v>
      </x:c>
      <x:c r="D38" s="796" t="n">
        <x:v>46268</x:v>
      </x:c>
      <x:c r="E38" s="766" t="str">
        <x:v>—</x:v>
      </x:c>
    </x:row>
    <x:row r="39" ht="34" customHeight="1">
      <x:c r="A39" s="788" t="str">
        <x:v>3.3.7</x:v>
      </x:c>
      <x:c r="B39" s="764" t="str">
        <x:v>Configuración de entorno móvil Flutter</x:v>
      </x:c>
      <x:c r="C39" s="796" t="n">
        <x:v>46268</x:v>
      </x:c>
      <x:c r="D39" s="796" t="n">
        <x:v>46268</x:v>
      </x:c>
      <x:c r="E39" s="766" t="str">
        <x:v>—</x:v>
      </x:c>
    </x:row>
    <x:row r="40" ht="34" customHeight="1">
      <x:c r="A40" s="788" t="str">
        <x:v>3.3.8</x:v>
      </x:c>
      <x:c r="B40" s="764" t="str">
        <x:v>Configuración de seguridad (Spring Security + JWT)</x:v>
      </x:c>
      <x:c r="C40" s="796" t="n">
        <x:v>46269</x:v>
      </x:c>
      <x:c r="D40" s="796" t="n">
        <x:v>46269</x:v>
      </x:c>
      <x:c r="E40" s="766" t="str">
        <x:v>—</x:v>
      </x:c>
    </x:row>
    <x:row r="41" ht="34" customHeight="1">
      <x:c r="A41" s="788" t="str">
        <x:v>3.3.9</x:v>
      </x:c>
      <x:c r="B41" s="764" t="str">
        <x:v>Configuración de integración continua (CI) básica</x:v>
      </x:c>
      <x:c r="C41" s="796" t="n">
        <x:v>46269</x:v>
      </x:c>
      <x:c r="D41" s="796" t="n">
        <x:v>46269</x:v>
      </x:c>
      <x:c r="E41" s="766" t="str">
        <x:v>—</x:v>
      </x:c>
    </x:row>
    <x:row r="42" ht="34" customHeight="1">
      <x:c r="A42" s="788" t="str">
        <x:v>3.4.1</x:v>
      </x:c>
      <x:c r="B42" s="764" t="str">
        <x:v>HU01: Desarrollo Web: Pantalla de Login (Angular)</x:v>
      </x:c>
      <x:c r="C42" s="796" t="n">
        <x:v>46271</x:v>
      </x:c>
      <x:c r="D42" s="796" t="n">
        <x:v>46271</x:v>
      </x:c>
      <x:c r="E42" s="768" t="str">
        <x:v>HU01: Como usuario del sistema, quiero iniciar sesión con mi correo y contraseña para acceder a mi cuenta de forma segura.</x:v>
      </x:c>
    </x:row>
    <x:row r="43" ht="34" customHeight="1">
      <x:c r="A43" s="788" t="str">
        <x:v>3.4.2</x:v>
      </x:c>
      <x:c r="B43" s="764" t="str">
        <x:v>HU02: Desarrollo Móvil: Pantalla de Login (Flutter)</x:v>
      </x:c>
      <x:c r="C43" s="796" t="n">
        <x:v>46271</x:v>
      </x:c>
      <x:c r="D43" s="796" t="n">
        <x:v>46271</x:v>
      </x:c>
      <x:c r="E43" s="768" t="str">
        <x:v>HU02: Como usuario del sistema, quiero iniciar sesión desde mi dispositivo móvil para acceder a mi cuenta de forma segura.</x:v>
      </x:c>
    </x:row>
    <x:row r="44" ht="34" customHeight="1">
      <x:c r="A44" s="788" t="str">
        <x:v>3.4.3</x:v>
      </x:c>
      <x:c r="B44" s="764" t="str">
        <x:v>HU03: Desarrollo Backend: Módulo de Autenticación</x:v>
      </x:c>
      <x:c r="C44" s="796" t="n">
        <x:v>46270</x:v>
      </x:c>
      <x:c r="D44" s="796" t="n">
        <x:v>46271</x:v>
      </x:c>
      <x:c r="E44" s="768" t="str">
        <x:v>HU03: Como usuario del sistema, quiero que mi sesión se mantenga activa para no tener que escribir mis credenciales cada vez que uso la aplicación.</x:v>
      </x:c>
    </x:row>
    <x:row r="45" ht="34" customHeight="1">
      <x:c r="A45" s="788" t="str">
        <x:v>3.4.4</x:v>
      </x:c>
      <x:c r="B45" s="764" t="str">
        <x:v>Pruebas de integración del módulo de autenticación</x:v>
      </x:c>
      <x:c r="C45" s="796" t="n">
        <x:v>46272</x:v>
      </x:c>
      <x:c r="D45" s="796" t="n">
        <x:v>46272</x:v>
      </x:c>
      <x:c r="E45" s="766" t="str">
        <x:v>—</x:v>
      </x:c>
    </x:row>
    <x:row r="46" ht="34" customHeight="1">
      <x:c r="A46" s="789" t="str">
        <x:v>4.1.1</x:v>
      </x:c>
      <x:c r="B46" s="770" t="str">
        <x:v>Sprint Planning Sprint 4</x:v>
      </x:c>
      <x:c r="C46" s="797" t="n">
        <x:v>46274</x:v>
      </x:c>
      <x:c r="D46" s="797" t="n">
        <x:v>46274</x:v>
      </x:c>
      <x:c r="E46" s="772" t="str">
        <x:v>—</x:v>
      </x:c>
    </x:row>
    <x:row r="47" ht="34" customHeight="1">
      <x:c r="A47" s="789" t="str">
        <x:v>4.1.2</x:v>
      </x:c>
      <x:c r="B47" s="770" t="str">
        <x:v>Sprint Review + Retrospectiva Sprint 4</x:v>
      </x:c>
      <x:c r="C47" s="797" t="n">
        <x:v>46280</x:v>
      </x:c>
      <x:c r="D47" s="797" t="n">
        <x:v>46280</x:v>
      </x:c>
      <x:c r="E47" s="772" t="str">
        <x:v>—</x:v>
      </x:c>
    </x:row>
    <x:row r="48" ht="34" customHeight="1">
      <x:c r="A48" s="789" t="str">
        <x:v>4.2.1</x:v>
      </x:c>
      <x:c r="B48" s="770" t="str">
        <x:v>HU04: Backend: CRUD de Productores (API REST)</x:v>
      </x:c>
      <x:c r="C48" s="797" t="n">
        <x:v>46274</x:v>
      </x:c>
      <x:c r="D48" s="797" t="n">
        <x:v>46275</x:v>
      </x:c>
      <x:c r="E48" s="768" t="str">
        <x:v>HU04: Como administrador, quiero registrar, listar, editar y eliminar productores de leche para mantener actualizada la base de datos de proveedores.</x:v>
      </x:c>
    </x:row>
    <x:row r="49" ht="34" customHeight="1">
      <x:c r="A49" s="789" t="str">
        <x:v>4.2.2</x:v>
      </x:c>
      <x:c r="B49" s="770" t="str">
        <x:v>HU05: Backend: CRUD de Acopiadores y Rutas</x:v>
      </x:c>
      <x:c r="C49" s="797" t="n">
        <x:v>46275</x:v>
      </x:c>
      <x:c r="D49" s="797" t="n">
        <x:v>46276</x:v>
      </x:c>
      <x:c r="E49" s="768" t="str">
        <x:v>HU05: Como administrador, quiero registrar, listar, editar y eliminar acopiadores para gestionar el personal que recolecta la leche en campo.</x:v>
      </x:c>
    </x:row>
    <x:row r="50" ht="34" customHeight="1">
      <x:c r="A50" s="789" t="str">
        <x:v>4.2.3</x:v>
      </x:c>
      <x:c r="B50" s="770" t="str">
        <x:v>HU06: Backend: CRUD de Centros de Acopio</x:v>
      </x:c>
      <x:c r="C50" s="797" t="n">
        <x:v>46276</x:v>
      </x:c>
      <x:c r="D50" s="797" t="n">
        <x:v>46276</x:v>
      </x:c>
      <x:c r="E50" s="768" t="str">
        <x:v>HU06: Como administrador, quiero registrar, listar, editar y eliminar centros de acopio para tener control de los puntos de recepción de leche.</x:v>
      </x:c>
    </x:row>
    <x:row r="51" ht="34" customHeight="1">
      <x:c r="A51" s="789" t="str">
        <x:v>4.2.4</x:v>
      </x:c>
      <x:c r="B51" s="770" t="str">
        <x:v>HU07: Web: Módulo de gestión de Productores</x:v>
      </x:c>
      <x:c r="C51" s="797" t="n">
        <x:v>46276</x:v>
      </x:c>
      <x:c r="D51" s="797" t="n">
        <x:v>46277</x:v>
      </x:c>
      <x:c r="E51" s="768" t="str">
        <x:v>HU07: Como administrador, quiero gestionar los productores desde la web para mantener actualizada la base de datos de proveedores.</x:v>
      </x:c>
    </x:row>
    <x:row r="52" ht="34" customHeight="1">
      <x:c r="A52" s="789" t="str">
        <x:v>4.2.5</x:v>
      </x:c>
      <x:c r="B52" s="770" t="str">
        <x:v>HU08: Web: Módulo de gestión de Rutas y Centros de Acopio</x:v>
      </x:c>
      <x:c r="C52" s="797" t="n">
        <x:v>46277</x:v>
      </x:c>
      <x:c r="D52" s="797" t="n">
        <x:v>46278</x:v>
      </x:c>
      <x:c r="E52" s="768" t="str">
        <x:v>HU08: Como administrador, quiero gestionar las rutas y centros de acopio desde la web para organizar la logística de recolección.</x:v>
      </x:c>
    </x:row>
    <x:row r="53" ht="34" customHeight="1">
      <x:c r="A53" s="789" t="str">
        <x:v>4.2.6</x:v>
      </x:c>
      <x:c r="B53" s="770" t="str">
        <x:v>HU09: Móvil: Módulo de consulta de productores asignados</x:v>
      </x:c>
      <x:c r="C53" s="797" t="n">
        <x:v>46276</x:v>
      </x:c>
      <x:c r="D53" s="797" t="n">
        <x:v>46277</x:v>
      </x:c>
      <x:c r="E53" s="768" t="str">
        <x:v>HU09: Como acopiador, quiero consultar los productores que tengo asignados en mi ruta para saber a quiénes debo visitar durante el día.</x:v>
      </x:c>
    </x:row>
    <x:row r="54" ht="34" customHeight="1">
      <x:c r="A54" s="789" t="str">
        <x:v>4.2.7</x:v>
      </x:c>
      <x:c r="B54" s="770" t="str">
        <x:v>HU10: Móvil: Módulo de gestión de ruta del día</x:v>
      </x:c>
      <x:c r="C54" s="797" t="n">
        <x:v>46277</x:v>
      </x:c>
      <x:c r="D54" s="797" t="n">
        <x:v>46278</x:v>
      </x:c>
      <x:c r="E54" s="768" t="str">
        <x:v>HU10: Como acopiador, quiero ver mi ruta del día con los productores y centros de acopio asignados para organizar mi recorrido de forma eficiente.</x:v>
      </x:c>
    </x:row>
    <x:row r="55" ht="34" customHeight="1">
      <x:c r="A55" s="789" t="str">
        <x:v>4.2.8</x:v>
      </x:c>
      <x:c r="B55" s="770" t="str">
        <x:v>Pruebas unitarias backend (JUnit)</x:v>
      </x:c>
      <x:c r="C55" s="797" t="n">
        <x:v>46279</x:v>
      </x:c>
      <x:c r="D55" s="797" t="n">
        <x:v>46279</x:v>
      </x:c>
      <x:c r="E55" s="772" t="str">
        <x:v>—</x:v>
      </x:c>
    </x:row>
    <x:row r="56" ht="34" customHeight="1">
      <x:c r="A56" s="789" t="str">
        <x:v>4.2.9</x:v>
      </x:c>
      <x:c r="B56" s="770" t="str">
        <x:v>Pruebas funcionales módulo Productores (Web y Móvil)</x:v>
      </x:c>
      <x:c r="C56" s="797" t="n">
        <x:v>46279</x:v>
      </x:c>
      <x:c r="D56" s="797" t="n">
        <x:v>46279</x:v>
      </x:c>
      <x:c r="E56" s="772" t="str">
        <x:v>—</x:v>
      </x:c>
    </x:row>
    <x:row r="57" ht="34" customHeight="1">
      <x:c r="A57" s="789" t="str">
        <x:v>4.3.1</x:v>
      </x:c>
      <x:c r="B57" s="770" t="str">
        <x:v>Documentación técnica de API (Swagger / OpenAPI)</x:v>
      </x:c>
      <x:c r="C57" s="797" t="n">
        <x:v>46279</x:v>
      </x:c>
      <x:c r="D57" s="797" t="n">
        <x:v>46279</x:v>
      </x:c>
      <x:c r="E57" s="772" t="str">
        <x:v>—</x:v>
      </x:c>
    </x:row>
    <x:row r="58" ht="34" customHeight="1">
      <x:c r="A58" s="790" t="str">
        <x:v>5.1.1</x:v>
      </x:c>
      <x:c r="B58" s="774" t="str">
        <x:v>Sprint Planning Sprint 5</x:v>
      </x:c>
      <x:c r="C58" s="798" t="n">
        <x:v>46281</x:v>
      </x:c>
      <x:c r="D58" s="798" t="n">
        <x:v>46281</x:v>
      </x:c>
      <x:c r="E58" s="776" t="str">
        <x:v>—</x:v>
      </x:c>
    </x:row>
    <x:row r="59" ht="34" customHeight="1">
      <x:c r="A59" s="790" t="str">
        <x:v>5.1.2</x:v>
      </x:c>
      <x:c r="B59" s="774" t="str">
        <x:v>Sprint Review + Retrospectiva Sprint 5</x:v>
      </x:c>
      <x:c r="C59" s="798" t="n">
        <x:v>46287</x:v>
      </x:c>
      <x:c r="D59" s="798" t="n">
        <x:v>46287</x:v>
      </x:c>
      <x:c r="E59" s="776" t="str">
        <x:v>—</x:v>
      </x:c>
    </x:row>
    <x:row r="60" ht="34" customHeight="1">
      <x:c r="A60" s="790" t="str">
        <x:v>5.2.1</x:v>
      </x:c>
      <x:c r="B60" s="774" t="str">
        <x:v>HU11: Backend: API de Registro de Recojo de Leche</x:v>
      </x:c>
      <x:c r="C60" s="798" t="n">
        <x:v>46281</x:v>
      </x:c>
      <x:c r="D60" s="798" t="n">
        <x:v>46282</x:v>
      </x:c>
      <x:c r="E60" s="768" t="str">
        <x:v>HU11: Como acopiador, quiero registrar la cantidad de leche recolectada de cada productor para llevar un control preciso de la producción diaria.</x:v>
      </x:c>
    </x:row>
    <x:row r="61" ht="34" customHeight="1">
      <x:c r="A61" s="790" t="str">
        <x:v>5.2.2</x:v>
      </x:c>
      <x:c r="B61" s="774" t="str">
        <x:v>HU12: Web: Módulo de consulta de liquidaciones</x:v>
      </x:c>
      <x:c r="C61" s="798" t="n">
        <x:v>46285</x:v>
      </x:c>
      <x:c r="D61" s="798" t="n">
        <x:v>46285</x:v>
      </x:c>
      <x:c r="E61" s="768" t="str">
        <x:v>HU12: Como administrador, quiero consultar las liquidaciones por productor y por fecha para revisar y validar los pagos realizados.</x:v>
      </x:c>
    </x:row>
    <x:row r="62" ht="34" customHeight="1">
      <x:c r="A62" s="790" t="str">
        <x:v>5.3.1</x:v>
      </x:c>
      <x:c r="B62" s="774" t="str">
        <x:v>HU13: Backend: Registro de parámetros de calidad</x:v>
      </x:c>
      <x:c r="C62" s="798" t="n">
        <x:v>46282</x:v>
      </x:c>
      <x:c r="D62" s="798" t="n">
        <x:v>46282</x:v>
      </x:c>
      <x:c r="E62" s="768" t="str">
        <x:v>HU13: Como acopiador, quiero registrar los parámetros de calidad de la leche (densidad, acidez, temperatura) para asegurar que cumple con los estándares requeridos.</x:v>
      </x:c>
    </x:row>
    <x:row r="63" ht="34" customHeight="1">
      <x:c r="A63" s="790" t="str">
        <x:v>5.3.2</x:v>
      </x:c>
      <x:c r="B63" s="774" t="str">
        <x:v>HU14: Backend: Cálculo de pago / liquidación</x:v>
      </x:c>
      <x:c r="C63" s="798" t="n">
        <x:v>46283</x:v>
      </x:c>
      <x:c r="D63" s="798" t="n">
        <x:v>46284</x:v>
      </x:c>
      <x:c r="E63" s="768" t="str">
        <x:v>HU14: Como acopiador, quiero que el sistema calcule automáticamente el pago del productor según los litros recolectados para liquidar de forma rápida y sin errores.</x:v>
      </x:c>
    </x:row>
    <x:row r="64" ht="34" customHeight="1">
      <x:c r="A64" s="790" t="str">
        <x:v>5.3.3</x:v>
      </x:c>
      <x:c r="B64" s="774" t="str">
        <x:v>HU15: Web: Módulo de registro y consulta de recojos</x:v>
      </x:c>
      <x:c r="C64" s="798" t="n">
        <x:v>46283</x:v>
      </x:c>
      <x:c r="D64" s="798" t="n">
        <x:v>46284</x:v>
      </x:c>
      <x:c r="E64" s="768" t="str">
        <x:v>HU15: Como administrador, quiero registrar y consultar los recojos de leche desde la web para llevar un control centralizado de la producción.</x:v>
      </x:c>
    </x:row>
    <x:row r="65" ht="34" customHeight="1">
      <x:c r="A65" s="790" t="str">
        <x:v>5.3.4</x:v>
      </x:c>
      <x:c r="B65" s="774" t="str">
        <x:v>HU16: Móvil: Pantalla de registro de recojo de leche (offline-first)</x:v>
      </x:c>
      <x:c r="C65" s="798" t="n">
        <x:v>46283</x:v>
      </x:c>
      <x:c r="D65" s="798" t="n">
        <x:v>46284</x:v>
      </x:c>
      <x:c r="E65" s="768" t="str">
        <x:v>HU16: Como acopiador, quiero registrar el recojo de leche aunque no tenga conexión a internet para seguir trabajando en zonas rurales sin cobertura.</x:v>
      </x:c>
    </x:row>
    <x:row r="66" ht="34" customHeight="1">
      <x:c r="A66" s="790" t="str">
        <x:v>5.3.5</x:v>
      </x:c>
      <x:c r="B66" s="774" t="str">
        <x:v>HU17: Móvil: Almacenamiento local (SQLite) y sincronización</x:v>
      </x:c>
      <x:c r="C66" s="798" t="n">
        <x:v>46284</x:v>
      </x:c>
      <x:c r="D66" s="798" t="n">
        <x:v>46285</x:v>
      </x:c>
      <x:c r="E66" s="768" t="str">
        <x:v>HU17: Como acopiador, quiero que los datos registrados sin conexión se sincronicen automáticamente cuando tenga internet para no perder información.</x:v>
      </x:c>
    </x:row>
    <x:row r="67" ht="34" customHeight="1">
      <x:c r="A67" s="790" t="str">
        <x:v>5.3.6</x:v>
      </x:c>
      <x:c r="B67" s="774" t="str">
        <x:v>HU18: Móvil: Captura de evidencia (firma digital / foto)</x:v>
      </x:c>
      <x:c r="C67" s="798" t="n">
        <x:v>46286</x:v>
      </x:c>
      <x:c r="D67" s="798" t="n">
        <x:v>46286</x:v>
      </x:c>
      <x:c r="E67" s="768" t="str">
        <x:v>HU18: Como acopiador, quiero tomar una foto o capturar la firma del productor como evidencia del recojo para tener un respaldo del registro.</x:v>
      </x:c>
    </x:row>
    <x:row r="68" ht="34" customHeight="1">
      <x:c r="A68" s="790" t="str">
        <x:v>5.3.7</x:v>
      </x:c>
      <x:c r="B68" s="774" t="str">
        <x:v>Pruebas unitarias e integración del módulo de Recojo</x:v>
      </x:c>
      <x:c r="C68" s="798" t="n">
        <x:v>46286</x:v>
      </x:c>
      <x:c r="D68" s="798" t="n">
        <x:v>46286</x:v>
      </x:c>
      <x:c r="E68" s="776" t="str">
        <x:v>—</x:v>
      </x:c>
    </x:row>
    <x:row r="69" ht="34" customHeight="1">
      <x:c r="A69" s="791" t="str">
        <x:v>6.1.1</x:v>
      </x:c>
      <x:c r="B69" s="778" t="str">
        <x:v>Sprint Planning Sprint 6</x:v>
      </x:c>
      <x:c r="C69" s="799" t="n">
        <x:v>46288</x:v>
      </x:c>
      <x:c r="D69" s="799" t="n">
        <x:v>46288</x:v>
      </x:c>
      <x:c r="E69" s="780" t="str">
        <x:v>—</x:v>
      </x:c>
    </x:row>
    <x:row r="70" ht="34" customHeight="1">
      <x:c r="A70" s="791" t="str">
        <x:v>6.1.2</x:v>
      </x:c>
      <x:c r="B70" s="778" t="str">
        <x:v>Sprint Review + Retrospectiva Sprint 6</x:v>
      </x:c>
      <x:c r="C70" s="799" t="n">
        <x:v>46294</x:v>
      </x:c>
      <x:c r="D70" s="799" t="n">
        <x:v>46294</x:v>
      </x:c>
      <x:c r="E70" s="780" t="str">
        <x:v>—</x:v>
      </x:c>
    </x:row>
    <x:row r="71" ht="34" customHeight="1">
      <x:c r="A71" s="791" t="str">
        <x:v>6.2.1</x:v>
      </x:c>
      <x:c r="B71" s="778" t="str">
        <x:v>HU19: Backend: Módulo de reportes gerenciales</x:v>
      </x:c>
      <x:c r="C71" s="799" t="n">
        <x:v>46288</x:v>
      </x:c>
      <x:c r="D71" s="799" t="n">
        <x:v>46289</x:v>
      </x:c>
      <x:c r="E71" s="768" t="str">
        <x:v>HU19: Como administrador, quiero ver reportes gerenciales de producción total, por ruta y por productor para evaluar el desempeño de cada zona.</x:v>
      </x:c>
    </x:row>
    <x:row r="72" ht="34" customHeight="1">
      <x:c r="A72" s="791" t="str">
        <x:v>6.2.2</x:v>
      </x:c>
      <x:c r="B72" s="778" t="str">
        <x:v>HU20: Backend: Módulo de notificaciones (email / push)</x:v>
      </x:c>
      <x:c r="C72" s="799" t="n">
        <x:v>46289</x:v>
      </x:c>
      <x:c r="D72" s="799" t="n">
        <x:v>46289</x:v>
      </x:c>
      <x:c r="E72" s="768" t="str">
        <x:v>HU20: Como administrador, quiero recibir notificaciones por correo electrónico para estar al tanto de eventos importantes del sistema.</x:v>
      </x:c>
    </x:row>
    <x:row r="73" ht="34" customHeight="1">
      <x:c r="A73" s="791" t="str">
        <x:v>6.2.3</x:v>
      </x:c>
      <x:c r="B73" s="778" t="str">
        <x:v>HU21: Web: Dashboard de reportes con gráficos</x:v>
      </x:c>
      <x:c r="C73" s="799" t="n">
        <x:v>46290</x:v>
      </x:c>
      <x:c r="D73" s="799" t="n">
        <x:v>46291</x:v>
      </x:c>
      <x:c r="E73" s="768" t="str">
        <x:v>HU21: Como administrador, quiero ver un dashboard con gráficos de producción y tendencias para tener una visión rápida del estado del negocio.</x:v>
      </x:c>
    </x:row>
    <x:row r="74" ht="34" customHeight="1">
      <x:c r="A74" s="791" t="str">
        <x:v>6.2.4</x:v>
      </x:c>
      <x:c r="B74" s="778" t="str">
        <x:v>HU22: Web: Módulo de administración de usuarios y roles</x:v>
      </x:c>
      <x:c r="C74" s="799" t="n">
        <x:v>46291</x:v>
      </x:c>
      <x:c r="D74" s="799" t="n">
        <x:v>46291</x:v>
      </x:c>
      <x:c r="E74" s="768" t="str">
        <x:v>HU22: Como administrador, quiero gestionar los usuarios del sistema y sus roles para controlar quién tiene acceso a cada funcionalidad.</x:v>
      </x:c>
    </x:row>
    <x:row r="75" ht="34" customHeight="1">
      <x:c r="A75" s="791" t="str">
        <x:v>6.2.5</x:v>
      </x:c>
      <x:c r="B75" s="778" t="str">
        <x:v>HU23: Móvil: Notificaciones push (Firebase Cloud Messaging)</x:v>
      </x:c>
      <x:c r="C75" s="799" t="n">
        <x:v>46290</x:v>
      </x:c>
      <x:c r="D75" s="799" t="n">
        <x:v>46290</x:v>
      </x:c>
      <x:c r="E75" s="768" t="str">
        <x:v>HU23: Como acopiador, quiero recibir notificaciones push en mi dispositivo móvil para estar informado sobre novedades y alertas en el campo.</x:v>
      </x:c>
    </x:row>
    <x:row r="76" ht="34" customHeight="1">
      <x:c r="A76" s="791" t="str">
        <x:v>6.2.6</x:v>
      </x:c>
      <x:c r="B76" s="778" t="str">
        <x:v>HU24: Móvil: Pantalla de historial de recojos y reportes personales</x:v>
      </x:c>
      <x:c r="C76" s="799" t="n">
        <x:v>46290</x:v>
      </x:c>
      <x:c r="D76" s="799" t="n">
        <x:v>46291</x:v>
      </x:c>
      <x:c r="E76" s="768" t="str">
        <x:v>HU24: Como acopiador, quiero consultar mi historial de recojos y reportes personales desde la app móvil para llevar un control de mi trabajo diario.</x:v>
      </x:c>
    </x:row>
    <x:row r="77" ht="34" customHeight="1">
      <x:c r="A77" s="791" t="str">
        <x:v>6.2.7</x:v>
      </x:c>
      <x:c r="B77" s="778" t="str">
        <x:v>Pruebas unitarias módulo de Reportes y Notificaciones</x:v>
      </x:c>
      <x:c r="C77" s="799" t="n">
        <x:v>46292</x:v>
      </x:c>
      <x:c r="D77" s="799" t="n">
        <x:v>46292</x:v>
      </x:c>
      <x:c r="E77" s="780" t="str">
        <x:v>—</x:v>
      </x:c>
    </x:row>
    <x:row r="78" ht="34" customHeight="1">
      <x:c r="A78" s="791" t="str">
        <x:v>6.3.1</x:v>
      </x:c>
      <x:c r="B78" s="778" t="str">
        <x:v>Ajustes de UI/UX según pruebas internas</x:v>
      </x:c>
      <x:c r="C78" s="799" t="n">
        <x:v>46292</x:v>
      </x:c>
      <x:c r="D78" s="799" t="n">
        <x:v>46292</x:v>
      </x:c>
      <x:c r="E78" s="780" t="str">
        <x:v>—</x:v>
      </x:c>
    </x:row>
    <x:row r="79" ht="34" customHeight="1">
      <x:c r="A79" s="791" t="str">
        <x:v>6.4.1</x:v>
      </x:c>
      <x:c r="B79" s="778" t="str">
        <x:v>Congelamiento de funcionalidades (Feature Freeze)</x:v>
      </x:c>
      <x:c r="C79" s="799" t="n">
        <x:v>46293</x:v>
      </x:c>
      <x:c r="D79" s="799" t="n">
        <x:v>46293</x:v>
      </x:c>
      <x:c r="E79" s="780" t="str">
        <x:v>—</x:v>
      </x:c>
    </x:row>
    <x:row r="80" ht="34" customHeight="1">
      <x:c r="A80" s="789" t="str">
        <x:v>7.1.1</x:v>
      </x:c>
      <x:c r="B80" s="770" t="str">
        <x:v>Sprint Planning Sprint 7</x:v>
      </x:c>
      <x:c r="C80" s="797" t="n">
        <x:v>46295</x:v>
      </x:c>
      <x:c r="D80" s="797" t="n">
        <x:v>46295</x:v>
      </x:c>
      <x:c r="E80" s="772" t="str">
        <x:v>—</x:v>
      </x:c>
    </x:row>
    <x:row r="81" ht="34" customHeight="1">
      <x:c r="A81" s="789" t="str">
        <x:v>7.1.2</x:v>
      </x:c>
      <x:c r="B81" s="770" t="str">
        <x:v>Sprint Review + Retrospectiva Sprint 7</x:v>
      </x:c>
      <x:c r="C81" s="797" t="n">
        <x:v>46301</x:v>
      </x:c>
      <x:c r="D81" s="797" t="n">
        <x:v>46301</x:v>
      </x:c>
      <x:c r="E81" s="772" t="str">
        <x:v>—</x:v>
      </x:c>
    </x:row>
    <x:row r="82" ht="34" customHeight="1">
      <x:c r="A82" s="789" t="str">
        <x:v>7.2.1</x:v>
      </x:c>
      <x:c r="B82" s="770" t="str">
        <x:v>Elaboración del Plan de Pruebas y Casos de Prueba</x:v>
      </x:c>
      <x:c r="C82" s="797" t="n">
        <x:v>46295</x:v>
      </x:c>
      <x:c r="D82" s="797" t="n">
        <x:v>46295</x:v>
      </x:c>
      <x:c r="E82" s="772" t="str">
        <x:v>—</x:v>
      </x:c>
    </x:row>
    <x:row r="83" ht="34" customHeight="1">
      <x:c r="A83" s="789" t="str">
        <x:v>7.2.2</x:v>
      </x:c>
      <x:c r="B83" s="770" t="str">
        <x:v>Pruebas de integración Backend - Web</x:v>
      </x:c>
      <x:c r="C83" s="797" t="n">
        <x:v>46296</x:v>
      </x:c>
      <x:c r="D83" s="797" t="n">
        <x:v>46296</x:v>
      </x:c>
      <x:c r="E83" s="772" t="str">
        <x:v>—</x:v>
      </x:c>
    </x:row>
    <x:row r="84" ht="34" customHeight="1">
      <x:c r="A84" s="789" t="str">
        <x:v>7.2.3</x:v>
      </x:c>
      <x:c r="B84" s="770" t="str">
        <x:v>Pruebas de integración Backend - Móvil</x:v>
      </x:c>
      <x:c r="C84" s="797" t="n">
        <x:v>46296</x:v>
      </x:c>
      <x:c r="D84" s="797" t="n">
        <x:v>46296</x:v>
      </x:c>
      <x:c r="E84" s="772" t="str">
        <x:v>—</x:v>
      </x:c>
    </x:row>
    <x:row r="85" ht="34" customHeight="1">
      <x:c r="A85" s="789" t="str">
        <x:v>7.2.4</x:v>
      </x:c>
      <x:c r="B85" s="770" t="str">
        <x:v>Pruebas funcionales completas</x:v>
      </x:c>
      <x:c r="C85" s="797" t="n">
        <x:v>46297</x:v>
      </x:c>
      <x:c r="D85" s="797" t="n">
        <x:v>46297</x:v>
      </x:c>
      <x:c r="E85" s="772" t="str">
        <x:v>—</x:v>
      </x:c>
    </x:row>
    <x:row r="86" ht="34" customHeight="1">
      <x:c r="A86" s="789" t="str">
        <x:v>7.2.5</x:v>
      </x:c>
      <x:c r="B86" s="770" t="str">
        <x:v>Pruebas de aceptación de usuario (UAT)</x:v>
      </x:c>
      <x:c r="C86" s="797" t="n">
        <x:v>46298</x:v>
      </x:c>
      <x:c r="D86" s="797" t="n">
        <x:v>46298</x:v>
      </x:c>
      <x:c r="E86" s="772" t="str">
        <x:v>—</x:v>
      </x:c>
    </x:row>
    <x:row r="87" ht="34" customHeight="1">
      <x:c r="A87" s="789" t="str">
        <x:v>7.2.6</x:v>
      </x:c>
      <x:c r="B87" s="770" t="str">
        <x:v>Registro y priorización de incidencias/bugs</x:v>
      </x:c>
      <x:c r="C87" s="797" t="n">
        <x:v>46298</x:v>
      </x:c>
      <x:c r="D87" s="797" t="n">
        <x:v>46298</x:v>
      </x:c>
      <x:c r="E87" s="772" t="str">
        <x:v>—</x:v>
      </x:c>
    </x:row>
    <x:row r="88" ht="34" customHeight="1">
      <x:c r="A88" s="789" t="str">
        <x:v>7.2.7</x:v>
      </x:c>
      <x:c r="B88" s="770" t="str">
        <x:v>Corrección de bugs críticos y altos</x:v>
      </x:c>
      <x:c r="C88" s="797" t="n">
        <x:v>46299</x:v>
      </x:c>
      <x:c r="D88" s="797" t="n">
        <x:v>46300</x:v>
      </x:c>
      <x:c r="E88" s="772" t="str">
        <x:v>—</x:v>
      </x:c>
    </x:row>
    <x:row r="89" ht="34" customHeight="1">
      <x:c r="A89" s="789" t="str">
        <x:v>7.2.8</x:v>
      </x:c>
      <x:c r="B89" s="770" t="str">
        <x:v>Pruebas de regresión</x:v>
      </x:c>
      <x:c r="C89" s="797" t="n">
        <x:v>46300</x:v>
      </x:c>
      <x:c r="D89" s="797" t="n">
        <x:v>46300</x:v>
      </x:c>
      <x:c r="E89" s="772" t="str">
        <x:v>—</x:v>
      </x:c>
    </x:row>
    <x:row r="90" ht="34" customHeight="1">
      <x:c r="A90" s="789" t="str">
        <x:v>7.2.9</x:v>
      </x:c>
      <x:c r="B90" s="770" t="str">
        <x:v>Pruebas no funcionales (rendimiento, seguridad)</x:v>
      </x:c>
      <x:c r="C90" s="797" t="n">
        <x:v>46297</x:v>
      </x:c>
      <x:c r="D90" s="797" t="n">
        <x:v>46297</x:v>
      </x:c>
      <x:c r="E90" s="772" t="str">
        <x:v>—</x:v>
      </x:c>
    </x:row>
    <x:row r="91" ht="34" customHeight="1">
      <x:c r="A91" s="789" t="str">
        <x:v>7.3.1</x:v>
      </x:c>
      <x:c r="B91" s="770" t="str">
        <x:v>Elaboración del Manual de Usuario (Web y Móvil)</x:v>
      </x:c>
      <x:c r="C91" s="797" t="n">
        <x:v>46299</x:v>
      </x:c>
      <x:c r="D91" s="797" t="n">
        <x:v>46299</x:v>
      </x:c>
      <x:c r="E91" s="772" t="str">
        <x:v>—</x:v>
      </x:c>
    </x:row>
    <x:row r="92" ht="34" customHeight="1">
      <x:c r="A92" s="789" t="str">
        <x:v>7.3.2</x:v>
      </x:c>
      <x:c r="B92" s="770" t="str">
        <x:v>Elaboración del Manual Técnico</x:v>
      </x:c>
      <x:c r="C92" s="797" t="n">
        <x:v>46299</x:v>
      </x:c>
      <x:c r="D92" s="797" t="n">
        <x:v>46299</x:v>
      </x:c>
      <x:c r="E92" s="772" t="str">
        <x:v>—</x:v>
      </x:c>
    </x:row>
    <x:row r="93" ht="34" customHeight="1">
      <x:c r="A93" s="787" t="str">
        <x:v>8.1.1</x:v>
      </x:c>
      <x:c r="B93" s="760" t="str">
        <x:v>Sprint Planning Sprint 8</x:v>
      </x:c>
      <x:c r="C93" s="795" t="n">
        <x:v>46302</x:v>
      </x:c>
      <x:c r="D93" s="795" t="n">
        <x:v>46302</x:v>
      </x:c>
      <x:c r="E93" s="762" t="str">
        <x:v>—</x:v>
      </x:c>
    </x:row>
    <x:row r="94" ht="34" customHeight="1">
      <x:c r="A94" s="787" t="str">
        <x:v>8.1.2</x:v>
      </x:c>
      <x:c r="B94" s="760" t="str">
        <x:v>Sprint Review + Retrospectiva Sprint 8</x:v>
      </x:c>
      <x:c r="C94" s="795" t="n">
        <x:v>46308</x:v>
      </x:c>
      <x:c r="D94" s="795" t="n">
        <x:v>46308</x:v>
      </x:c>
      <x:c r="E94" s="762" t="str">
        <x:v>—</x:v>
      </x:c>
    </x:row>
    <x:row r="95" ht="34" customHeight="1">
      <x:c r="A95" s="787" t="str">
        <x:v>8.2.1</x:v>
      </x:c>
      <x:c r="B95" s="760" t="str">
        <x:v>Preparación del entorno de producción</x:v>
      </x:c>
      <x:c r="C95" s="795" t="n">
        <x:v>46302</x:v>
      </x:c>
      <x:c r="D95" s="795" t="n">
        <x:v>46302</x:v>
      </x:c>
      <x:c r="E95" s="762" t="str">
        <x:v>—</x:v>
      </x:c>
    </x:row>
    <x:row r="96" ht="34" customHeight="1">
      <x:c r="A96" s="787" t="str">
        <x:v>8.2.2</x:v>
      </x:c>
      <x:c r="B96" s="760" t="str">
        <x:v>Despliegue del Backend en producción</x:v>
      </x:c>
      <x:c r="C96" s="795" t="n">
        <x:v>46303</x:v>
      </x:c>
      <x:c r="D96" s="795" t="n">
        <x:v>46303</x:v>
      </x:c>
      <x:c r="E96" s="762" t="str">
        <x:v>—</x:v>
      </x:c>
    </x:row>
    <x:row r="97" ht="34" customHeight="1">
      <x:c r="A97" s="787" t="str">
        <x:v>8.2.3</x:v>
      </x:c>
      <x:c r="B97" s="760" t="str">
        <x:v>Despliegue del Frontend Web en producción</x:v>
      </x:c>
      <x:c r="C97" s="795" t="n">
        <x:v>46303</x:v>
      </x:c>
      <x:c r="D97" s="795" t="n">
        <x:v>46303</x:v>
      </x:c>
      <x:c r="E97" s="762" t="str">
        <x:v>—</x:v>
      </x:c>
    </x:row>
    <x:row r="98" ht="34" customHeight="1">
      <x:c r="A98" s="787" t="str">
        <x:v>8.2.4</x:v>
      </x:c>
      <x:c r="B98" s="760" t="str">
        <x:v>Generación y distribución de la app móvil (APK)</x:v>
      </x:c>
      <x:c r="C98" s="795" t="n">
        <x:v>46303</x:v>
      </x:c>
      <x:c r="D98" s="795" t="n">
        <x:v>46303</x:v>
      </x:c>
      <x:c r="E98" s="762" t="str">
        <x:v>—</x:v>
      </x:c>
    </x:row>
    <x:row r="99" ht="34" customHeight="1">
      <x:c r="A99" s="787" t="str">
        <x:v>8.3.1</x:v>
      </x:c>
      <x:c r="B99" s="760" t="str">
        <x:v>Migración y carga inicial de datos maestros</x:v>
      </x:c>
      <x:c r="C99" s="795" t="n">
        <x:v>46304</x:v>
      </x:c>
      <x:c r="D99" s="795" t="n">
        <x:v>46304</x:v>
      </x:c>
      <x:c r="E99" s="762" t="str">
        <x:v>—</x:v>
      </x:c>
    </x:row>
    <x:row r="100" ht="34" customHeight="1">
      <x:c r="A100" s="787" t="str">
        <x:v>8.4.1</x:v>
      </x:c>
      <x:c r="B100" s="760" t="str">
        <x:v>Pruebas de humo (smoke testing) en producción</x:v>
      </x:c>
      <x:c r="C100" s="795" t="n">
        <x:v>46304</x:v>
      </x:c>
      <x:c r="D100" s="795" t="n">
        <x:v>46304</x:v>
      </x:c>
      <x:c r="E100" s="762" t="str">
        <x:v>—</x:v>
      </x:c>
    </x:row>
    <x:row r="101" ht="34" customHeight="1">
      <x:c r="A101" s="787" t="str">
        <x:v>8.5.1</x:v>
      </x:c>
      <x:c r="B101" s="760" t="str">
        <x:v>Elaboración de material de capacitación</x:v>
      </x:c>
      <x:c r="C101" s="795" t="n">
        <x:v>46303</x:v>
      </x:c>
      <x:c r="D101" s="795" t="n">
        <x:v>46303</x:v>
      </x:c>
      <x:c r="E101" s="762" t="str">
        <x:v>—</x:v>
      </x:c>
    </x:row>
    <x:row r="102" ht="34" customHeight="1">
      <x:c r="A102" s="787" t="str">
        <x:v>8.5.2</x:v>
      </x:c>
      <x:c r="B102" s="760" t="str">
        <x:v>HU25: Capacitación a administradores del sistema (módulo Web)</x:v>
      </x:c>
      <x:c r="C102" s="795" t="n">
        <x:v>46305</x:v>
      </x:c>
      <x:c r="D102" s="795" t="n">
        <x:v>46305</x:v>
      </x:c>
      <x:c r="E102" s="768" t="str">
        <x:v>HU25: Como administrador, quiero recibir capacitación sobre el uso del sistema web para gestionar eficientemente las operaciones.</x:v>
      </x:c>
    </x:row>
    <x:row r="103" ht="34" customHeight="1">
      <x:c r="A103" s="787" t="str">
        <x:v>8.5.3</x:v>
      </x:c>
      <x:c r="B103" s="760" t="str">
        <x:v>HU26: Capacitación a acopiadores / usuarios finales (App Móvil) en Huata</x:v>
      </x:c>
      <x:c r="C103" s="795" t="n">
        <x:v>46306</x:v>
      </x:c>
      <x:c r="D103" s="795" t="n">
        <x:v>46306</x:v>
      </x:c>
      <x:c r="E103" s="768" t="str">
        <x:v>HU26: Como acopiador, quiero recibir capacitación sobre el uso de la aplicación móvil en campo para aprender a registrar los recojos de leche correctamente.</x:v>
      </x:c>
    </x:row>
    <x:row r="104" ht="34" customHeight="1">
      <x:c r="A104" s="787" t="str">
        <x:v>8.5.4</x:v>
      </x:c>
      <x:c r="B104" s="760" t="str">
        <x:v>HU27: Soporte post-implementación (hipercare)</x:v>
      </x:c>
      <x:c r="C104" s="795" t="n">
        <x:v>46306</x:v>
      </x:c>
      <x:c r="D104" s="795" t="n">
        <x:v>46307</x:v>
      </x:c>
      <x:c r="E104" s="768" t="str">
        <x:v>HU27: Como usuario del sistema, quiero contar con soporte post-implementación para resolver dudas o problemas durante los primeros días de uso.</x:v>
      </x:c>
    </x:row>
    <x:row r="105" ht="34" customHeight="1">
      <x:c r="A105" s="788" t="str">
        <x:v>9.1.1</x:v>
      </x:c>
      <x:c r="B105" s="764" t="str">
        <x:v>Elaboración del Acta de Cierre del Proyecto</x:v>
      </x:c>
      <x:c r="C105" s="796" t="n">
        <x:v>46309</x:v>
      </x:c>
      <x:c r="D105" s="796" t="n">
        <x:v>46309</x:v>
      </x:c>
      <x:c r="E105" s="766" t="str">
        <x:v>—</x:v>
      </x:c>
    </x:row>
    <x:row r="106" ht="34" customHeight="1">
      <x:c r="A106" s="788" t="str">
        <x:v>9.1.2</x:v>
      </x:c>
      <x:c r="B106" s="764" t="str">
        <x:v>Firma de conformidad final del cliente</x:v>
      </x:c>
      <x:c r="C106" s="796" t="n">
        <x:v>46310</x:v>
      </x:c>
      <x:c r="D106" s="796" t="n">
        <x:v>46310</x:v>
      </x:c>
      <x:c r="E106" s="766" t="str">
        <x:v>—</x:v>
      </x:c>
    </x:row>
    <x:row r="107" ht="34" customHeight="1">
      <x:c r="A107" s="788" t="str">
        <x:v>9.1.3</x:v>
      </x:c>
      <x:c r="B107" s="764" t="str">
        <x:v>Reunión de cierre con stakeholders</x:v>
      </x:c>
      <x:c r="C107" s="796" t="n">
        <x:v>46310</x:v>
      </x:c>
      <x:c r="D107" s="796" t="n">
        <x:v>46310</x:v>
      </x:c>
      <x:c r="E107" s="766" t="str">
        <x:v>—</x:v>
      </x:c>
    </x:row>
    <x:row r="108" ht="34" customHeight="1">
      <x:c r="A108" s="792" t="str">
        <x:v>9.2.1</x:v>
      </x:c>
      <x:c r="B108" s="782" t="str">
        <x:v>Entrega final de documentación</x:v>
      </x:c>
      <x:c r="C108" s="800" t="n">
        <x:v>46309</x:v>
      </x:c>
      <x:c r="D108" s="800" t="n">
        <x:v>46309</x:v>
      </x:c>
      <x:c r="E108" s="784" t="str">
        <x:v>—</x:v>
      </x:c>
    </x:row>
  </x:sheetData>
  <x:mergeCells>
    <x:mergeCell ref="A25:S25"/>
    <x:mergeCell ref="A4:D4"/>
    <x:mergeCell ref="E4:G4"/>
    <x:mergeCell ref="H4:J4"/>
    <x:mergeCell ref="K4:M4"/>
    <x:mergeCell ref="N4:O4"/>
    <x:mergeCell ref="P4:Q4"/>
    <x:mergeCell ref="R4:S4"/>
    <x:mergeCell ref="H6:J6"/>
    <x:mergeCell ref="K6:M6"/>
    <x:mergeCell ref="P6:Q6"/>
    <x:mergeCell ref="R6:S6"/>
    <x:mergeCell ref="A2:S2"/>
    <x:mergeCell ref="A19:S19"/>
    <x:mergeCell ref="A1:E1"/>
    <x:mergeCell ref="A2:E2"/>
  </x:mergeCells>
  <x:conditionalFormatting sqref="G8:G23">
    <x:cfRule type="expression" dxfId="9" priority="1">
      <x:formula>G8="Completado"</x:formula>
    </x:cfRule>
    <x:cfRule type="expression" dxfId="10" priority="2">
      <x:formula>G8="En curso"</x:formula>
    </x:cfRule>
    <x:cfRule type="expression" dxfId="11" priority="3">
      <x:formula>G8="Bloqueado"</x:formula>
    </x:cfRule>
  </x:conditionalFormatting>
  <x:conditionalFormatting sqref="G8:G17">
    <x:cfRule type="expression" dxfId="12" priority="4">
      <x:formula>G8="Cerrado"</x:formula>
    </x:cfRule>
    <x:cfRule type="expression" dxfId="13" priority="5">
      <x:formula>G8="En progreso"</x:formula>
    </x:cfRule>
    <x:cfRule type="expression" dxfId="14" priority="6">
      <x:formula>G8="Bloqueado"</x:formula>
    </x:cfRule>
  </x:conditionalFormatting>
  <x:dataValidations count="2">
    <x:dataValidation type="list" sqref="G8:G23">
      <x:formula1>"Planificado,En curso,Completado,Bloqueado"</x:formula1>
    </x:dataValidation>
    <x:dataValidation type="list" sqref="G8:G17">
      <x:formula1>"Cerrado,Planificado,En progreso,Bloqueado"</x:formula1>
    </x:dataValidation>
  </x:dataValidations>
  <x:pageMargins left="0.7" right="0.7" top="0.75" bottom="0.75" header="0.3" footer="0.3"/>
</x:worksheet>
</file>