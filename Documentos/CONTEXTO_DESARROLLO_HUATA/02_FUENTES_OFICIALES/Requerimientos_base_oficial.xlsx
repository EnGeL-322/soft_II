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44f8977492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09ca37b5b3e4da7"/>
    <x:sheet xmlns:r="http://schemas.openxmlformats.org/officeDocument/2006/relationships" name="Interesados" sheetId="2" r:id="Re9deb6f235f9448d"/>
    <x:sheet xmlns:r="http://schemas.openxmlformats.org/officeDocument/2006/relationships" name="Reglas de Negocio" sheetId="3" r:id="Ra0f037593d094d20"/>
    <x:sheet xmlns:r="http://schemas.openxmlformats.org/officeDocument/2006/relationships" name="Requerimientos" sheetId="4" r:id="Rcbd144c12ddd470e"/>
    <x:sheet xmlns:r="http://schemas.openxmlformats.org/officeDocument/2006/relationships" name="Casos de Prueba" sheetId="5" r:id="R918b2195a9c04b00"/>
    <x:sheet xmlns:r="http://schemas.openxmlformats.org/officeDocument/2006/relationships" name="Trazabilidad" sheetId="6" r:id="R5f4d2ef43009463c"/>
    <x:sheet xmlns:r="http://schemas.openxmlformats.org/officeDocument/2006/relationships" name="Cronograma" sheetId="7" r:id="R8b22949b444440c1"/>
    <x:sheet xmlns:r="http://schemas.openxmlformats.org/officeDocument/2006/relationships" name="Cambios" sheetId="8" r:id="R2710668f2f994a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573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9"/>
      <x:color rgb="FF17365D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  <x:font>
      <x:b/>
      <x:sz val="9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4D6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30">
    <x:border/>
    <x:border/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  <x:bottom/>
    </x:border>
    <x:border>
      <x:top/>
      <x:bottom/>
    </x:border>
    <x:border>
      <x:top/>
    </x:border>
    <x:border>
      <x:bottom/>
    </x:border>
    <x:border>
      <x:top/>
    </x:border>
    <x:border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3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4" fillId="3" borderId="1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2" xfId="0" applyNumberFormat="1" applyFont="1" applyFill="1" applyBorder="1"/>
    <x:xf numFmtId="0" fontId="4" fillId="3" borderId="13" xfId="0" applyNumberFormat="1" applyFont="1" applyFill="1" applyBorder="1"/>
    <x:xf numFmtId="0" fontId="4" fillId="3" borderId="14" xfId="0" applyNumberFormat="1" applyFont="1" applyFill="1" applyBorder="1"/>
    <x:xf numFmtId="0" fontId="4" fillId="3" borderId="15" xfId="0" applyNumberFormat="1" applyFont="1" applyFill="1" applyBorder="1"/>
    <x:xf numFmtId="0" fontId="4" fillId="3" borderId="16" xfId="0" applyNumberFormat="1" applyFont="1" applyFill="1" applyBorder="1"/>
    <x:xf numFmtId="0" fontId="4" fillId="3" borderId="17" xfId="0" applyNumberFormat="1" applyFont="1" applyFill="1" applyBorder="1"/>
    <x:xf numFmtId="0" fontId="4" fillId="3" borderId="12" xfId="0" applyNumberFormat="1" applyFont="1" applyFill="1" applyBorder="1" applyAlignment="1">
      <x:alignment wrapText="1"/>
    </x:xf>
    <x:xf numFmtId="0" fontId="4" fillId="3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4" fillId="3" borderId="15" xfId="0" applyNumberFormat="1" applyFont="1" applyFill="1" applyBorder="1" applyAlignment="1">
      <x:alignment wrapText="1"/>
    </x:xf>
    <x:xf numFmtId="0" fontId="4" fillId="3" borderId="16" xfId="0" applyNumberFormat="1" applyFont="1" applyFill="1" applyBorder="1" applyAlignment="1">
      <x:alignment wrapText="1"/>
    </x:xf>
    <x:xf numFmtId="0" fontId="4" fillId="3" borderId="17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vertical="top" wrapText="1"/>
    </x:xf>
    <x:xf numFmtId="0" fontId="4" fillId="3" borderId="13" xfId="0" applyNumberFormat="1" applyFont="1" applyFill="1" applyBorder="1" applyAlignment="1">
      <x:alignment vertical="top" wrapText="1"/>
    </x:xf>
    <x:xf numFmtId="0" fontId="4" fillId="3" borderId="14" xfId="0" applyNumberFormat="1" applyFont="1" applyFill="1" applyBorder="1" applyAlignment="1">
      <x:alignment vertical="top" wrapText="1"/>
    </x:xf>
    <x:xf numFmtId="0" fontId="4" fillId="3" borderId="15" xfId="0" applyNumberFormat="1" applyFont="1" applyFill="1" applyBorder="1" applyAlignment="1">
      <x:alignment vertical="top" wrapText="1"/>
    </x:xf>
    <x:xf numFmtId="0" fontId="4" fillId="3" borderId="16" xfId="0" applyNumberFormat="1" applyFont="1" applyFill="1" applyBorder="1" applyAlignment="1">
      <x:alignment vertical="top" wrapText="1"/>
    </x:xf>
    <x:xf numFmtId="0" fontId="4" fillId="3" borderId="17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  <x:xf numFmtId="0" fontId="5" fillId="3" borderId="8" xfId="0" applyNumberFormat="1" applyFont="1" applyFill="1" applyBorder="1" applyAlignment="1">
      <x:alignment vertical="top" wrapText="1"/>
    </x:xf>
    <x:xf numFmtId="0" fontId="5" fillId="3" borderId="10" xfId="0" applyNumberFormat="1" applyFont="1" applyFill="1" applyBorder="1" applyAlignment="1">
      <x:alignment vertical="top" wrapText="1"/>
    </x:xf>
    <x:xf numFmtId="0" fontId="5" fillId="3" borderId="12" xfId="0" applyNumberFormat="1" applyFont="1" applyFill="1" applyBorder="1" applyAlignment="1">
      <x:alignment vertical="top" wrapText="1"/>
    </x:xf>
    <x:xf numFmtId="0" fontId="5" fillId="3" borderId="14" xfId="0" applyNumberFormat="1" applyFont="1" applyFill="1" applyBorder="1" applyAlignment="1">
      <x:alignment vertical="top" wrapText="1"/>
    </x:xf>
    <x:xf numFmtId="0" fontId="5" fillId="3" borderId="16" xfId="0" applyNumberFormat="1" applyFont="1" applyFill="1" applyBorder="1" applyAlignment="1">
      <x:alignment vertical="top" wrapText="1"/>
    </x:xf>
    <x:xf numFmtId="0" fontId="3" fillId="2" borderId="18" xfId="0" applyNumberFormat="1" applyFont="1" applyFill="1" applyBorder="1"/>
    <x:xf numFmtId="0" fontId="3" fillId="2" borderId="18" xfId="0" applyNumberFormat="1" applyFont="1" applyFill="1" applyBorder="1" applyAlignment="1">
      <x:alignment wrapText="1"/>
    </x:xf>
    <x:xf numFmtId="0" fontId="3" fillId="2" borderId="18" xfId="0" applyNumberFormat="1" applyFont="1" applyFill="1" applyBorder="1" applyAlignment="1">
      <x:alignment horizontal="center"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/>
    <x:xf numFmtId="0" fontId="3" fillId="2" borderId="19" xfId="0" applyNumberFormat="1" applyFont="1" applyFill="1" applyBorder="1" applyAlignment="1">
      <x:alignment wrapText="1"/>
    </x:xf>
    <x:xf numFmtId="0" fontId="3" fillId="2" borderId="19" xfId="0" applyNumberFormat="1" applyFont="1" applyFill="1" applyBorder="1" applyAlignment="1">
      <x:alignment horizont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4" fillId="3" borderId="20" xfId="0" applyNumberFormat="1" applyFont="1" applyFill="1" applyBorder="1"/>
    <x:xf numFmtId="0" fontId="4" fillId="3" borderId="21" xfId="0" applyNumberFormat="1" applyFont="1" applyFill="1" applyBorder="1"/>
    <x:xf numFmtId="0" fontId="4" fillId="3" borderId="2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21" xfId="0" applyNumberFormat="1" applyFont="1" applyFill="1" applyBorder="1" applyAlignment="1">
      <x:alignment wrapText="1"/>
    </x:xf>
    <x:xf numFmtId="0" fontId="4" fillId="3" borderId="2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21" xfId="0" applyNumberFormat="1" applyFont="1" applyFill="1" applyBorder="1" applyAlignment="1">
      <x:alignment vertical="top" wrapText="1"/>
    </x:xf>
    <x:xf numFmtId="0" fontId="4" fillId="3" borderId="22" xfId="0" applyNumberFormat="1" applyFont="1" applyFill="1" applyBorder="1"/>
    <x:xf numFmtId="0" fontId="4" fillId="3" borderId="23" xfId="0" applyNumberFormat="1" applyFont="1" applyFill="1" applyBorder="1"/>
    <x:xf numFmtId="0" fontId="4" fillId="3" borderId="22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23" xfId="0" applyNumberFormat="1" applyFont="1" applyFill="1" applyBorder="1" applyAlignment="1">
      <x:alignment wrapText="1"/>
    </x:xf>
    <x:xf numFmtId="0" fontId="4" fillId="3" borderId="22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23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4" fillId="4" borderId="20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4" borderId="20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0" fontId="5" fillId="4" borderId="24" xfId="0" applyNumberFormat="1" applyFont="1" applyFill="1" applyBorder="1" applyAlignment="1">
      <x:alignment vertical="top" wrapText="1"/>
    </x:xf>
    <x:xf numFmtId="0" fontId="5" fillId="4" borderId="25" xfId="0" applyNumberFormat="1" applyFont="1" applyFill="1" applyBorder="1" applyAlignment="1">
      <x:alignment vertical="top" wrapText="1"/>
    </x:xf>
    <x:xf numFmtId="0" fontId="5" fillId="4" borderId="26" xfId="0" applyNumberFormat="1" applyFont="1" applyFill="1" applyBorder="1" applyAlignment="1">
      <x:alignment vertical="top" wrapText="1"/>
    </x:xf>
    <x:xf numFmtId="0" fontId="5" fillId="4" borderId="24" xfId="0" applyNumberFormat="1" applyFont="1" applyFill="1" applyBorder="1" applyAlignment="1">
      <x:alignment horizontal="center" vertical="top" wrapText="1"/>
    </x:xf>
    <x:xf numFmtId="0" fontId="5" fillId="4" borderId="25" xfId="0" applyNumberFormat="1" applyFont="1" applyFill="1" applyBorder="1" applyAlignment="1">
      <x:alignment horizontal="center" vertical="top" wrapText="1"/>
    </x:xf>
    <x:xf numFmtId="0" fontId="5" fillId="4" borderId="26" xfId="0" applyNumberFormat="1" applyFont="1" applyFill="1" applyBorder="1" applyAlignment="1">
      <x:alignment horizontal="center"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22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5" fillId="4" borderId="22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4" borderId="27" xfId="0" applyNumberFormat="1" applyFont="1" applyFill="1" applyBorder="1" applyAlignment="1">
      <x:alignment vertical="top" wrapText="1"/>
    </x:xf>
    <x:xf numFmtId="0" fontId="5" fillId="4" borderId="28" xfId="0" applyNumberFormat="1" applyFont="1" applyFill="1" applyBorder="1" applyAlignment="1">
      <x:alignment vertical="top" wrapText="1"/>
    </x:xf>
    <x:xf numFmtId="0" fontId="5" fillId="4" borderId="29" xfId="0" applyNumberFormat="1" applyFont="1" applyFill="1" applyBorder="1" applyAlignment="1">
      <x:alignment vertical="top" wrapText="1"/>
    </x:xf>
    <x:xf numFmtId="0" fontId="5" fillId="4" borderId="27" xfId="0" applyNumberFormat="1" applyFont="1" applyFill="1" applyBorder="1" applyAlignment="1">
      <x:alignment horizontal="center" vertical="top" wrapText="1"/>
    </x:xf>
    <x:xf numFmtId="0" fontId="5" fillId="4" borderId="28" xfId="0" applyNumberFormat="1" applyFont="1" applyFill="1" applyBorder="1" applyAlignment="1">
      <x:alignment horizontal="center" vertical="top" wrapText="1"/>
    </x:xf>
    <x:xf numFmtId="0" fontId="5" fillId="4" borderId="29" xfId="0" applyNumberFormat="1" applyFont="1" applyFill="1" applyBorder="1" applyAlignment="1">
      <x:alignment horizontal="center"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5" xfId="0" applyNumberFormat="1" applyFont="1" applyFill="1" applyBorder="1" applyAlignment="1">
      <x:alignment vertical="top" wrapText="1"/>
    </x:xf>
    <x:xf numFmtId="0" fontId="5" fillId="4" borderId="14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15" xfId="0" applyNumberFormat="1" applyFont="1" applyFill="1" applyBorder="1" applyAlignment="1">
      <x:alignment vertical="top" wrapText="1"/>
    </x:xf>
    <x:xf numFmtId="0" fontId="6" fillId="3" borderId="8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9" xfId="0" applyNumberFormat="1" applyFont="1" applyFill="1" applyBorder="1" applyAlignment="1">
      <x:alignment vertical="top" wrapText="1"/>
    </x:xf>
    <x:xf numFmtId="0" fontId="6" fillId="3" borderId="14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6" fillId="3" borderId="15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6" fillId="3" borderId="21" xfId="0" applyNumberFormat="1" applyFont="1" applyFill="1" applyBorder="1" applyAlignment="1">
      <x:alignment vertical="top" wrapText="1"/>
    </x:xf>
    <x:xf numFmtId="0" fontId="6" fillId="3" borderId="11" xfId="0" applyNumberFormat="1" applyFont="1" applyFill="1" applyBorder="1" applyAlignment="1">
      <x:alignment vertical="top" wrapText="1"/>
    </x:xf>
    <x:xf numFmtId="0" fontId="6" fillId="3" borderId="16" xfId="0" applyNumberFormat="1" applyFont="1" applyFill="1" applyBorder="1" applyAlignment="1">
      <x:alignment vertical="top" wrapText="1"/>
    </x:xf>
    <x:xf numFmtId="0" fontId="6" fillId="3" borderId="23" xfId="0" applyNumberFormat="1" applyFont="1" applyFill="1" applyBorder="1" applyAlignment="1">
      <x:alignment vertical="top" wrapText="1"/>
    </x:xf>
    <x:xf numFmtId="0" fontId="6" fillId="3" borderId="17" xfId="0" applyNumberFormat="1" applyFont="1" applyFill="1" applyBorder="1" applyAlignment="1">
      <x:alignment vertical="top" wrapText="1"/>
    </x:xf>
    <x:xf numFmtId="0" fontId="6" fillId="3" borderId="8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6" fillId="3" borderId="9" xfId="0" applyNumberFormat="1" applyFont="1" applyFill="1" applyBorder="1" applyAlignment="1">
      <x:alignment horizontal="center" vertical="top" wrapText="1"/>
    </x:xf>
    <x:xf numFmtId="0" fontId="6" fillId="3" borderId="10" xfId="0" applyNumberFormat="1" applyFont="1" applyFill="1" applyBorder="1" applyAlignment="1">
      <x:alignment horizontal="center" vertical="top" wrapText="1"/>
    </x:xf>
    <x:xf numFmtId="0" fontId="6" fillId="3" borderId="21" xfId="0" applyNumberFormat="1" applyFont="1" applyFill="1" applyBorder="1" applyAlignment="1">
      <x:alignment horizontal="center" vertical="top" wrapText="1"/>
    </x:xf>
    <x:xf numFmtId="0" fontId="6" fillId="3" borderId="11" xfId="0" applyNumberFormat="1" applyFont="1" applyFill="1" applyBorder="1" applyAlignment="1">
      <x:alignment horizontal="center" vertical="top" wrapText="1"/>
    </x:xf>
    <x:xf numFmtId="0" fontId="6" fillId="3" borderId="14" xfId="0" applyNumberFormat="1" applyFont="1" applyFill="1" applyBorder="1" applyAlignment="1">
      <x:alignment horizontal="center" vertical="top" wrapText="1"/>
    </x:xf>
    <x:xf numFmtId="0" fontId="6" fillId="3" borderId="1" xfId="0" applyNumberFormat="1" applyFont="1" applyFill="1" applyBorder="1" applyAlignment="1">
      <x:alignment horizontal="center" vertical="top" wrapText="1"/>
    </x:xf>
    <x:xf numFmtId="0" fontId="6" fillId="3" borderId="15" xfId="0" applyNumberFormat="1" applyFont="1" applyFill="1" applyBorder="1" applyAlignment="1">
      <x:alignment horizontal="center" vertical="top" wrapText="1"/>
    </x:xf>
    <x:xf numFmtId="0" fontId="6" fillId="3" borderId="16" xfId="0" applyNumberFormat="1" applyFont="1" applyFill="1" applyBorder="1" applyAlignment="1">
      <x:alignment horizontal="center" vertical="top" wrapText="1"/>
    </x:xf>
    <x:xf numFmtId="0" fontId="6" fillId="3" borderId="23" xfId="0" applyNumberFormat="1" applyFont="1" applyFill="1" applyBorder="1" applyAlignment="1">
      <x:alignment horizontal="center" vertical="top" wrapText="1"/>
    </x:xf>
    <x:xf numFmtId="0" fontId="6" fillId="3" borderId="17" xfId="0" applyNumberFormat="1" applyFont="1" applyFill="1" applyBorder="1" applyAlignment="1">
      <x:alignment horizontal="center" vertical="top" wrapText="1"/>
    </x:xf>
    <x:xf numFmtId="0" fontId="4" fillId="3" borderId="6" xfId="0" applyNumberFormat="1" applyFont="1" applyFill="1" applyBorder="1" applyAlignment="1">
      <x:alignment horizontal="center" vertical="top" wrapText="1"/>
    </x:xf>
    <x:xf numFmtId="0" fontId="4" fillId="3" borderId="8" xfId="0" applyNumberFormat="1" applyFont="1" applyFill="1" applyBorder="1" applyAlignment="1">
      <x:alignment horizontal="center" vertical="top" wrapText="1"/>
    </x:xf>
    <x:xf numFmtId="0" fontId="4" fillId="3" borderId="10" xfId="0" applyNumberFormat="1" applyFont="1" applyFill="1" applyBorder="1" applyAlignment="1">
      <x:alignment horizontal="center" vertical="top" wrapText="1"/>
    </x:xf>
    <x:xf numFmtId="0" fontId="4" fillId="3" borderId="12" xfId="0" applyNumberFormat="1" applyFont="1" applyFill="1" applyBorder="1" applyAlignment="1">
      <x:alignment horizontal="center" vertical="top" wrapText="1"/>
    </x:xf>
    <x:xf numFmtId="0" fontId="4" fillId="3" borderId="14" xfId="0" applyNumberFormat="1" applyFont="1" applyFill="1" applyBorder="1" applyAlignment="1">
      <x:alignment horizontal="center" vertical="top" wrapText="1"/>
    </x:xf>
    <x:xf numFmtId="0" fontId="4" fillId="3" borderId="16" xfId="0" applyNumberFormat="1" applyFont="1" applyFill="1" applyBorder="1" applyAlignment="1">
      <x:alignment horizontal="center" vertical="top" wrapText="1"/>
    </x:xf>
    <x:xf numFmtId="0" fontId="5" fillId="3" borderId="6" xfId="0" applyNumberFormat="1" applyFont="1" applyFill="1" applyBorder="1" applyAlignment="1">
      <x:alignment horizontal="center" vertical="top" wrapText="1"/>
    </x:xf>
    <x:xf numFmtId="0" fontId="5" fillId="3" borderId="20" xfId="0" applyNumberFormat="1" applyFont="1" applyFill="1" applyBorder="1" applyAlignment="1">
      <x:alignment vertical="top" wrapText="1"/>
    </x:xf>
    <x:xf numFmtId="0" fontId="5" fillId="3" borderId="8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0" xfId="0" applyNumberFormat="1" applyFont="1" applyFill="1" applyBorder="1" applyAlignment="1">
      <x:alignment horizontal="center" vertical="top" wrapText="1"/>
    </x:xf>
    <x:xf numFmtId="0" fontId="5" fillId="3" borderId="21" xfId="0" applyNumberFormat="1" applyFont="1" applyFill="1" applyBorder="1" applyAlignment="1">
      <x:alignment vertical="top" wrapText="1"/>
    </x:xf>
    <x:xf numFmtId="0" fontId="5" fillId="3" borderId="12" xfId="0" applyNumberFormat="1" applyFont="1" applyFill="1" applyBorder="1" applyAlignment="1">
      <x:alignment horizontal="center" vertical="top" wrapText="1"/>
    </x:xf>
    <x:xf numFmtId="0" fontId="5" fillId="3" borderId="22" xfId="0" applyNumberFormat="1" applyFont="1" applyFill="1" applyBorder="1" applyAlignment="1">
      <x:alignment vertical="top" wrapText="1"/>
    </x:xf>
    <x:xf numFmtId="0" fontId="5" fillId="3" borderId="14" xfId="0" applyNumberFormat="1" applyFont="1" applyFill="1" applyBorder="1" applyAlignment="1">
      <x:alignment horizontal="center"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6" xfId="0" applyNumberFormat="1" applyFont="1" applyFill="1" applyBorder="1" applyAlignment="1">
      <x:alignment horizontal="center" vertical="top" wrapText="1"/>
    </x:xf>
    <x:xf numFmtId="0" fontId="5" fillId="3" borderId="2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6" xfId="0" applyNumberFormat="1" applyFont="1" applyFill="1" applyBorder="1"/>
    <x:xf numFmtId="0" fontId="4" fillId="6" borderId="20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21" xfId="0" applyNumberFormat="1" applyFont="1" applyFill="1" applyBorder="1"/>
    <x:xf numFmtId="0" fontId="4" fillId="6" borderId="11" xfId="0" applyNumberFormat="1" applyFont="1" applyFill="1" applyBorder="1"/>
    <x:xf numFmtId="0" fontId="4" fillId="6" borderId="6" xfId="0" applyNumberFormat="1" applyFont="1" applyFill="1" applyBorder="1" applyAlignment="1">
      <x:alignment wrapText="1"/>
    </x:xf>
    <x:xf numFmtId="0" fontId="4" fillId="6" borderId="20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21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20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6" borderId="21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2" xfId="0" applyNumberFormat="1" applyFont="1" applyFill="1" applyBorder="1"/>
    <x:xf numFmtId="0" fontId="4" fillId="6" borderId="2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23" xfId="0" applyNumberFormat="1" applyFont="1" applyFill="1" applyBorder="1"/>
    <x:xf numFmtId="0" fontId="4" fillId="6" borderId="17" xfId="0" applyNumberFormat="1" applyFont="1" applyFill="1" applyBorder="1"/>
    <x:xf numFmtId="0" fontId="4" fillId="6" borderId="12" xfId="0" applyNumberFormat="1" applyFont="1" applyFill="1" applyBorder="1" applyAlignment="1">
      <x:alignment wrapText="1"/>
    </x:xf>
    <x:xf numFmtId="0" fontId="4" fillId="6" borderId="2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23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22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23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200" fontId="4" fillId="3" borderId="2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200" fontId="4" fillId="3" borderId="21" xfId="0" applyNumberFormat="1" applyFont="1" applyFill="1" applyBorder="1" applyAlignment="1">
      <x:alignment vertical="top" wrapText="1"/>
    </x:xf>
    <x:xf numFmtId="200" fontId="4" fillId="3" borderId="22" xfId="0" applyNumberFormat="1" applyFont="1" applyFill="1" applyBorder="1" applyAlignment="1">
      <x:alignment vertical="top" wrapText="1"/>
    </x:xf>
    <x:xf numFmtId="200" fontId="4" fillId="3" borderId="1" xfId="0" applyNumberFormat="1" applyFont="1" applyFill="1" applyBorder="1" applyAlignment="1">
      <x:alignment vertical="top" wrapText="1"/>
    </x:xf>
    <x:xf numFmtId="200" fontId="4" fillId="3" borderId="23" xfId="0" applyNumberFormat="1" applyFont="1" applyFill="1" applyBorder="1" applyAlignment="1">
      <x:alignment vertical="top" wrapText="1"/>
    </x:xf>
    <x:xf numFmtId="201" fontId="4" fillId="3" borderId="20" xfId="0" applyNumberFormat="1" applyFont="1" applyFill="1" applyBorder="1" applyAlignment="1">
      <x:alignment vertical="top" wrapText="1"/>
    </x:xf>
    <x:xf numFmtId="201" fontId="4" fillId="3" borderId="0" xfId="0" applyNumberFormat="1" applyFont="1" applyFill="1" applyBorder="1" applyAlignment="1">
      <x:alignment vertical="top" wrapText="1"/>
    </x:xf>
    <x:xf numFmtId="201" fontId="4" fillId="3" borderId="21" xfId="0" applyNumberFormat="1" applyFont="1" applyFill="1" applyBorder="1" applyAlignment="1">
      <x:alignment vertical="top" wrapText="1"/>
    </x:xf>
    <x:xf numFmtId="201" fontId="4" fillId="3" borderId="22" xfId="0" applyNumberFormat="1" applyFont="1" applyFill="1" applyBorder="1" applyAlignment="1">
      <x:alignment vertical="top" wrapText="1"/>
    </x:xf>
    <x:xf numFmtId="201" fontId="4" fillId="3" borderId="1" xfId="0" applyNumberFormat="1" applyFont="1" applyFill="1" applyBorder="1" applyAlignment="1">
      <x:alignment vertical="top" wrapText="1"/>
    </x:xf>
    <x:xf numFmtId="201" fontId="4" fillId="3" borderId="23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4" borderId="20" xfId="0" applyNumberFormat="1" applyFont="1" applyFill="1" applyBorder="1" applyAlignment="1">
      <x:alignment horizontal="center" vertical="top" wrapText="1"/>
    </x:xf>
    <x:xf numFmtId="0" fontId="4" fillId="3" borderId="20" xfId="0" applyNumberFormat="1" applyFont="1" applyFill="1" applyBorder="1" applyAlignment="1">
      <x:alignment horizontal="center" vertical="top" wrapText="1"/>
    </x:xf>
    <x:xf numFmtId="0" fontId="4" fillId="3" borderId="7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9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3" borderId="21" xfId="0" applyNumberFormat="1" applyFont="1" applyFill="1" applyBorder="1" applyAlignment="1">
      <x:alignment horizontal="center" vertical="top" wrapText="1"/>
    </x:xf>
    <x:xf numFmtId="0" fontId="4" fillId="6" borderId="11" xfId="0" applyNumberFormat="1" applyFont="1" applyFill="1" applyBorder="1" applyAlignment="1">
      <x:alignment horizontal="center" vertical="top" wrapText="1"/>
    </x:xf>
    <x:xf numFmtId="0" fontId="4" fillId="4" borderId="22" xfId="0" applyNumberFormat="1" applyFont="1" applyFill="1" applyBorder="1" applyAlignment="1">
      <x:alignment horizontal="center" vertical="top" wrapText="1"/>
    </x:xf>
    <x:xf numFmtId="0" fontId="4" fillId="3" borderId="22" xfId="0" applyNumberFormat="1" applyFont="1" applyFill="1" applyBorder="1" applyAlignment="1">
      <x:alignment horizontal="center" vertical="top" wrapText="1"/>
    </x:xf>
    <x:xf numFmtId="0" fontId="4" fillId="3" borderId="13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4" fillId="3" borderId="15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4" fillId="3" borderId="23" xfId="0" applyNumberFormat="1" applyFont="1" applyFill="1" applyBorder="1" applyAlignment="1">
      <x:alignment horizontal="center" vertical="top" wrapText="1"/>
    </x:xf>
    <x:xf numFmtId="0" fontId="4" fillId="6" borderId="17" xfId="0" applyNumberFormat="1" applyFont="1" applyFill="1" applyBorder="1" applyAlignment="1">
      <x:alignment horizontal="center" vertical="top" wrapText="1"/>
    </x:xf>
    <x:xf numFmtId="0" fontId="5" fillId="4" borderId="20" xfId="0" applyNumberFormat="1" applyFont="1" applyFill="1" applyBorder="1" applyAlignment="1">
      <x:alignment horizontal="center" vertical="top" wrapText="1"/>
    </x:xf>
    <x:xf numFmtId="0" fontId="5" fillId="3" borderId="20" xfId="0" applyNumberFormat="1" applyFont="1" applyFill="1" applyBorder="1" applyAlignment="1">
      <x:alignment horizontal="center" vertical="top" wrapText="1"/>
    </x:xf>
    <x:xf numFmtId="0" fontId="5" fillId="3" borderId="7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9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3" borderId="21" xfId="0" applyNumberFormat="1" applyFont="1" applyFill="1" applyBorder="1" applyAlignment="1">
      <x:alignment horizontal="center" vertical="top" wrapText="1"/>
    </x:xf>
    <x:xf numFmtId="0" fontId="5" fillId="6" borderId="11" xfId="0" applyNumberFormat="1" applyFont="1" applyFill="1" applyBorder="1" applyAlignment="1">
      <x:alignment horizontal="center" vertical="top" wrapText="1"/>
    </x:xf>
    <x:xf numFmtId="0" fontId="5" fillId="4" borderId="22" xfId="0" applyNumberFormat="1" applyFont="1" applyFill="1" applyBorder="1" applyAlignment="1">
      <x:alignment horizontal="center" vertical="top" wrapText="1"/>
    </x:xf>
    <x:xf numFmtId="0" fontId="5" fillId="3" borderId="22" xfId="0" applyNumberFormat="1" applyFont="1" applyFill="1" applyBorder="1" applyAlignment="1">
      <x:alignment horizontal="center" vertical="top" wrapText="1"/>
    </x:xf>
    <x:xf numFmtId="0" fontId="5" fillId="3" borderId="13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horizontal="center"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0" fontId="5" fillId="3" borderId="15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5" fillId="3" borderId="23" xfId="0" applyNumberFormat="1" applyFont="1" applyFill="1" applyBorder="1" applyAlignment="1">
      <x:alignment horizontal="center" vertical="top" wrapText="1"/>
    </x:xf>
    <x:xf numFmtId="0" fontId="5" fillId="6" borderId="17" xfId="0" applyNumberFormat="1" applyFont="1" applyFill="1" applyBorder="1" applyAlignment="1">
      <x:alignment horizontal="center" vertical="top" wrapText="1"/>
    </x:xf>
    <x:xf numFmtId="0" fontId="8" fillId="3" borderId="6" xfId="0" applyNumberFormat="1" applyFont="1" applyFill="1" applyBorder="1" applyAlignment="1">
      <x:alignment horizontal="center" vertical="top" wrapText="1"/>
    </x:xf>
    <x:xf numFmtId="0" fontId="8" fillId="3" borderId="20" xfId="0" applyNumberFormat="1" applyFont="1" applyFill="1" applyBorder="1" applyAlignment="1">
      <x:alignment vertical="top" wrapText="1"/>
    </x:xf>
    <x:xf numFmtId="0" fontId="8" fillId="3" borderId="24" xfId="0" applyNumberFormat="1" applyFont="1" applyFill="1" applyBorder="1" applyAlignment="1">
      <x:alignment horizontal="center" vertical="top" wrapText="1"/>
    </x:xf>
    <x:xf numFmtId="0" fontId="8" fillId="3" borderId="25" xfId="0" applyNumberFormat="1" applyFont="1" applyFill="1" applyBorder="1" applyAlignment="1">
      <x:alignment vertical="top" wrapText="1"/>
    </x:xf>
    <x:xf numFmtId="0" fontId="4" fillId="3" borderId="25" xfId="0" applyNumberFormat="1" applyFont="1" applyFill="1" applyBorder="1" applyAlignment="1">
      <x:alignment vertical="top" wrapText="1"/>
    </x:xf>
    <x:xf numFmtId="0" fontId="4" fillId="3" borderId="26" xfId="0" applyNumberFormat="1" applyFont="1" applyFill="1" applyBorder="1" applyAlignment="1">
      <x:alignment vertical="top" wrapText="1"/>
    </x:xf>
    <x:xf numFmtId="0" fontId="8" fillId="3" borderId="12" xfId="0" applyNumberFormat="1" applyFont="1" applyFill="1" applyBorder="1" applyAlignment="1">
      <x:alignment horizontal="center" vertical="top" wrapText="1"/>
    </x:xf>
    <x:xf numFmtId="0" fontId="8" fillId="3" borderId="22" xfId="0" applyNumberFormat="1" applyFont="1" applyFill="1" applyBorder="1" applyAlignment="1">
      <x:alignment vertical="top" wrapText="1"/>
    </x:xf>
    <x:xf numFmtId="0" fontId="8" fillId="3" borderId="27" xfId="0" applyNumberFormat="1" applyFont="1" applyFill="1" applyBorder="1" applyAlignment="1">
      <x:alignment horizontal="center" vertical="top" wrapText="1"/>
    </x:xf>
    <x:xf numFmtId="0" fontId="8" fillId="3" borderId="28" xfId="0" applyNumberFormat="1" applyFont="1" applyFill="1" applyBorder="1" applyAlignment="1">
      <x:alignment vertical="top" wrapText="1"/>
    </x:xf>
    <x:xf numFmtId="0" fontId="4" fillId="3" borderId="28" xfId="0" applyNumberFormat="1" applyFont="1" applyFill="1" applyBorder="1" applyAlignment="1">
      <x:alignment vertical="top" wrapText="1"/>
    </x:xf>
    <x:xf numFmtId="0" fontId="4" fillId="3" borderId="29" xfId="0" applyNumberFormat="1" applyFont="1" applyFill="1" applyBorder="1" applyAlignment="1">
      <x:alignment vertical="top" wrapText="1"/>
    </x:xf>
    <x:xf numFmtId="0" fontId="5" fillId="3" borderId="24" xfId="0" applyNumberFormat="1" applyFont="1" applyFill="1" applyBorder="1" applyAlignment="1">
      <x:alignment horizontal="center" vertical="top" wrapText="1"/>
    </x:xf>
    <x:xf numFmtId="0" fontId="5" fillId="3" borderId="25" xfId="0" applyNumberFormat="1" applyFont="1" applyFill="1" applyBorder="1" applyAlignment="1">
      <x:alignment vertical="top" wrapText="1"/>
    </x:xf>
    <x:xf numFmtId="0" fontId="5" fillId="3" borderId="27" xfId="0" applyNumberFormat="1" applyFont="1" applyFill="1" applyBorder="1" applyAlignment="1">
      <x:alignment horizontal="center" vertical="top" wrapText="1"/>
    </x:xf>
    <x:xf numFmtId="0" fontId="5" fillId="3" borderId="28" xfId="0" applyNumberFormat="1" applyFont="1" applyFill="1" applyBorder="1" applyAlignment="1">
      <x:alignment vertical="top" wrapText="1"/>
    </x:xf>
    <x:xf numFmtId="0" fontId="8" fillId="3" borderId="8" xfId="0" applyNumberFormat="1" applyFont="1" applyFill="1" applyBorder="1" applyAlignment="1">
      <x:alignment horizontal="center"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8" fillId="3" borderId="14" xfId="0" applyNumberFormat="1" applyFont="1" applyFill="1" applyBorder="1" applyAlignment="1">
      <x:alignment horizontal="center"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8" fillId="3" borderId="10" xfId="0" applyNumberFormat="1" applyFont="1" applyFill="1" applyBorder="1" applyAlignment="1">
      <x:alignment horizontal="center" vertical="top" wrapText="1"/>
    </x:xf>
    <x:xf numFmtId="0" fontId="8" fillId="3" borderId="21" xfId="0" applyNumberFormat="1" applyFont="1" applyFill="1" applyBorder="1" applyAlignment="1">
      <x:alignment vertical="top" wrapText="1"/>
    </x:xf>
    <x:xf numFmtId="0" fontId="8" fillId="3" borderId="16" xfId="0" applyNumberFormat="1" applyFont="1" applyFill="1" applyBorder="1" applyAlignment="1">
      <x:alignment horizontal="center" vertical="top" wrapText="1"/>
    </x:xf>
    <x:xf numFmtId="0" fontId="8" fillId="3" borderId="23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ont>
        <x:b/>
        <x:color rgb="FF17365D"/>
      </x:font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ab1aa05b74fea" /><Relationship Type="http://schemas.openxmlformats.org/officeDocument/2006/relationships/theme" Target="/xl/theme/theme1.xml" Id="R6c89c9b04de04307" /><Relationship Type="http://schemas.openxmlformats.org/officeDocument/2006/relationships/sharedStrings" Target="/xl/sharedStrings.xml" Id="Rd2df85c16052405e" /><Relationship Type="http://schemas.openxmlformats.org/officeDocument/2006/relationships/worksheet" Target="/xl/worksheets/sheet1.xml" Id="Rd09ca37b5b3e4da7" /><Relationship Type="http://schemas.openxmlformats.org/officeDocument/2006/relationships/worksheet" Target="/xl/worksheets/sheet2.xml" Id="Re9deb6f235f9448d" /><Relationship Type="http://schemas.openxmlformats.org/officeDocument/2006/relationships/worksheet" Target="/xl/worksheets/sheet3.xml" Id="Ra0f037593d094d20" /><Relationship Type="http://schemas.openxmlformats.org/officeDocument/2006/relationships/worksheet" Target="/xl/worksheets/sheet4.xml" Id="Rcbd144c12ddd470e" /><Relationship Type="http://schemas.openxmlformats.org/officeDocument/2006/relationships/worksheet" Target="/xl/worksheets/sheet5.xml" Id="R918b2195a9c04b00" /><Relationship Type="http://schemas.openxmlformats.org/officeDocument/2006/relationships/worksheet" Target="/xl/worksheets/sheet6.xml" Id="R5f4d2ef43009463c" /><Relationship Type="http://schemas.openxmlformats.org/officeDocument/2006/relationships/worksheet" Target="/xl/worksheets/sheet7.xml" Id="R8b22949b444440c1" /><Relationship Type="http://schemas.openxmlformats.org/officeDocument/2006/relationships/worksheet" Target="/xl/worksheets/sheet8.xml" Id="R2710668f2f994a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6" hidden="0" customWidth="1"/>
  </x:cols>
  <x:sheetData>
    <x:row r="1" ht="19.200000762939453" hidden="0" customHeight="1">
      <x:c r="A1" s="5" t="str">
        <x:v>REQUERIMIENTOS DEL PROYECTO - HUATA LÁCTEOS</x:v>
      </x:c>
      <x:c r="B1" s="5"/>
      <x:c r="C1" s="5"/>
      <x:c r="D1" s="5"/>
      <x:c r="E1" s="5"/>
      <x:c r="F1" s="5"/>
      <x:c r="G1" s="5"/>
    </x:row>
    <x:row r="2" ht="15" hidden="0" customHeight="1">
      <x:c r="A2" s="11" t="str">
        <x:v>Documento corregido y alineado con ProjectCharter2026 y Cronograma_2026.</x:v>
      </x:c>
      <x:c r="B2" s="11"/>
      <x:c r="C2" s="11"/>
      <x:c r="D2" s="11"/>
      <x:c r="E2" s="11"/>
      <x:c r="F2" s="11"/>
      <x:c r="G2" s="11"/>
    </x:row>
    <x:row r="3"/>
    <x:row r="4" ht="15" hidden="0" customHeight="1">
      <x:c r="A4" s="21" t="str">
        <x:v>Dato</x:v>
      </x:c>
      <x:c r="B4" s="22" t="str">
        <x:v>Valor</x:v>
      </x:c>
      <x:c r="D4" s="21" t="str">
        <x:v>RESUMEN DE REQUERIMIENTOS</x:v>
      </x:c>
      <x:c r="E4" s="81"/>
      <x:c r="F4" s="81"/>
      <x:c r="G4" s="22"/>
    </x:row>
    <x:row r="5" ht="21.600000381469727" hidden="0" customHeight="1">
      <x:c r="A5" s="72" t="str">
        <x:v>Nombre oficial</x:v>
      </x:c>
      <x:c r="B5" s="47" t="str">
        <x:v>Desarrollo e Implementación de dos sistemas web y móvil para el acopio de leche en Huata.</x:v>
      </x:c>
      <x:c r="D5" s="111" t="str">
        <x:v>Total</x:v>
      </x:c>
      <x:c r="E5" s="112" t="str">
        <x:v>Funcionales</x:v>
      </x:c>
      <x:c r="F5" s="112" t="str">
        <x:v>No funcionales</x:v>
      </x:c>
      <x:c r="G5" s="113" t="str">
        <x:v>Must</x:v>
      </x:c>
    </x:row>
    <x:row r="6" ht="16.799999237060547" hidden="0" customHeight="1">
      <x:c r="A6" s="73" t="str">
        <x:v>Patrocinador</x:v>
      </x:c>
      <x:c r="B6" s="49" t="str">
        <x:v>Gino Rodriguez</x:v>
      </x:c>
      <x:c r="D6" s="150" t="n">
        <x:f>COUNTA(Requerimientos!A5:A40)</x:f>
        <x:v>27</x:v>
      </x:c>
      <x:c r="E6" s="151" t="n">
        <x:f>COUNTIF(Requerimientos!D5:D40,"Funcional")</x:f>
        <x:v>18</x:v>
      </x:c>
      <x:c r="F6" s="151" t="n">
        <x:f>COUNTIF(Requerimientos!D5:D40,"No funcional")</x:f>
        <x:v>9</x:v>
      </x:c>
      <x:c r="G6" s="152" t="n">
        <x:f>COUNTIF(Requerimientos!I5:I40,"Must")</x:f>
        <x:v>18</x:v>
      </x:c>
    </x:row>
    <x:row r="7" ht="15" hidden="0" customHeight="1">
      <x:c r="A7" s="73" t="str">
        <x:v>Gerente del proyecto</x:v>
      </x:c>
      <x:c r="B7" s="49" t="str">
        <x:v>Huahuaccapa Ccama Alexander</x:v>
      </x:c>
      <x:c r="D7" s="111" t="str">
        <x:v>Aprobados</x:v>
      </x:c>
      <x:c r="E7" s="112" t="str">
        <x:v>Planificados</x:v>
      </x:c>
      <x:c r="F7" s="112" t="str">
        <x:v>Should</x:v>
      </x:c>
      <x:c r="G7" s="113" t="str">
        <x:v>Could</x:v>
      </x:c>
    </x:row>
    <x:row r="8" ht="16.799999237060547" hidden="0" customHeight="1">
      <x:c r="A8" s="73" t="str">
        <x:v>Inicio</x:v>
      </x:c>
      <x:c r="B8" s="49" t="str">
        <x:v>19/08/2026</x:v>
      </x:c>
      <x:c r="D8" s="153" t="n">
        <x:f>COUNTIF(Requerimientos!M5:M40,"Aprobado")</x:f>
        <x:v>21</x:v>
      </x:c>
      <x:c r="E8" s="154" t="n">
        <x:f>COUNTIF(Requerimientos!M5:M40,"Planificado")</x:f>
        <x:v>6</x:v>
      </x:c>
      <x:c r="F8" s="154" t="n">
        <x:f>COUNTIF(Requerimientos!I5:I40,"Should")</x:f>
        <x:v>7</x:v>
      </x:c>
      <x:c r="G8" s="155" t="n">
        <x:f>COUNTIF(Requerimientos!I5:I40,"Could")</x:f>
        <x:v>2</x:v>
      </x:c>
    </x:row>
    <x:row r="9" ht="21.600000381469727" hidden="0" customHeight="1">
      <x:c r="A9" s="73" t="str">
        <x:v>Entrega / término de implementación</x:v>
      </x:c>
      <x:c r="B9" s="49" t="str">
        <x:v>14/10/2026</x:v>
      </x:c>
    </x:row>
    <x:row r="10" ht="15" hidden="0" customHeight="1">
      <x:c r="A10" s="73" t="str">
        <x:v>Cierre administrativo</x:v>
      </x:c>
      <x:c r="B10" s="49" t="str">
        <x:v>15/10/2026</x:v>
      </x:c>
    </x:row>
    <x:row r="11" ht="15" hidden="0" customHeight="1">
      <x:c r="A11" s="73" t="str">
        <x:v>Calendario</x:v>
      </x:c>
      <x:c r="B11" s="49" t="str">
        <x:v>7 días por semana (días corridos)</x:v>
      </x:c>
    </x:row>
    <x:row r="12" ht="15" hidden="0" customHeight="1">
      <x:c r="A12" s="74" t="str">
        <x:v>Tecnologías</x:v>
      </x:c>
      <x:c r="B12" s="51" t="str">
        <x:v>Angular · Flutter · Spring Boot · PostgreSQL · SQLite · JWT · HTTPS</x:v>
      </x:c>
    </x:row>
    <x:row r="13"/>
    <x:row r="14" ht="15" hidden="0" customHeight="1">
      <x:c r="A14" s="21" t="str">
        <x:v>ALCANCE CONSOLIDADO</x:v>
      </x:c>
      <x:c r="B14" s="81"/>
      <x:c r="C14" s="81"/>
      <x:c r="D14" s="81"/>
      <x:c r="E14" s="81"/>
      <x:c r="F14" s="81"/>
      <x:c r="G14" s="22"/>
    </x:row>
    <x:row r="15" ht="42" hidden="0" customHeight="1">
      <x:c r="A15" s="304" t="str">
        <x:v>1</x:v>
      </x:c>
      <x:c r="B15" s="305" t="str">
        <x:v>Web administrativa</x:v>
      </x:c>
      <x:c r="C15" s="296" t="str">
        <x:v>Gestión de productores, acopiadores, rutas, centros de acopio, usuarios, liquidaciones y reportes.</x:v>
      </x:c>
      <x:c r="D15" s="296"/>
      <x:c r="E15" s="296"/>
      <x:c r="F15" s="296"/>
      <x:c r="G15" s="297" t="str">
        <x:v>Project Charter D/G · Cronograma Sprints 4-6</x:v>
      </x:c>
    </x:row>
    <x:row r="16" ht="42" hidden="0" customHeight="1">
      <x:c r="A16" s="304" t="str">
        <x:v>2</x:v>
      </x:c>
      <x:c r="B16" s="305" t="str">
        <x:v>App móvil Flutter</x:v>
      </x:c>
      <x:c r="C16" s="296" t="str">
        <x:v>Recojo de leche, ruta/productores asignados, historial y operación offline-first.</x:v>
      </x:c>
      <x:c r="D16" s="296"/>
      <x:c r="E16" s="296"/>
      <x:c r="F16" s="296"/>
      <x:c r="G16" s="297" t="str">
        <x:v>Project Charter D/G · Cronograma Sprints 4-6</x:v>
      </x:c>
    </x:row>
    <x:row r="17" ht="42" hidden="0" customHeight="1">
      <x:c r="A17" s="304" t="str">
        <x:v>3</x:v>
      </x:c>
      <x:c r="B17" s="305" t="str">
        <x:v>Backend REST</x:v>
      </x:c>
      <x:c r="C17" s="296" t="str">
        <x:v>Spring Boot, API REST, seguridad JWT y persistencia PostgreSQL.</x:v>
      </x:c>
      <x:c r="D17" s="296"/>
      <x:c r="E17" s="296"/>
      <x:c r="F17" s="296"/>
      <x:c r="G17" s="297" t="str">
        <x:v>Project Charter B/D · Cronograma Sprint 3</x:v>
      </x:c>
    </x:row>
    <x:row r="18" ht="42" hidden="0" customHeight="1">
      <x:c r="A18" s="304" t="str">
        <x:v>4</x:v>
      </x:c>
      <x:c r="B18" s="305" t="str">
        <x:v>Calidad y liquidación</x:v>
      </x:c>
      <x:c r="C18" s="296" t="str">
        <x:v>Registro de densidad, acidez y temperatura; liquidación basada en cantidad y calidad.</x:v>
      </x:c>
      <x:c r="D18" s="296"/>
      <x:c r="E18" s="296"/>
      <x:c r="F18" s="296"/>
      <x:c r="G18" s="297" t="str">
        <x:v>Project Charter F/G · Cronograma Sprint 5</x:v>
      </x:c>
    </x:row>
    <x:row r="19" ht="42" hidden="0" customHeight="1">
      <x:c r="A19" s="304" t="str">
        <x:v>5</x:v>
      </x:c>
      <x:c r="B19" s="305" t="str">
        <x:v>Pruebas y documentación</x:v>
      </x:c>
      <x:c r="C19" s="296" t="str">
        <x:v>Pruebas funcionales, integración, UAT, regresión, manuales y documentación técnica.</x:v>
      </x:c>
      <x:c r="D19" s="296"/>
      <x:c r="E19" s="296"/>
      <x:c r="F19" s="296"/>
      <x:c r="G19" s="297" t="str">
        <x:v>Project Charter G · Cronograma Sprint 7</x:v>
      </x:c>
    </x:row>
    <x:row r="20" ht="42" hidden="0" customHeight="1">
      <x:c r="A20" s="304" t="str">
        <x:v>6</x:v>
      </x:c>
      <x:c r="B20" s="305" t="str">
        <x:v>Despliegue y capacitación</x:v>
      </x:c>
      <x:c r="C20" s="296" t="str">
        <x:v>Producción, migración de datos maestros, APK, capacitación y soporte inicial.</x:v>
      </x:c>
      <x:c r="D20" s="296"/>
      <x:c r="E20" s="296"/>
      <x:c r="F20" s="296"/>
      <x:c r="G20" s="297" t="str">
        <x:v>Project Charter G · Cronograma Sprint 8</x:v>
      </x:c>
    </x:row>
    <x:row r="21" ht="42" hidden="0" customHeight="1">
      <x:c r="A21" s="304" t="str">
        <x:v>7</x:v>
      </x:c>
      <x:c r="B21" s="305" t="str">
        <x:v>Cierre</x:v>
      </x:c>
      <x:c r="C21" s="296" t="str">
        <x:v>Entrega documental el 14/10 y cierre administrativo/conformidad el 15/10.</x:v>
      </x:c>
      <x:c r="D21" s="296"/>
      <x:c r="E21" s="296"/>
      <x:c r="F21" s="296"/>
      <x:c r="G21" s="297" t="str">
        <x:v>Project Charter F/J · Cronograma Cierre</x:v>
      </x:c>
    </x:row>
    <x:row r="22"/>
    <x:row r="23" ht="15" hidden="0" customHeight="1">
      <x:c r="A23" s="182" t="str">
        <x:v>NOTA DE CONSISTENCIA</x:v>
      </x:c>
      <x:c r="B23" s="182"/>
      <x:c r="C23" s="182"/>
      <x:c r="D23" s="182"/>
      <x:c r="E23" s="182"/>
      <x:c r="F23" s="182"/>
      <x:c r="G23" s="182"/>
    </x:row>
    <x:row r="24" ht="28" customHeight="1">
      <x:c r="A24" s="205" t="str">
        <x:v>El Cronograma_2026 trabaja con días corridos y lleva el cierre administrativo hasta el 15/10/2026, mientras el Project Charter fija el término del proyecto en 14/10/2026. En este archivo se distingue: entrega/término de implementación = 14/10/2026; firma y cierre administrativo = 15/10/2026. También se retiraron del archivo anterior las reglas no respaldadas por estas dos fuentes (precios S/ 1.75/S/ 1.30, pagos cada viernes, módulo de quesos, zonas específicas e importación/exportación Excel como módulo funcional).</x:v>
      </x:c>
      <x:c r="B24" s="206"/>
      <x:c r="C24" s="206"/>
      <x:c r="D24" s="206"/>
      <x:c r="E24" s="206"/>
      <x:c r="F24" s="206"/>
      <x:c r="G24" s="207"/>
    </x:row>
    <x:row r="25" ht="28" customHeight="1">
      <x:c r="A25" s="208"/>
      <x:c r="B25" s="209"/>
      <x:c r="C25" s="209"/>
      <x:c r="D25" s="209"/>
      <x:c r="E25" s="209"/>
      <x:c r="F25" s="209"/>
      <x:c r="G25" s="210"/>
    </x:row>
    <x:row r="26" ht="28" customHeight="1">
      <x:c r="A26" s="208"/>
      <x:c r="B26" s="209"/>
      <x:c r="C26" s="209"/>
      <x:c r="D26" s="209"/>
      <x:c r="E26" s="209"/>
      <x:c r="F26" s="209"/>
      <x:c r="G26" s="210"/>
    </x:row>
    <x:row r="27" ht="28" customHeight="1">
      <x:c r="A27" s="211"/>
      <x:c r="B27" s="212"/>
      <x:c r="C27" s="212"/>
      <x:c r="D27" s="212"/>
      <x:c r="E27" s="212"/>
      <x:c r="F27" s="212"/>
      <x:c r="G27" s="213"/>
    </x:row>
  </x:sheetData>
  <x:mergeCells>
    <x:mergeCell ref="A1:G1"/>
    <x:mergeCell ref="A2:G2"/>
    <x:mergeCell ref="D4:G4"/>
    <x:mergeCell ref="A14:G14"/>
    <x:mergeCell ref="A23:G23"/>
    <x:mergeCell ref="A24:G27"/>
    <x:mergeCell ref="C15:F15"/>
    <x:mergeCell ref="C16:F16"/>
    <x:mergeCell ref="C17:F17"/>
    <x:mergeCell ref="C18:F18"/>
    <x:mergeCell ref="C19:F19"/>
    <x:mergeCell ref="C20:F20"/>
    <x:mergeCell ref="C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1" hidden="0" customWidth="1"/>
    <x:col min="3" max="3" width="55" hidden="0" customWidth="1"/>
    <x:col min="4" max="4" width="14" hidden="0" customWidth="1"/>
    <x:col min="5" max="5" width="40" hidden="0" customWidth="1"/>
    <x:col min="6" max="6" width="24" hidden="0" customWidth="1"/>
  </x:cols>
  <x:sheetData>
    <x:row r="1" ht="19.200000762939453" hidden="0" customHeight="1">
      <x:c r="A1" s="5" t="str">
        <x:v>INTERESADOS DEL PROYECTO HUATA</x:v>
      </x:c>
      <x:c r="B1" s="5"/>
      <x:c r="C1" s="5"/>
      <x:c r="D1" s="5"/>
      <x:c r="E1" s="5"/>
      <x:c r="F1" s="5"/>
    </x:row>
    <x:row r="2" ht="15" hidden="0" customHeight="1">
      <x:c r="A2" s="11" t="str">
        <x:v>Actores alineados con los stakeholders del Project Charter y las responsabilidades del Cronograma_2026.</x:v>
      </x:c>
      <x:c r="B2" s="11"/>
      <x:c r="C2" s="11"/>
      <x:c r="D2" s="11"/>
      <x:c r="E2" s="11"/>
      <x:c r="F2" s="11"/>
    </x:row>
    <x:row r="3"/>
    <x:row r="4" ht="15" hidden="0" customHeight="1">
      <x:c r="A4" s="21" t="str">
        <x:v>ID</x:v>
      </x:c>
      <x:c r="B4" s="81" t="str">
        <x:v>Interesado / Rol</x:v>
      </x:c>
      <x:c r="C4" s="81" t="str">
        <x:v>Necesidad principal</x:v>
      </x:c>
      <x:c r="D4" s="81" t="str">
        <x:v>Influencia</x:v>
      </x:c>
      <x:c r="E4" s="81" t="str">
        <x:v>Fuente</x:v>
      </x:c>
      <x:c r="F4" s="22" t="str">
        <x:v>Participación</x:v>
      </x:c>
    </x:row>
    <x:row r="5" ht="21.600000381469727" hidden="0" customHeight="1">
      <x:c r="A5" s="46" t="str">
        <x:v>INT-01</x:v>
      </x:c>
      <x:c r="B5" s="91" t="str">
        <x:v>Productores de leche de Huata</x:v>
      </x:c>
      <x:c r="C5" s="91" t="str">
        <x:v>Que sus recojos queden registrados con trazabilidad y que la liquidación se calcule a partir de cantidad y calidad.</x:v>
      </x:c>
      <x:c r="D5" s="91" t="str">
        <x:v>Media</x:v>
      </x:c>
      <x:c r="E5" s="91" t="str">
        <x:v>Project Charter G/F</x:v>
      </x:c>
      <x:c r="F5" s="47" t="str">
        <x:v>Stakeholder / usuario indirecto</x:v>
      </x:c>
    </x:row>
    <x:row r="6" ht="21.600000381469727" hidden="0" customHeight="1">
      <x:c r="A6" s="48" t="str">
        <x:v>INT-02</x:v>
      </x:c>
      <x:c r="B6" s="92" t="str">
        <x:v>Acopiadores de leche</x:v>
      </x:c>
      <x:c r="C6" s="92" t="str">
        <x:v>Registrar recojos en campo desde la app móvil, incluso sin conexión, y sincronizar posteriormente.</x:v>
      </x:c>
      <x:c r="D6" s="92" t="str">
        <x:v>Alta</x:v>
      </x:c>
      <x:c r="E6" s="92" t="str">
        <x:v>Project Charter D/G · Cronograma IDs 73, 74, 94, 95</x:v>
      </x:c>
      <x:c r="F6" s="49" t="str">
        <x:v>Usuario principal móvil</x:v>
      </x:c>
    </x:row>
    <x:row r="7" ht="21.600000381469727" hidden="0" customHeight="1">
      <x:c r="A7" s="48" t="str">
        <x:v>INT-03</x:v>
      </x:c>
      <x:c r="B7" s="92" t="str">
        <x:v>Administrador del sistema / Gerencia de operaciones</x:v>
      </x:c>
      <x:c r="C7" s="92" t="str">
        <x:v>Gestionar productores, rutas, centros, usuarios, liquidaciones y reportes gerenciales.</x:v>
      </x:c>
      <x:c r="D7" s="92" t="str">
        <x:v>Alta</x:v>
      </x:c>
      <x:c r="E7" s="92" t="str">
        <x:v>Project Charter G · Cronograma IDs 68-72, 88, 107, 112</x:v>
      </x:c>
      <x:c r="F7" s="49" t="str">
        <x:v>Usuario principal web</x:v>
      </x:c>
    </x:row>
    <x:row r="8" ht="15" hidden="0" customHeight="1">
      <x:c r="A8" s="48" t="str">
        <x:v>INT-04</x:v>
      </x:c>
      <x:c r="B8" s="92" t="str">
        <x:v>Personal de planta / centro de acopio</x:v>
      </x:c>
      <x:c r="C8" s="92" t="str">
        <x:v>Consultar y validar información de recepción y control de calidad de la leche.</x:v>
      </x:c>
      <x:c r="D8" s="92" t="str">
        <x:v>Alta</x:v>
      </x:c>
      <x:c r="E8" s="92" t="str">
        <x:v>Project Charter G · Cronograma ID 91</x:v>
      </x:c>
      <x:c r="F8" s="49" t="str">
        <x:v>Usuario operativo</x:v>
      </x:c>
    </x:row>
    <x:row r="9" ht="15" hidden="0" customHeight="1">
      <x:c r="A9" s="48" t="str">
        <x:v>INT-05</x:v>
      </x:c>
      <x:c r="B9" s="92" t="str">
        <x:v>Equipo de desarrollo JPK-RESOLUTION S.A.C.</x:v>
      </x:c>
      <x:c r="C9" s="92" t="str">
        <x:v>Diseñar, desarrollar, probar, desplegar y dar soporte inicial al sistema web y móvil.</x:v>
      </x:c>
      <x:c r="D9" s="92" t="str">
        <x:v>Alta</x:v>
      </x:c>
      <x:c r="E9" s="92" t="str">
        <x:v>Project Charter B/L · Cronograma completo</x:v>
      </x:c>
      <x:c r="F9" s="49" t="str">
        <x:v>Equipo ejecutor</x:v>
      </x:c>
    </x:row>
    <x:row r="10" ht="15" hidden="0" customHeight="1">
      <x:c r="A10" s="50" t="str">
        <x:v>INT-06</x:v>
      </x:c>
      <x:c r="B10" s="93" t="str">
        <x:v>Patrocinador / Cliente</x:v>
      </x:c>
      <x:c r="C10" s="93" t="str">
        <x:v>Validar requisitos, prototipos, UAT, entregables y conformidad final.</x:v>
      </x:c>
      <x:c r="D10" s="93" t="str">
        <x:v>Alta</x:v>
      </x:c>
      <x:c r="E10" s="93" t="str">
        <x:v>Project Charter A/M · Cronograma IDs 23-25, 35, 43, 136, 175</x:v>
      </x:c>
      <x:c r="F10" s="51" t="str">
        <x:v>Aprobación y gobierno</x:v>
      </x:c>
    </x:row>
  </x:sheetData>
  <x:mergeCells>
    <x:mergeCell ref="A1:F1"/>
    <x:mergeCell ref="A2:F2"/>
  </x:mergeCells>
  <x:dataValidations count="1">
    <x:dataValidation type="list" sqref="D5:D10">
      <x:formula1>"Alta,Media,Baja"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65" hidden="0" customWidth="1"/>
    <x:col min="4" max="4" width="18" hidden="0" customWidth="1"/>
    <x:col min="5" max="5" width="42" hidden="0" customWidth="1"/>
    <x:col min="6" max="6" width="25" hidden="0" customWidth="1"/>
  </x:cols>
  <x:sheetData>
    <x:row r="1" ht="19.200000762939453" hidden="0" customHeight="1">
      <x:c r="A1" s="5" t="str">
        <x:v>REGLAS, RESTRICCIONES Y CONDICIONES DEL PROYECTO</x:v>
      </x:c>
      <x:c r="B1" s="5"/>
      <x:c r="C1" s="5"/>
      <x:c r="D1" s="5"/>
      <x:c r="E1" s="5"/>
      <x:c r="F1" s="5"/>
    </x:row>
    <x:row r="2" ht="15" hidden="0" customHeight="1">
      <x:c r="A2" s="11" t="str">
        <x:v>Solo se mantienen reglas sustentadas por ProjectCharter2026 o Cronograma_2026.</x:v>
      </x:c>
      <x:c r="B2" s="11"/>
      <x:c r="C2" s="11"/>
      <x:c r="D2" s="11"/>
      <x:c r="E2" s="11"/>
      <x:c r="F2" s="11"/>
    </x:row>
    <x:row r="3"/>
    <x:row r="4" ht="15" hidden="0" customHeight="1">
      <x:c r="A4" s="21" t="str">
        <x:v>ID</x:v>
      </x:c>
      <x:c r="B4" s="81" t="str">
        <x:v>Nombre</x:v>
      </x:c>
      <x:c r="C4" s="81" t="str">
        <x:v>Regla / condición</x:v>
      </x:c>
      <x:c r="D4" s="81" t="str">
        <x:v>Tipo</x:v>
      </x:c>
      <x:c r="E4" s="81" t="str">
        <x:v>Fuente</x:v>
      </x:c>
      <x:c r="F4" s="22" t="str">
        <x:v>Requisitos relacionados</x:v>
      </x:c>
    </x:row>
    <x:row r="5" ht="15" hidden="0" customHeight="1">
      <x:c r="A5" s="46" t="str">
        <x:v>RN-01</x:v>
      </x:c>
      <x:c r="B5" s="91" t="str">
        <x:v>Recojo trazable</x:v>
      </x:c>
      <x:c r="C5" s="91" t="str">
        <x:v>Cada recojo de leche debe vincular productor, cantidad, calidad y fecha.</x:v>
      </x:c>
      <x:c r="D5" s="91" t="str">
        <x:v>Proceso</x:v>
      </x:c>
      <x:c r="E5" s="91" t="str">
        <x:v>Project Charter F/G · Cronograma ID 87</x:v>
      </x:c>
      <x:c r="F5" s="47" t="str">
        <x:v>RF-05</x:v>
      </x:c>
    </x:row>
    <x:row r="6" ht="21.600000381469727" hidden="0" customHeight="1">
      <x:c r="A6" s="48" t="str">
        <x:v>RN-02</x:v>
      </x:c>
      <x:c r="B6" s="92" t="str">
        <x:v>Control de calidad</x:v>
      </x:c>
      <x:c r="C6" s="92" t="str">
        <x:v>El control de calidad debe registrar como mínimo densidad, acidez y temperatura, además de observaciones cuando corresponda.</x:v>
      </x:c>
      <x:c r="D6" s="92" t="str">
        <x:v>Calidad</x:v>
      </x:c>
      <x:c r="E6" s="92" t="str">
        <x:v>Project Charter G.6 · Cronograma ID 91</x:v>
      </x:c>
      <x:c r="F6" s="49" t="str">
        <x:v>RF-06</x:v>
      </x:c>
    </x:row>
    <x:row r="7" ht="15" hidden="0" customHeight="1">
      <x:c r="A7" s="48" t="str">
        <x:v>RN-03</x:v>
      </x:c>
      <x:c r="B7" s="92" t="str">
        <x:v>Liquidación por cantidad y calidad</x:v>
      </x:c>
      <x:c r="C7" s="92" t="str">
        <x:v>La liquidación debe calcularse considerando la cantidad recolectada y la calidad de la leche.</x:v>
      </x:c>
      <x:c r="D7" s="92" t="str">
        <x:v>Liquidación</x:v>
      </x:c>
      <x:c r="E7" s="92" t="str">
        <x:v>Project Charter F/G.7 · Cronograma ID 92</x:v>
      </x:c>
      <x:c r="F7" s="49" t="str">
        <x:v>RF-07</x:v>
      </x:c>
    </x:row>
    <x:row r="8" ht="21.600000381469727" hidden="0" customHeight="1">
      <x:c r="A8" s="48" t="str">
        <x:v>RN-04</x:v>
      </x:c>
      <x:c r="B8" s="92" t="str">
        <x:v>Operación offline-first</x:v>
      </x:c>
      <x:c r="C8" s="92" t="str">
        <x:v>La app móvil debe permitir registrar recojos sin conexión mediante SQLite y sincronizar los datos al recuperar conectividad.</x:v>
      </x:c>
      <x:c r="D8" s="92" t="str">
        <x:v>Móvil / Datos</x:v>
      </x:c>
      <x:c r="E8" s="92" t="str">
        <x:v>Project Charter D · Cronograma IDs 94-95</x:v>
      </x:c>
      <x:c r="F8" s="49" t="str">
        <x:v>RF-09, RF-10</x:v>
      </x:c>
    </x:row>
    <x:row r="9" ht="15" hidden="0" customHeight="1">
      <x:c r="A9" s="48" t="str">
        <x:v>RN-05</x:v>
      </x:c>
      <x:c r="B9" s="92" t="str">
        <x:v>Reportes gerenciales</x:v>
      </x:c>
      <x:c r="C9" s="92" t="str">
        <x:v>Los reportes deben permitir analizar producción total, por ruta, por productor y por periodo.</x:v>
      </x:c>
      <x:c r="D9" s="92" t="str">
        <x:v>Reportes</x:v>
      </x:c>
      <x:c r="E9" s="92" t="str">
        <x:v>Project Charter F/G.8 · Cronograma IDs 107, 111</x:v>
      </x:c>
      <x:c r="F9" s="49" t="str">
        <x:v>RF-14</x:v>
      </x:c>
    </x:row>
    <x:row r="10" ht="15" hidden="0" customHeight="1">
      <x:c r="A10" s="48" t="str">
        <x:v>RN-06</x:v>
      </x:c>
      <x:c r="B10" s="92" t="str">
        <x:v>Seguridad y roles</x:v>
      </x:c>
      <x:c r="C10" s="92" t="str">
        <x:v>El acceso al sistema debe estar autenticado y autorizado mediante roles, JWT y protección HTTPS.</x:v>
      </x:c>
      <x:c r="D10" s="92" t="str">
        <x:v>Seguridad</x:v>
      </x:c>
      <x:c r="E10" s="92" t="str">
        <x:v>Project Charter D/F/G.9 · Cronograma IDs 53, 59, 112</x:v>
      </x:c>
      <x:c r="F10" s="49" t="str">
        <x:v>RF-15, RF-16, RNF-02</x:v>
      </x:c>
    </x:row>
    <x:row r="11" ht="21.600000381469727" hidden="0" customHeight="1">
      <x:c r="A11" s="48" t="str">
        <x:v>RN-07</x:v>
      </x:c>
      <x:c r="B11" s="92" t="str">
        <x:v>Compatibilidad de la solución</x:v>
      </x:c>
      <x:c r="C11" s="92" t="str">
        <x:v>La app se entregará para Android mediante APK y la plataforma web debe operar en navegadores modernos.</x:v>
      </x:c>
      <x:c r="D11" s="92" t="str">
        <x:v>Restricción</x:v>
      </x:c>
      <x:c r="E11" s="92" t="str">
        <x:v>Project Charter G - Exclusiones/Restricciones</x:v>
      </x:c>
      <x:c r="F11" s="49" t="str">
        <x:v>RNF-03, RNF-04</x:v>
      </x:c>
    </x:row>
    <x:row r="12" ht="21.600000381469727" hidden="0" customHeight="1">
      <x:c r="A12" s="48" t="str">
        <x:v>RN-08</x:v>
      </x:c>
      <x:c r="B12" s="92" t="str">
        <x:v>Sin pasarela financiera</x:v>
      </x:c>
      <x:c r="C12" s="92" t="str">
        <x:v>La versión actual no incluye pasarelas de pago ni transacciones financieras; el Charter también indica que los precios de leche no forman parte de esta versión.</x:v>
      </x:c>
      <x:c r="D12" s="92" t="str">
        <x:v>Exclusión</x:v>
      </x:c>
      <x:c r="E12" s="92" t="str">
        <x:v>Project Charter G - Exclusiones 2</x:v>
      </x:c>
      <x:c r="F12" s="49" t="str">
        <x:v>RF-07</x:v>
      </x:c>
    </x:row>
    <x:row r="13" ht="21.600000381469727" hidden="0" customHeight="1">
      <x:c r="A13" s="48" t="str">
        <x:v>RN-09</x:v>
      </x:c>
      <x:c r="B13" s="92" t="str">
        <x:v>Soporte post-implementación</x:v>
      </x:c>
      <x:c r="C13" s="92" t="str">
        <x:v>Se contempla soporte y mantenimiento durante el primer mes posterior a la implementación; el cronograma base solo detalla hipercare inicial del 11 al 12 de octubre.</x:v>
      </x:c>
      <x:c r="D13" s="92" t="str">
        <x:v>Servicio</x:v>
      </x:c>
      <x:c r="E13" s="92" t="str">
        <x:v>Project Charter D.4 · Cronograma ID 170</x:v>
      </x:c>
      <x:c r="F13" s="49" t="str">
        <x:v>—</x:v>
      </x:c>
    </x:row>
    <x:row r="14" ht="21.600000381469727" hidden="0" customHeight="1">
      <x:c r="A14" s="50" t="str">
        <x:v>RN-10</x:v>
      </x:c>
      <x:c r="B14" s="93" t="str">
        <x:v>Documentación y capacitación</x:v>
      </x:c>
      <x:c r="C14" s="93" t="str">
        <x:v>La entrega debe incluir manual de usuario, manual técnico y capacitación a administradores y acopiadores.</x:v>
      </x:c>
      <x:c r="D14" s="93" t="str">
        <x:v>Entrega</x:v>
      </x:c>
      <x:c r="E14" s="93" t="str">
        <x:v>Project Charter G.10-G.12 · Cronograma IDs 144,145,168,162,169</x:v>
      </x:c>
      <x:c r="F14" s="51" t="str">
        <x:v>—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9" hidden="0" customWidth="1"/>
    <x:col min="3" max="3" width="63" hidden="0" customWidth="1"/>
    <x:col min="4" max="4" width="15" hidden="0" customWidth="1"/>
    <x:col min="5" max="5" width="18" hidden="0" customWidth="1"/>
    <x:col min="6" max="6" width="24" hidden="0" customWidth="1"/>
    <x:col min="7" max="7" width="22" hidden="0" customWidth="1"/>
    <x:col min="8" max="8" width="35" hidden="0" customWidth="1"/>
    <x:col min="9" max="9" width="12" hidden="0" customWidth="1"/>
    <x:col min="10" max="10" width="56" hidden="0" customWidth="1"/>
    <x:col min="11" max="11" width="24" hidden="0" customWidth="1"/>
    <x:col min="12" max="12" width="22" hidden="0" customWidth="1"/>
    <x:col min="13" max="13" width="15" hidden="0" customWidth="1"/>
    <x:col min="14" max="14" width="18" hidden="0" customWidth="1"/>
  </x:cols>
  <x:sheetData>
    <x:row r="1" ht="19.200000762939453" hidden="0" customHeight="1">
      <x:c r="A1" s="5" t="str">
        <x:v>MATRIZ DE REQUERIMIENTOS - HUATA LÁCTEOS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15" hidden="0" customHeight="1">
      <x:c r="A2" s="11" t="str">
        <x:v>Requerimientos corregidos según el Project Charter y el Cronograma_2026; se eliminaron elementos no sustentados por estas fuentes.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3"/>
    <x:row r="4" ht="15" hidden="0" customHeight="1">
      <x:c r="A4" s="21" t="str">
        <x:v>ID</x:v>
      </x:c>
      <x:c r="B4" s="81" t="str">
        <x:v>Nombre</x:v>
      </x:c>
      <x:c r="C4" s="81" t="str">
        <x:v>Descripción (El sistema deberá...)</x:v>
      </x:c>
      <x:c r="D4" s="81" t="str">
        <x:v>Tipo</x:v>
      </x:c>
      <x:c r="E4" s="81" t="str">
        <x:v>Categoría RNF</x:v>
      </x:c>
      <x:c r="F4" s="81" t="str">
        <x:v>Actor</x:v>
      </x:c>
      <x:c r="G4" s="81" t="str">
        <x:v>Origen</x:v>
      </x:c>
      <x:c r="H4" s="81" t="str">
        <x:v>Referencia origen</x:v>
      </x:c>
      <x:c r="I4" s="81" t="str">
        <x:v>Prioridad</x:v>
      </x:c>
      <x:c r="J4" s="81" t="str">
        <x:v>Criterio de aceptación</x:v>
      </x:c>
      <x:c r="K4" s="81" t="str">
        <x:v>Componente</x:v>
      </x:c>
      <x:c r="L4" s="81" t="str">
        <x:v>Dependencias</x:v>
      </x:c>
      <x:c r="M4" s="81" t="str">
        <x:v>Estado</x:v>
      </x:c>
      <x:c r="N4" s="22" t="str">
        <x:v>Sprint / periodo</x:v>
      </x:c>
    </x:row>
    <x:row r="5" ht="21.600000381469727" hidden="0" customHeight="1">
      <x:c r="A5" s="46" t="str">
        <x:v>RF-01</x:v>
      </x:c>
      <x:c r="B5" s="91" t="str">
        <x:v>Gestionar productores</x:v>
      </x:c>
      <x:c r="C5" s="91" t="str">
        <x:v>El sistema deberá registrar, consultar, editar y administrar productores de leche con la información necesaria para su operación.</x:v>
      </x:c>
      <x:c r="D5" s="91" t="str">
        <x:v>Funcional</x:v>
      </x:c>
      <x:c r="E5" s="91" t="str">
        <x:v>—</x:v>
      </x:c>
      <x:c r="F5" s="91" t="str">
        <x:v>Administrador</x:v>
      </x:c>
      <x:c r="G5" s="91" t="str">
        <x:v>Project Charter</x:v>
      </x:c>
      <x:c r="H5" s="91" t="str">
        <x:v>G.4 · Cronograma 68,71</x:v>
      </x:c>
      <x:c r="I5" s="91" t="str">
        <x:v>Must</x:v>
      </x:c>
      <x:c r="J5" s="91" t="str">
        <x:v>Se puede crear, consultar y actualizar un productor; la información queda disponible para recojos y reportes.</x:v>
      </x:c>
      <x:c r="K5" s="91" t="str">
        <x:v>Productores</x:v>
      </x:c>
      <x:c r="L5" s="91" t="str">
        <x:v>—</x:v>
      </x:c>
      <x:c r="M5" s="91" t="str">
        <x:v>Aprobado</x:v>
      </x:c>
      <x:c r="N5" s="47" t="str">
        <x:v>Sprint 4</x:v>
      </x:c>
    </x:row>
    <x:row r="6" ht="21.600000381469727" hidden="0" customHeight="1">
      <x:c r="A6" s="48" t="str">
        <x:v>RF-02</x:v>
      </x:c>
      <x:c r="B6" s="92" t="str">
        <x:v>Gestionar acopiadores</x:v>
      </x:c>
      <x:c r="C6" s="92" t="str">
        <x:v>El sistema deberá registrar y administrar los acopiadores responsables del recojo de leche.</x:v>
      </x:c>
      <x:c r="D6" s="92" t="str">
        <x:v>Funcional</x:v>
      </x:c>
      <x:c r="E6" s="92" t="str">
        <x:v>—</x:v>
      </x:c>
      <x:c r="F6" s="92" t="str">
        <x:v>Administrador</x:v>
      </x:c>
      <x:c r="G6" s="92" t="str">
        <x:v>Project Charter / Cronograma</x:v>
      </x:c>
      <x:c r="H6" s="92" t="str">
        <x:v>G.4 · Cronograma 69</x:v>
      </x:c>
      <x:c r="I6" s="92" t="str">
        <x:v>Must</x:v>
      </x:c>
      <x:c r="J6" s="92" t="str">
        <x:v>El administrador puede registrar y consultar acopiadores y asociarlos a la operación correspondiente.</x:v>
      </x:c>
      <x:c r="K6" s="92" t="str">
        <x:v>Acopiadores</x:v>
      </x:c>
      <x:c r="L6" s="92" t="str">
        <x:v>RF-01</x:v>
      </x:c>
      <x:c r="M6" s="92" t="str">
        <x:v>Aprobado</x:v>
      </x:c>
      <x:c r="N6" s="49" t="str">
        <x:v>Sprint 4</x:v>
      </x:c>
    </x:row>
    <x:row r="7" ht="15" hidden="0" customHeight="1">
      <x:c r="A7" s="48" t="str">
        <x:v>RF-03</x:v>
      </x:c>
      <x:c r="B7" s="92" t="str">
        <x:v>Gestionar rutas</x:v>
      </x:c>
      <x:c r="C7" s="92" t="str">
        <x:v>El sistema deberá registrar y administrar rutas de recojo y permitir su consulta desde web y móvil.</x:v>
      </x:c>
      <x:c r="D7" s="92" t="str">
        <x:v>Funcional</x:v>
      </x:c>
      <x:c r="E7" s="92" t="str">
        <x:v>—</x:v>
      </x:c>
      <x:c r="F7" s="92" t="str">
        <x:v>Administrador / Acopiador</x:v>
      </x:c>
      <x:c r="G7" s="92" t="str">
        <x:v>Project Charter / Cronograma</x:v>
      </x:c>
      <x:c r="H7" s="92" t="str">
        <x:v>G.4 · Cronograma 69,72,74</x:v>
      </x:c>
      <x:c r="I7" s="92" t="str">
        <x:v>Must</x:v>
      </x:c>
      <x:c r="J7" s="92" t="str">
        <x:v>Las rutas pueden registrarse y consultarse; el acopiador puede visualizar la ruta del día.</x:v>
      </x:c>
      <x:c r="K7" s="92" t="str">
        <x:v>Rutas</x:v>
      </x:c>
      <x:c r="L7" s="92" t="str">
        <x:v>RF-02</x:v>
      </x:c>
      <x:c r="M7" s="92" t="str">
        <x:v>Aprobado</x:v>
      </x:c>
      <x:c r="N7" s="49" t="str">
        <x:v>Sprint 4</x:v>
      </x:c>
    </x:row>
    <x:row r="8" ht="15" hidden="0" customHeight="1">
      <x:c r="A8" s="48" t="str">
        <x:v>RF-04</x:v>
      </x:c>
      <x:c r="B8" s="92" t="str">
        <x:v>Gestionar centros de acopio</x:v>
      </x:c>
      <x:c r="C8" s="92" t="str">
        <x:v>El sistema deberá registrar y administrar los centros de acopio utilizados por la operación.</x:v>
      </x:c>
      <x:c r="D8" s="92" t="str">
        <x:v>Funcional</x:v>
      </x:c>
      <x:c r="E8" s="92" t="str">
        <x:v>—</x:v>
      </x:c>
      <x:c r="F8" s="92" t="str">
        <x:v>Administrador</x:v>
      </x:c>
      <x:c r="G8" s="92" t="str">
        <x:v>Project Charter / Cronograma</x:v>
      </x:c>
      <x:c r="H8" s="92" t="str">
        <x:v>G.4 · Cronograma 70,72</x:v>
      </x:c>
      <x:c r="I8" s="92" t="str">
        <x:v>Must</x:v>
      </x:c>
      <x:c r="J8" s="92" t="str">
        <x:v>Los centros de acopio pueden crearse, consultarse y usarse en la gestión operativa.</x:v>
      </x:c>
      <x:c r="K8" s="92" t="str">
        <x:v>Centros de acopio</x:v>
      </x:c>
      <x:c r="L8" s="92" t="str">
        <x:v>—</x:v>
      </x:c>
      <x:c r="M8" s="92" t="str">
        <x:v>Aprobado</x:v>
      </x:c>
      <x:c r="N8" s="49" t="str">
        <x:v>Sprint 4</x:v>
      </x:c>
    </x:row>
    <x:row r="9" ht="21.600000381469727" hidden="0" customHeight="1">
      <x:c r="A9" s="48" t="str">
        <x:v>RF-05</x:v>
      </x:c>
      <x:c r="B9" s="92" t="str">
        <x:v>Registrar recojo de leche</x:v>
      </x:c>
      <x:c r="C9" s="92" t="str">
        <x:v>El sistema deberá registrar cada recojo indicando productor, cantidad, calidad y fecha, desde web o móvil según el flujo operativo.</x:v>
      </x:c>
      <x:c r="D9" s="92" t="str">
        <x:v>Funcional</x:v>
      </x:c>
      <x:c r="E9" s="92" t="str">
        <x:v>—</x:v>
      </x:c>
      <x:c r="F9" s="92" t="str">
        <x:v>Acopiador / Administrador</x:v>
      </x:c>
      <x:c r="G9" s="92" t="str">
        <x:v>Project Charter / Cronograma</x:v>
      </x:c>
      <x:c r="H9" s="92" t="str">
        <x:v>G.5 · Cronograma 87,93,94</x:v>
      </x:c>
      <x:c r="I9" s="92" t="str">
        <x:v>Must</x:v>
      </x:c>
      <x:c r="J9" s="92" t="str">
        <x:v>Un recojo válido queda persistido con productor, cantidad, calidad y fecha y puede consultarse posteriormente.</x:v>
      </x:c>
      <x:c r="K9" s="92" t="str">
        <x:v>Recojo</x:v>
      </x:c>
      <x:c r="L9" s="92" t="str">
        <x:v>RF-01, RF-03</x:v>
      </x:c>
      <x:c r="M9" s="92" t="str">
        <x:v>Aprobado</x:v>
      </x:c>
      <x:c r="N9" s="49" t="str">
        <x:v>Sprint 5</x:v>
      </x:c>
    </x:row>
    <x:row r="10" ht="21.600000381469727" hidden="0" customHeight="1">
      <x:c r="A10" s="48" t="str">
        <x:v>RF-06</x:v>
      </x:c>
      <x:c r="B10" s="92" t="str">
        <x:v>Registrar control de calidad</x:v>
      </x:c>
      <x:c r="C10" s="92" t="str">
        <x:v>El sistema deberá registrar parámetros de calidad de la leche, incluyendo densidad, acidez y temperatura.</x:v>
      </x:c>
      <x:c r="D10" s="92" t="str">
        <x:v>Funcional</x:v>
      </x:c>
      <x:c r="E10" s="92" t="str">
        <x:v>—</x:v>
      </x:c>
      <x:c r="F10" s="92" t="str">
        <x:v>Personal de planta / Calidad</x:v>
      </x:c>
      <x:c r="G10" s="92" t="str">
        <x:v>Project Charter / Cronograma</x:v>
      </x:c>
      <x:c r="H10" s="92" t="str">
        <x:v>G.6 · Cronograma 91</x:v>
      </x:c>
      <x:c r="I10" s="92" t="str">
        <x:v>Must</x:v>
      </x:c>
      <x:c r="J10" s="92" t="str">
        <x:v>El control queda asociado al recojo y conserva densidad, acidez, temperatura y observaciones disponibles.</x:v>
      </x:c>
      <x:c r="K10" s="92" t="str">
        <x:v>Calidad</x:v>
      </x:c>
      <x:c r="L10" s="92" t="str">
        <x:v>RF-05</x:v>
      </x:c>
      <x:c r="M10" s="92" t="str">
        <x:v>Aprobado</x:v>
      </x:c>
      <x:c r="N10" s="49" t="str">
        <x:v>Sprint 5</x:v>
      </x:c>
    </x:row>
    <x:row r="11" ht="21.600000381469727" hidden="0" customHeight="1">
      <x:c r="A11" s="48" t="str">
        <x:v>RF-07</x:v>
      </x:c>
      <x:c r="B11" s="92" t="str">
        <x:v>Calcular liquidación</x:v>
      </x:c>
      <x:c r="C11" s="92" t="str">
        <x:v>El sistema deberá calcular la liquidación del productor considerando cantidad recolectada y calidad, sin ejecutar una transacción financiera externa.</x:v>
      </x:c>
      <x:c r="D11" s="92" t="str">
        <x:v>Funcional</x:v>
      </x:c>
      <x:c r="E11" s="92" t="str">
        <x:v>—</x:v>
      </x:c>
      <x:c r="F11" s="92" t="str">
        <x:v>Administrador</x:v>
      </x:c>
      <x:c r="G11" s="92" t="str">
        <x:v>Project Charter / Cronograma</x:v>
      </x:c>
      <x:c r="H11" s="92" t="str">
        <x:v>F · G.7 · Cronograma 92</x:v>
      </x:c>
      <x:c r="I11" s="92" t="str">
        <x:v>Must</x:v>
      </x:c>
      <x:c r="J11" s="92" t="str">
        <x:v>El sistema genera una liquidación consistente con los datos de cantidad y calidad del recojo y permite su consulta.</x:v>
      </x:c>
      <x:c r="K11" s="92" t="str">
        <x:v>Liquidaciones</x:v>
      </x:c>
      <x:c r="L11" s="92" t="str">
        <x:v>RF-05, RF-06</x:v>
      </x:c>
      <x:c r="M11" s="92" t="str">
        <x:v>Aprobado</x:v>
      </x:c>
      <x:c r="N11" s="49" t="str">
        <x:v>Sprint 5</x:v>
      </x:c>
    </x:row>
    <x:row r="12" ht="21.600000381469727" hidden="0" customHeight="1">
      <x:c r="A12" s="48" t="str">
        <x:v>RF-08</x:v>
      </x:c>
      <x:c r="B12" s="92" t="str">
        <x:v>Consultar liquidaciones por productor y fecha</x:v>
      </x:c>
      <x:c r="C12" s="92" t="str">
        <x:v>El sistema deberá permitir consultar las liquidaciones filtrando por productor y fecha desde el panel web.</x:v>
      </x:c>
      <x:c r="D12" s="92" t="str">
        <x:v>Funcional</x:v>
      </x:c>
      <x:c r="E12" s="92" t="str">
        <x:v>—</x:v>
      </x:c>
      <x:c r="F12" s="92" t="str">
        <x:v>Administrador</x:v>
      </x:c>
      <x:c r="G12" s="92" t="str">
        <x:v>Cronograma_2026</x:v>
      </x:c>
      <x:c r="H12" s="92" t="str">
        <x:v>Cronograma 88</x:v>
      </x:c>
      <x:c r="I12" s="92" t="str">
        <x:v>Should</x:v>
      </x:c>
      <x:c r="J12" s="92" t="str">
        <x:v>El filtro por productor y fecha devuelve únicamente las liquidaciones correspondientes.</x:v>
      </x:c>
      <x:c r="K12" s="92" t="str">
        <x:v>Liquidaciones / Web</x:v>
      </x:c>
      <x:c r="L12" s="92" t="str">
        <x:v>RF-07</x:v>
      </x:c>
      <x:c r="M12" s="92" t="str">
        <x:v>Planificado</x:v>
      </x:c>
      <x:c r="N12" s="49" t="str">
        <x:v>Sprint 5</x:v>
      </x:c>
    </x:row>
    <x:row r="13" ht="21.600000381469727" hidden="0" customHeight="1">
      <x:c r="A13" s="48" t="str">
        <x:v>RF-09</x:v>
      </x:c>
      <x:c r="B13" s="92" t="str">
        <x:v>Registrar recojo sin conexión</x:v>
      </x:c>
      <x:c r="C13" s="92" t="str">
        <x:v>La aplicación móvil deberá permitir registrar recojos aunque no exista conexión a Internet.</x:v>
      </x:c>
      <x:c r="D13" s="92" t="str">
        <x:v>Funcional</x:v>
      </x:c>
      <x:c r="E13" s="92" t="str">
        <x:v>—</x:v>
      </x:c>
      <x:c r="F13" s="92" t="str">
        <x:v>Acopiador</x:v>
      </x:c>
      <x:c r="G13" s="92" t="str">
        <x:v>Project Charter / Cronograma</x:v>
      </x:c>
      <x:c r="H13" s="92" t="str">
        <x:v>D · G.5 · Cronograma 94</x:v>
      </x:c>
      <x:c r="I13" s="92" t="str">
        <x:v>Must</x:v>
      </x:c>
      <x:c r="J13" s="92" t="str">
        <x:v>El acopiador puede completar y guardar un recojo en modo offline sin perder los datos capturados.</x:v>
      </x:c>
      <x:c r="K13" s="92" t="str">
        <x:v>Móvil</x:v>
      </x:c>
      <x:c r="L13" s="92" t="str">
        <x:v>RF-05</x:v>
      </x:c>
      <x:c r="M13" s="92" t="str">
        <x:v>Aprobado</x:v>
      </x:c>
      <x:c r="N13" s="49" t="str">
        <x:v>Sprint 5</x:v>
      </x:c>
    </x:row>
    <x:row r="14" ht="21.600000381469727" hidden="0" customHeight="1">
      <x:c r="A14" s="48" t="str">
        <x:v>RF-10</x:v>
      </x:c>
      <x:c r="B14" s="92" t="str">
        <x:v>Sincronizar datos offline</x:v>
      </x:c>
      <x:c r="C14" s="92" t="str">
        <x:v>La aplicación móvil deberá almacenar temporalmente los datos en SQLite y sincronizarlos con el backend cuando exista conectividad.</x:v>
      </x:c>
      <x:c r="D14" s="92" t="str">
        <x:v>Funcional</x:v>
      </x:c>
      <x:c r="E14" s="92" t="str">
        <x:v>—</x:v>
      </x:c>
      <x:c r="F14" s="92" t="str">
        <x:v>Acopiador</x:v>
      </x:c>
      <x:c r="G14" s="92" t="str">
        <x:v>Project Charter / Cronograma</x:v>
      </x:c>
      <x:c r="H14" s="92" t="str">
        <x:v>D · Cronograma 95</x:v>
      </x:c>
      <x:c r="I14" s="92" t="str">
        <x:v>Must</x:v>
      </x:c>
      <x:c r="J14" s="92" t="str">
        <x:v>Los registros pendientes se sincronizan posteriormente sin duplicarse y quedan disponibles en el servidor.</x:v>
      </x:c>
      <x:c r="K14" s="92" t="str">
        <x:v>Sincronización</x:v>
      </x:c>
      <x:c r="L14" s="92" t="str">
        <x:v>RF-09</x:v>
      </x:c>
      <x:c r="M14" s="92" t="str">
        <x:v>Aprobado</x:v>
      </x:c>
      <x:c r="N14" s="49" t="str">
        <x:v>Sprint 5</x:v>
      </x:c>
    </x:row>
    <x:row r="15" ht="21.600000381469727" hidden="0" customHeight="1">
      <x:c r="A15" s="48" t="str">
        <x:v>RF-11</x:v>
      </x:c>
      <x:c r="B15" s="92" t="str">
        <x:v>Consultar productores asignados</x:v>
      </x:c>
      <x:c r="C15" s="92" t="str">
        <x:v>La aplicación móvil deberá permitir al acopiador consultar los productores asignados a su operación.</x:v>
      </x:c>
      <x:c r="D15" s="92" t="str">
        <x:v>Funcional</x:v>
      </x:c>
      <x:c r="E15" s="92" t="str">
        <x:v>—</x:v>
      </x:c>
      <x:c r="F15" s="92" t="str">
        <x:v>Acopiador</x:v>
      </x:c>
      <x:c r="G15" s="92" t="str">
        <x:v>Cronograma_2026</x:v>
      </x:c>
      <x:c r="H15" s="92" t="str">
        <x:v>Cronograma 73</x:v>
      </x:c>
      <x:c r="I15" s="92" t="str">
        <x:v>Should</x:v>
      </x:c>
      <x:c r="J15" s="92" t="str">
        <x:v>El acopiador visualiza la lista de productores asignados y puede seleccionar uno durante el recojo.</x:v>
      </x:c>
      <x:c r="K15" s="92" t="str">
        <x:v>Móvil / Productores</x:v>
      </x:c>
      <x:c r="L15" s="92" t="str">
        <x:v>RF-01, RF-02</x:v>
      </x:c>
      <x:c r="M15" s="92" t="str">
        <x:v>Planificado</x:v>
      </x:c>
      <x:c r="N15" s="49" t="str">
        <x:v>Sprint 4</x:v>
      </x:c>
    </x:row>
    <x:row r="16" ht="21.600000381469727" hidden="0" customHeight="1">
      <x:c r="A16" s="48" t="str">
        <x:v>RF-12</x:v>
      </x:c>
      <x:c r="B16" s="92" t="str">
        <x:v>Gestionar ruta del día</x:v>
      </x:c>
      <x:c r="C16" s="92" t="str">
        <x:v>La aplicación móvil deberá mostrar al acopiador la ruta operativa del día.</x:v>
      </x:c>
      <x:c r="D16" s="92" t="str">
        <x:v>Funcional</x:v>
      </x:c>
      <x:c r="E16" s="92" t="str">
        <x:v>—</x:v>
      </x:c>
      <x:c r="F16" s="92" t="str">
        <x:v>Acopiador</x:v>
      </x:c>
      <x:c r="G16" s="92" t="str">
        <x:v>Cronograma_2026</x:v>
      </x:c>
      <x:c r="H16" s="92" t="str">
        <x:v>Cronograma 74</x:v>
      </x:c>
      <x:c r="I16" s="92" t="str">
        <x:v>Should</x:v>
      </x:c>
      <x:c r="J16" s="92" t="str">
        <x:v>La app muestra la ruta vigente y los elementos necesarios para ejecutar el recojo planificado.</x:v>
      </x:c>
      <x:c r="K16" s="92" t="str">
        <x:v>Móvil / Rutas</x:v>
      </x:c>
      <x:c r="L16" s="92" t="str">
        <x:v>RF-03</x:v>
      </x:c>
      <x:c r="M16" s="92" t="str">
        <x:v>Planificado</x:v>
      </x:c>
      <x:c r="N16" s="49" t="str">
        <x:v>Sprint 4</x:v>
      </x:c>
    </x:row>
    <x:row r="17" ht="21.600000381469727" hidden="0" customHeight="1">
      <x:c r="A17" s="48" t="str">
        <x:v>RF-13</x:v>
      </x:c>
      <x:c r="B17" s="92" t="str">
        <x:v>Capturar evidencia por recojo</x:v>
      </x:c>
      <x:c r="C17" s="92" t="str">
        <x:v>La aplicación móvil deberá permitir asociar evidencia al recojo, como firma digital o fotografía.</x:v>
      </x:c>
      <x:c r="D17" s="92" t="str">
        <x:v>Funcional</x:v>
      </x:c>
      <x:c r="E17" s="92" t="str">
        <x:v>—</x:v>
      </x:c>
      <x:c r="F17" s="92" t="str">
        <x:v>Acopiador</x:v>
      </x:c>
      <x:c r="G17" s="92" t="str">
        <x:v>Cronograma_2026</x:v>
      </x:c>
      <x:c r="H17" s="92" t="str">
        <x:v>Cronograma 99</x:v>
      </x:c>
      <x:c r="I17" s="92" t="str">
        <x:v>Could</x:v>
      </x:c>
      <x:c r="J17" s="92" t="str">
        <x:v>La evidencia seleccionada queda vinculada al recojo correspondiente y puede recuperarse con él.</x:v>
      </x:c>
      <x:c r="K17" s="92" t="str">
        <x:v>Móvil / Evidencias</x:v>
      </x:c>
      <x:c r="L17" s="92" t="str">
        <x:v>RF-05</x:v>
      </x:c>
      <x:c r="M17" s="92" t="str">
        <x:v>Planificado</x:v>
      </x:c>
      <x:c r="N17" s="49" t="str">
        <x:v>Sprint 5</x:v>
      </x:c>
    </x:row>
    <x:row r="18" ht="21.600000381469727" hidden="0" customHeight="1">
      <x:c r="A18" s="48" t="str">
        <x:v>RF-14</x:v>
      </x:c>
      <x:c r="B18" s="92" t="str">
        <x:v>Generar reportes y dashboard</x:v>
      </x:c>
      <x:c r="C18" s="92" t="str">
        <x:v>El sistema deberá generar reportes y un dashboard de producción total, por ruta, por productor y por periodo.</x:v>
      </x:c>
      <x:c r="D18" s="92" t="str">
        <x:v>Funcional</x:v>
      </x:c>
      <x:c r="E18" s="92" t="str">
        <x:v>—</x:v>
      </x:c>
      <x:c r="F18" s="92" t="str">
        <x:v>Administrador / Gerencia</x:v>
      </x:c>
      <x:c r="G18" s="92" t="str">
        <x:v>Project Charter / Cronograma</x:v>
      </x:c>
      <x:c r="H18" s="92" t="str">
        <x:v>F · G.8 · Cronograma 107,111</x:v>
      </x:c>
      <x:c r="I18" s="92" t="str">
        <x:v>Must</x:v>
      </x:c>
      <x:c r="J18" s="92" t="str">
        <x:v>Los totales del dashboard y reportes coinciden con los recojos almacenados y pueden filtrarse por los criterios definidos.</x:v>
      </x:c>
      <x:c r="K18" s="92" t="str">
        <x:v>Reportes / Dashboard</x:v>
      </x:c>
      <x:c r="L18" s="92" t="str">
        <x:v>RF-05, RF-07</x:v>
      </x:c>
      <x:c r="M18" s="92" t="str">
        <x:v>Aprobado</x:v>
      </x:c>
      <x:c r="N18" s="49" t="str">
        <x:v>Sprint 6</x:v>
      </x:c>
    </x:row>
    <x:row r="19" ht="21.600000381469727" hidden="0" customHeight="1">
      <x:c r="A19" s="48" t="str">
        <x:v>RF-15</x:v>
      </x:c>
      <x:c r="B19" s="92" t="str">
        <x:v>Administrar usuarios y roles</x:v>
      </x:c>
      <x:c r="C19" s="92" t="str">
        <x:v>El sistema deberá permitir administrar usuarios y roles de acceso desde el panel web.</x:v>
      </x:c>
      <x:c r="D19" s="92" t="str">
        <x:v>Funcional</x:v>
      </x:c>
      <x:c r="E19" s="92" t="str">
        <x:v>—</x:v>
      </x:c>
      <x:c r="F19" s="92" t="str">
        <x:v>Administrador</x:v>
      </x:c>
      <x:c r="G19" s="92" t="str">
        <x:v>Project Charter / Cronograma</x:v>
      </x:c>
      <x:c r="H19" s="92" t="str">
        <x:v>G.9 · Cronograma 112</x:v>
      </x:c>
      <x:c r="I19" s="92" t="str">
        <x:v>Must</x:v>
      </x:c>
      <x:c r="J19" s="92" t="str">
        <x:v>Un administrador puede crear/actualizar usuarios y asignar roles; los permisos se aplican al iniciar sesión.</x:v>
      </x:c>
      <x:c r="K19" s="92" t="str">
        <x:v>Usuarios / Roles</x:v>
      </x:c>
      <x:c r="L19" s="92" t="str">
        <x:v>RF-16</x:v>
      </x:c>
      <x:c r="M19" s="92" t="str">
        <x:v>Aprobado</x:v>
      </x:c>
      <x:c r="N19" s="49" t="str">
        <x:v>Sprint 6</x:v>
      </x:c>
    </x:row>
    <x:row r="20" ht="21.600000381469727" hidden="0" customHeight="1">
      <x:c r="A20" s="48" t="str">
        <x:v>RF-16</x:v>
      </x:c>
      <x:c r="B20" s="92" t="str">
        <x:v>Autenticar usuarios con JWT</x:v>
      </x:c>
      <x:c r="C20" s="92" t="str">
        <x:v>El backend deberá autenticar usuarios y controlar el acceso mediante Spring Security y JWT.</x:v>
      </x:c>
      <x:c r="D20" s="92" t="str">
        <x:v>Funcional</x:v>
      </x:c>
      <x:c r="E20" s="92" t="str">
        <x:v>—</x:v>
      </x:c>
      <x:c r="F20" s="92" t="str">
        <x:v>Todos</x:v>
      </x:c>
      <x:c r="G20" s="92" t="str">
        <x:v>Project Charter / Cronograma</x:v>
      </x:c>
      <x:c r="H20" s="92" t="str">
        <x:v>D · Cronograma 53,59</x:v>
      </x:c>
      <x:c r="I20" s="92" t="str">
        <x:v>Must</x:v>
      </x:c>
      <x:c r="J20" s="92" t="str">
        <x:v>Un usuario válido obtiene acceso autenticado y un usuario sin credenciales válidas no accede a funciones protegidas.</x:v>
      </x:c>
      <x:c r="K20" s="92" t="str">
        <x:v>Seguridad</x:v>
      </x:c>
      <x:c r="L20" s="92" t="str">
        <x:v>—</x:v>
      </x:c>
      <x:c r="M20" s="92" t="str">
        <x:v>Aprobado</x:v>
      </x:c>
      <x:c r="N20" s="49" t="str">
        <x:v>Sprint 3</x:v>
      </x:c>
    </x:row>
    <x:row r="21" ht="21.600000381469727" hidden="0" customHeight="1">
      <x:c r="A21" s="48" t="str">
        <x:v>RF-17</x:v>
      </x:c>
      <x:c r="B21" s="92" t="str">
        <x:v>Consultar historial personal de recojos</x:v>
      </x:c>
      <x:c r="C21" s="92" t="str">
        <x:v>La aplicación móvil deberá permitir al acopiador consultar su historial de recojos y reportes personales.</x:v>
      </x:c>
      <x:c r="D21" s="92" t="str">
        <x:v>Funcional</x:v>
      </x:c>
      <x:c r="E21" s="92" t="str">
        <x:v>—</x:v>
      </x:c>
      <x:c r="F21" s="92" t="str">
        <x:v>Acopiador</x:v>
      </x:c>
      <x:c r="G21" s="92" t="str">
        <x:v>Cronograma_2026</x:v>
      </x:c>
      <x:c r="H21" s="92" t="str">
        <x:v>Cronograma 117</x:v>
      </x:c>
      <x:c r="I21" s="92" t="str">
        <x:v>Should</x:v>
      </x:c>
      <x:c r="J21" s="92" t="str">
        <x:v>El acopiador puede revisar sus recojos registrados y el historial mostrado corresponde a sus datos.</x:v>
      </x:c>
      <x:c r="K21" s="92" t="str">
        <x:v>Móvil / Historial</x:v>
      </x:c>
      <x:c r="L21" s="92" t="str">
        <x:v>RF-05</x:v>
      </x:c>
      <x:c r="M21" s="92" t="str">
        <x:v>Planificado</x:v>
      </x:c>
      <x:c r="N21" s="49" t="str">
        <x:v>Sprint 6</x:v>
      </x:c>
    </x:row>
    <x:row r="22" ht="21.600000381469727" hidden="0" customHeight="1">
      <x:c r="A22" s="48" t="str">
        <x:v>RF-18</x:v>
      </x:c>
      <x:c r="B22" s="92" t="str">
        <x:v>Recibir notificaciones</x:v>
      </x:c>
      <x:c r="C22" s="92" t="str">
        <x:v>El sistema deberá soportar notificaciones definidas en el cronograma mediante email y/o push en la aplicación móvil.</x:v>
      </x:c>
      <x:c r="D22" s="92" t="str">
        <x:v>Funcional</x:v>
      </x:c>
      <x:c r="E22" s="92" t="str">
        <x:v>—</x:v>
      </x:c>
      <x:c r="F22" s="92" t="str">
        <x:v>Administrador / Acopiador</x:v>
      </x:c>
      <x:c r="G22" s="92" t="str">
        <x:v>Cronograma_2026</x:v>
      </x:c>
      <x:c r="H22" s="92" t="str">
        <x:v>Cronograma 110,113</x:v>
      </x:c>
      <x:c r="I22" s="92" t="str">
        <x:v>Could</x:v>
      </x:c>
      <x:c r="J22" s="92" t="str">
        <x:v>Una notificación configurada puede generarse y recibirse por el canal previsto sin afectar el resto de módulos.</x:v>
      </x:c>
      <x:c r="K22" s="92" t="str">
        <x:v>Notificaciones</x:v>
      </x:c>
      <x:c r="L22" s="92" t="str">
        <x:v>RF-16</x:v>
      </x:c>
      <x:c r="M22" s="92" t="str">
        <x:v>Planificado</x:v>
      </x:c>
      <x:c r="N22" s="49" t="str">
        <x:v>Sprint 6</x:v>
      </x:c>
    </x:row>
    <x:row r="23" ht="21.600000381469727" hidden="0" customHeight="1">
      <x:c r="A23" s="48" t="str">
        <x:v>RNF-01</x:v>
      </x:c>
      <x:c r="B23" s="92" t="str">
        <x:v>Interfaz intuitiva y responsive</x:v>
      </x:c>
      <x:c r="C23" s="92" t="str">
        <x:v>La plataforma web deberá ser responsive y mantener una interfaz clara e intuitiva para usuarios con distintos niveles de alfabetización digital.</x:v>
      </x:c>
      <x:c r="D23" s="92" t="str">
        <x:v>No funcional</x:v>
      </x:c>
      <x:c r="E23" s="92" t="str">
        <x:v>Usabilidad</x:v>
      </x:c>
      <x:c r="F23" s="92" t="str">
        <x:v>Todos</x:v>
      </x:c>
      <x:c r="G23" s="92" t="str">
        <x:v>Project Charter</x:v>
      </x:c>
      <x:c r="H23" s="92" t="str">
        <x:v>F - Calidad</x:v>
      </x:c>
      <x:c r="I23" s="92" t="str">
        <x:v>Must</x:v>
      </x:c>
      <x:c r="J23" s="92" t="str">
        <x:v>Las funciones principales son legibles y utilizables en resoluciones comunes sin pérdida de controles esenciales.</x:v>
      </x:c>
      <x:c r="K23" s="92" t="str">
        <x:v>Transversal</x:v>
      </x:c>
      <x:c r="L23" s="92" t="str">
        <x:v>—</x:v>
      </x:c>
      <x:c r="M23" s="92" t="str">
        <x:v>Aprobado</x:v>
      </x:c>
      <x:c r="N23" s="49" t="str">
        <x:v>Transversal</x:v>
      </x:c>
    </x:row>
    <x:row r="24" ht="21.600000381469727" hidden="0" customHeight="1">
      <x:c r="A24" s="48" t="str">
        <x:v>RNF-02</x:v>
      </x:c>
      <x:c r="B24" s="92" t="str">
        <x:v>Seguridad de la información</x:v>
      </x:c>
      <x:c r="C24" s="92" t="str">
        <x:v>La solución deberá usar HTTPS, autenticación JWT y controles de autorización para proteger datos y accesos.</x:v>
      </x:c>
      <x:c r="D24" s="92" t="str">
        <x:v>No funcional</x:v>
      </x:c>
      <x:c r="E24" s="92" t="str">
        <x:v>Seguridad</x:v>
      </x:c>
      <x:c r="F24" s="92" t="str">
        <x:v>Todos</x:v>
      </x:c>
      <x:c r="G24" s="92" t="str">
        <x:v>Project Charter / Cronograma</x:v>
      </x:c>
      <x:c r="H24" s="92" t="str">
        <x:v>F - Calidad · Cronograma 53,59</x:v>
      </x:c>
      <x:c r="I24" s="92" t="str">
        <x:v>Must</x:v>
      </x:c>
      <x:c r="J24" s="92" t="str">
        <x:v>Las funciones protegidas requieren autenticación y las comunicaciones de producción utilizan HTTPS.</x:v>
      </x:c>
      <x:c r="K24" s="92" t="str">
        <x:v>Seguridad</x:v>
      </x:c>
      <x:c r="L24" s="92" t="str">
        <x:v>RF-16</x:v>
      </x:c>
      <x:c r="M24" s="92" t="str">
        <x:v>Aprobado</x:v>
      </x:c>
      <x:c r="N24" s="49" t="str">
        <x:v>Sprint 3 / 8</x:v>
      </x:c>
    </x:row>
    <x:row r="25" ht="21.600000381469727" hidden="0" customHeight="1">
      <x:c r="A25" s="48" t="str">
        <x:v>RNF-03</x:v>
      </x:c>
      <x:c r="B25" s="92" t="str">
        <x:v>Compatibilidad Android</x:v>
      </x:c>
      <x:c r="C25" s="92" t="str">
        <x:v>La aplicación móvil deberá ser compatible con dispositivos Android de gama media y baja y distribuirse mediante APK.</x:v>
      </x:c>
      <x:c r="D25" s="92" t="str">
        <x:v>No funcional</x:v>
      </x:c>
      <x:c r="E25" s="92" t="str">
        <x:v>Compatibilidad</x:v>
      </x:c>
      <x:c r="F25" s="92" t="str">
        <x:v>Acopiador</x:v>
      </x:c>
      <x:c r="G25" s="92" t="str">
        <x:v>Project Charter / Cronograma</x:v>
      </x:c>
      <x:c r="H25" s="92" t="str">
        <x:v>G - Exclusiones/Restricciones · Cronograma 158</x:v>
      </x:c>
      <x:c r="I25" s="92" t="str">
        <x:v>Must</x:v>
      </x:c>
      <x:c r="J25" s="92" t="str">
        <x:v>La APK se instala y permite ejecutar los flujos principales en dispositivos Android compatibles.</x:v>
      </x:c>
      <x:c r="K25" s="92" t="str">
        <x:v>Móvil</x:v>
      </x:c>
      <x:c r="L25" s="92" t="str">
        <x:v>—</x:v>
      </x:c>
      <x:c r="M25" s="92" t="str">
        <x:v>Aprobado</x:v>
      </x:c>
      <x:c r="N25" s="49" t="str">
        <x:v>Sprint 8</x:v>
      </x:c>
    </x:row>
    <x:row r="26" ht="15" hidden="0" customHeight="1">
      <x:c r="A26" s="48" t="str">
        <x:v>RNF-04</x:v>
      </x:c>
      <x:c r="B26" s="92" t="str">
        <x:v>Compatibilidad web</x:v>
      </x:c>
      <x:c r="C26" s="92" t="str">
        <x:v>La plataforma web deberá funcionar en navegadores modernos Chrome, Firefox y Edge.</x:v>
      </x:c>
      <x:c r="D26" s="92" t="str">
        <x:v>No funcional</x:v>
      </x:c>
      <x:c r="E26" s="92" t="str">
        <x:v>Compatibilidad</x:v>
      </x:c>
      <x:c r="F26" s="92" t="str">
        <x:v>Administrador</x:v>
      </x:c>
      <x:c r="G26" s="92" t="str">
        <x:v>Project Charter</x:v>
      </x:c>
      <x:c r="H26" s="92" t="str">
        <x:v>G - Restricciones 3</x:v>
      </x:c>
      <x:c r="I26" s="92" t="str">
        <x:v>Must</x:v>
      </x:c>
      <x:c r="J26" s="92" t="str">
        <x:v>Las funciones críticas se ejecutan correctamente en los navegadores indicados.</x:v>
      </x:c>
      <x:c r="K26" s="92" t="str">
        <x:v>Web</x:v>
      </x:c>
      <x:c r="L26" s="92" t="str">
        <x:v>—</x:v>
      </x:c>
      <x:c r="M26" s="92" t="str">
        <x:v>Aprobado</x:v>
      </x:c>
      <x:c r="N26" s="49" t="str">
        <x:v>Transversal</x:v>
      </x:c>
    </x:row>
    <x:row r="27" ht="21.600000381469727" hidden="0" customHeight="1">
      <x:c r="A27" s="48" t="str">
        <x:v>RNF-05</x:v>
      </x:c>
      <x:c r="B27" s="92" t="str">
        <x:v>Rendimiento y estabilidad</x:v>
      </x:c>
      <x:c r="C27" s="92" t="str">
        <x:v>La plataforma deberá ser estable, rápida y mantener un comportamiento consistente durante las operaciones habituales.</x:v>
      </x:c>
      <x:c r="D27" s="92" t="str">
        <x:v>No funcional</x:v>
      </x:c>
      <x:c r="E27" s="92" t="str">
        <x:v>Rendimiento</x:v>
      </x:c>
      <x:c r="F27" s="92" t="str">
        <x:v>Todos</x:v>
      </x:c>
      <x:c r="G27" s="92" t="str">
        <x:v>Project Charter</x:v>
      </x:c>
      <x:c r="H27" s="92" t="str">
        <x:v>F - Calidad</x:v>
      </x:c>
      <x:c r="I27" s="92" t="str">
        <x:v>Should</x:v>
      </x:c>
      <x:c r="J27" s="92" t="str">
        <x:v>Los flujos habituales se completan sin bloqueos y las pruebas no funcionales no detectan fallos críticos de rendimiento.</x:v>
      </x:c>
      <x:c r="K27" s="92" t="str">
        <x:v>Transversal</x:v>
      </x:c>
      <x:c r="L27" s="92" t="str">
        <x:v>—</x:v>
      </x:c>
      <x:c r="M27" s="92" t="str">
        <x:v>Aprobado</x:v>
      </x:c>
      <x:c r="N27" s="49" t="str">
        <x:v>Sprint 7</x:v>
      </x:c>
    </x:row>
    <x:row r="28" ht="21.600000381469727" hidden="0" customHeight="1">
      <x:c r="A28" s="48" t="str">
        <x:v>RNF-06</x:v>
      </x:c>
      <x:c r="B28" s="92" t="str">
        <x:v>Persistencia de datos</x:v>
      </x:c>
      <x:c r="C28" s="92" t="str">
        <x:v>El backend deberá usar PostgreSQL y la aplicación móvil SQLite para almacenamiento local offline.</x:v>
      </x:c>
      <x:c r="D28" s="92" t="str">
        <x:v>No funcional</x:v>
      </x:c>
      <x:c r="E28" s="92" t="str">
        <x:v>Datos</x:v>
      </x:c>
      <x:c r="F28" s="92" t="str">
        <x:v>Equipo de desarrollo</x:v>
      </x:c>
      <x:c r="G28" s="92" t="str">
        <x:v>Project Charter / Cronograma</x:v>
      </x:c>
      <x:c r="H28" s="92" t="str">
        <x:v>B/D · Cronograma 48,95</x:v>
      </x:c>
      <x:c r="I28" s="92" t="str">
        <x:v>Must</x:v>
      </x:c>
      <x:c r="J28" s="92" t="str">
        <x:v>Los datos del servidor se almacenan en PostgreSQL y los registros offline en SQLite hasta su sincronización.</x:v>
      </x:c>
      <x:c r="K28" s="92" t="str">
        <x:v>Datos</x:v>
      </x:c>
      <x:c r="L28" s="92" t="str">
        <x:v>RF-10</x:v>
      </x:c>
      <x:c r="M28" s="92" t="str">
        <x:v>Aprobado</x:v>
      </x:c>
      <x:c r="N28" s="49" t="str">
        <x:v>Sprint 3 / 5</x:v>
      </x:c>
    </x:row>
    <x:row r="29" ht="21.600000381469727" hidden="0" customHeight="1">
      <x:c r="A29" s="48" t="str">
        <x:v>RNF-07</x:v>
      </x:c>
      <x:c r="B29" s="92" t="str">
        <x:v>Disponibilidad en producción</x:v>
      </x:c>
      <x:c r="C29" s="92" t="str">
        <x:v>El sistema deberá desplegarse en un servidor de producción con dominio y certificado SSL, buscando funcionamiento continuo.</x:v>
      </x:c>
      <x:c r="D29" s="92" t="str">
        <x:v>No funcional</x:v>
      </x:c>
      <x:c r="E29" s="92" t="str">
        <x:v>Disponibilidad</x:v>
      </x:c>
      <x:c r="F29" s="92" t="str">
        <x:v>Administrador</x:v>
      </x:c>
      <x:c r="G29" s="92" t="str">
        <x:v>Project Charter / Cronograma</x:v>
      </x:c>
      <x:c r="H29" s="92" t="str">
        <x:v>D.2 · Cronograma 153-155</x:v>
      </x:c>
      <x:c r="I29" s="92" t="str">
        <x:v>Should</x:v>
      </x:c>
      <x:c r="J29" s="92" t="str">
        <x:v>El backend y la web quedan accesibles en producción y superan las pruebas de humo posteriores al despliegue.</x:v>
      </x:c>
      <x:c r="K29" s="92" t="str">
        <x:v>Infraestructura</x:v>
      </x:c>
      <x:c r="L29" s="92" t="str">
        <x:v>RNF-02</x:v>
      </x:c>
      <x:c r="M29" s="92" t="str">
        <x:v>Aprobado</x:v>
      </x:c>
      <x:c r="N29" s="49" t="str">
        <x:v>Sprint 8</x:v>
      </x:c>
    </x:row>
    <x:row r="30" ht="21.600000381469727" hidden="0" customHeight="1">
      <x:c r="A30" s="48" t="str">
        <x:v>RNF-08</x:v>
      </x:c>
      <x:c r="B30" s="92" t="str">
        <x:v>Integridad y respaldo</x:v>
      </x:c>
      <x:c r="C30" s="92" t="str">
        <x:v>La implementación deberá contemplar respaldo de datos y validación de la carga/migración inicial para reducir el riesgo de pérdida de información.</x:v>
      </x:c>
      <x:c r="D30" s="92" t="str">
        <x:v>No funcional</x:v>
      </x:c>
      <x:c r="E30" s="92" t="str">
        <x:v>Confiabilidad</x:v>
      </x:c>
      <x:c r="F30" s="92" t="str">
        <x:v>Administrador / Equipo</x:v>
      </x:c>
      <x:c r="G30" s="92" t="str">
        <x:v>Project Charter / Cronograma</x:v>
      </x:c>
      <x:c r="H30" s="92" t="str">
        <x:v>R9 · Cronograma 161,170</x:v>
      </x:c>
      <x:c r="I30" s="92" t="str">
        <x:v>Must</x:v>
      </x:c>
      <x:c r="J30" s="92" t="str">
        <x:v>La carga inicial se valida y existe un procedimiento de respaldo/recuperación documentado para producción.</x:v>
      </x:c>
      <x:c r="K30" s="92" t="str">
        <x:v>Datos / Respaldo</x:v>
      </x:c>
      <x:c r="L30" s="92" t="str">
        <x:v>RNF-06</x:v>
      </x:c>
      <x:c r="M30" s="92" t="str">
        <x:v>Aprobado</x:v>
      </x:c>
      <x:c r="N30" s="49" t="str">
        <x:v>Sprint 8</x:v>
      </x:c>
    </x:row>
    <x:row r="31" ht="21.600000381469727" hidden="0" customHeight="1">
      <x:c r="A31" s="50" t="str">
        <x:v>RNF-09</x:v>
      </x:c>
      <x:c r="B31" s="93" t="str">
        <x:v>Mantenibilidad y documentación</x:v>
      </x:c>
      <x:c r="C31" s="93" t="str">
        <x:v>La solución deberá contar con documentación técnica y de usuario suficiente para facilitar soporte, despliegue y mantenimiento.</x:v>
      </x:c>
      <x:c r="D31" s="93" t="str">
        <x:v>No funcional</x:v>
      </x:c>
      <x:c r="E31" s="93" t="str">
        <x:v>Mantenibilidad</x:v>
      </x:c>
      <x:c r="F31" s="93" t="str">
        <x:v>Equipo de desarrollo</x:v>
      </x:c>
      <x:c r="G31" s="93" t="str">
        <x:v>Project Charter / Cronograma</x:v>
      </x:c>
      <x:c r="H31" s="93" t="str">
        <x:v>G.12 · Cronograma 79,144,145,178</x:v>
      </x:c>
      <x:c r="I31" s="93" t="str">
        <x:v>Should</x:v>
      </x:c>
      <x:c r="J31" s="93" t="str">
        <x:v>Se entregan manual de usuario, manual técnico y documentación de API/código prevista por el cronograma.</x:v>
      </x:c>
      <x:c r="K31" s="93" t="str">
        <x:v>Documentación</x:v>
      </x:c>
      <x:c r="L31" s="93" t="str">
        <x:v>—</x:v>
      </x:c>
      <x:c r="M31" s="93" t="str">
        <x:v>Aprobado</x:v>
      </x:c>
      <x:c r="N31" s="51" t="str">
        <x:v>Sprint 4 / 7 / Cierre</x:v>
      </x:c>
    </x:row>
  </x:sheetData>
  <x:mergeCells>
    <x:mergeCell ref="A1:N1"/>
    <x:mergeCell ref="A2:N2"/>
  </x:mergeCells>
  <x:conditionalFormatting sqref="M5:M31">
    <x:cfRule type="expression" dxfId="0" priority="1">
      <x:formula>M5="Aprobado"</x:formula>
    </x:cfRule>
    <x:cfRule type="expression" dxfId="1" priority="2">
      <x:formula>M5="Planificado"</x:formula>
    </x:cfRule>
  </x:conditionalFormatting>
  <x:conditionalFormatting sqref="I5:I31">
    <x:cfRule type="expression" dxfId="2" priority="3">
      <x:formula>I5="Must"</x:formula>
    </x:cfRule>
  </x:conditionalFormatting>
  <x:dataValidations count="3">
    <x:dataValidation type="list" sqref="D5:D31">
      <x:formula1>"Funcional,No funcional"</x:formula1>
    </x:dataValidation>
    <x:dataValidation type="list" sqref="I5:I31">
      <x:formula1>"Must,Should,Could"</x:formula1>
    </x:dataValidation>
    <x:dataValidation type="list" sqref="M5:M31">
      <x:formula1>"Aprobado,Planificado,Por validar,Fuera de alcance"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43" hidden="0" customWidth="1"/>
    <x:col min="4" max="4" width="42" hidden="0" customWidth="1"/>
    <x:col min="5" max="5" width="62" hidden="0" customWidth="1"/>
    <x:col min="6" max="6" width="34" hidden="0" customWidth="1"/>
    <x:col min="7" max="7" width="16" hidden="0" customWidth="1"/>
    <x:col min="8" max="8" width="18" hidden="0" customWidth="1"/>
  </x:cols>
  <x:sheetData>
    <x:row r="1" ht="19.200000762939453" hidden="0" customHeight="1">
      <x:c r="A1" s="5" t="str">
        <x:v>CASOS DE PRUEBA - HUATA LÁCTEOS</x:v>
      </x:c>
      <x:c r="B1" s="5"/>
      <x:c r="C1" s="5"/>
      <x:c r="D1" s="5"/>
      <x:c r="E1" s="5"/>
      <x:c r="F1" s="5"/>
      <x:c r="G1" s="5"/>
      <x:c r="H1" s="5"/>
    </x:row>
    <x:row r="2" ht="15" hidden="0" customHeight="1">
      <x:c r="A2" s="11" t="str">
        <x:v>Casos mínimos de validación derivados de los requerimientos corregidos.</x:v>
      </x:c>
      <x:c r="B2" s="11"/>
      <x:c r="C2" s="11"/>
      <x:c r="D2" s="11"/>
      <x:c r="E2" s="11"/>
      <x:c r="F2" s="11"/>
      <x:c r="G2" s="11"/>
      <x:c r="H2" s="11"/>
    </x:row>
    <x:row r="3"/>
    <x:row r="4" ht="15" hidden="0" customHeight="1">
      <x:c r="A4" s="21" t="str">
        <x:v>ID</x:v>
      </x:c>
      <x:c r="B4" s="81" t="str">
        <x:v>Requisito</x:v>
      </x:c>
      <x:c r="C4" s="81" t="str">
        <x:v>Escenario</x:v>
      </x:c>
      <x:c r="D4" s="81" t="str">
        <x:v>Datos / precondición</x:v>
      </x:c>
      <x:c r="E4" s="81" t="str">
        <x:v>Resultado esperado</x:v>
      </x:c>
      <x:c r="F4" s="81" t="str">
        <x:v>Resultado obtenido</x:v>
      </x:c>
      <x:c r="G4" s="81" t="str">
        <x:v>Estado</x:v>
      </x:c>
      <x:c r="H4" s="22" t="str">
        <x:v>Sprint</x:v>
      </x:c>
    </x:row>
    <x:row r="5" ht="21.600000381469727" hidden="0" customHeight="1">
      <x:c r="A5" s="46" t="str">
        <x:v>CP-01</x:v>
      </x:c>
      <x:c r="B5" s="91" t="str">
        <x:v>RF-01</x:v>
      </x:c>
      <x:c r="C5" s="91" t="str">
        <x:v>Validar: gestionar productores.</x:v>
      </x:c>
      <x:c r="D5" s="91" t="str">
        <x:v>Datos válidos del flujo y usuario con permisos correspondientes.</x:v>
      </x:c>
      <x:c r="E5" s="91" t="str">
        <x:v>Se puede crear, consultar y actualizar un productor; la información queda disponible para recojos y reportes.</x:v>
      </x:c>
      <x:c r="F5" s="91"/>
      <x:c r="G5" s="91" t="str">
        <x:v>Pendiente</x:v>
      </x:c>
      <x:c r="H5" s="47" t="str">
        <x:v>Sprint 4</x:v>
      </x:c>
    </x:row>
    <x:row r="6" ht="15" hidden="0" customHeight="1">
      <x:c r="A6" s="48" t="str">
        <x:v>CP-02</x:v>
      </x:c>
      <x:c r="B6" s="92" t="str">
        <x:v>RF-02</x:v>
      </x:c>
      <x:c r="C6" s="92" t="str">
        <x:v>Validar: gestionar acopiadores.</x:v>
      </x:c>
      <x:c r="D6" s="92" t="str">
        <x:v>Datos válidos del flujo y usuario con permisos correspondientes.</x:v>
      </x:c>
      <x:c r="E6" s="92" t="str">
        <x:v>El administrador puede registrar y consultar acopiadores y asociarlos a la operación correspondiente.</x:v>
      </x:c>
      <x:c r="F6" s="92"/>
      <x:c r="G6" s="92" t="str">
        <x:v>Pendiente</x:v>
      </x:c>
      <x:c r="H6" s="49" t="str">
        <x:v>Sprint 4</x:v>
      </x:c>
    </x:row>
    <x:row r="7" ht="15" hidden="0" customHeight="1">
      <x:c r="A7" s="48" t="str">
        <x:v>CP-03</x:v>
      </x:c>
      <x:c r="B7" s="92" t="str">
        <x:v>RF-03</x:v>
      </x:c>
      <x:c r="C7" s="92" t="str">
        <x:v>Validar: gestionar rutas.</x:v>
      </x:c>
      <x:c r="D7" s="92" t="str">
        <x:v>Datos válidos del flujo y usuario con permisos correspondientes.</x:v>
      </x:c>
      <x:c r="E7" s="92" t="str">
        <x:v>Las rutas pueden registrarse y consultarse; el acopiador puede visualizar la ruta del día.</x:v>
      </x:c>
      <x:c r="F7" s="92"/>
      <x:c r="G7" s="92" t="str">
        <x:v>Pendiente</x:v>
      </x:c>
      <x:c r="H7" s="49" t="str">
        <x:v>Sprint 4</x:v>
      </x:c>
    </x:row>
    <x:row r="8" ht="15" hidden="0" customHeight="1">
      <x:c r="A8" s="48" t="str">
        <x:v>CP-04</x:v>
      </x:c>
      <x:c r="B8" s="92" t="str">
        <x:v>RF-04</x:v>
      </x:c>
      <x:c r="C8" s="92" t="str">
        <x:v>Validar: gestionar centros de acopio.</x:v>
      </x:c>
      <x:c r="D8" s="92" t="str">
        <x:v>Datos válidos del flujo y usuario con permisos correspondientes.</x:v>
      </x:c>
      <x:c r="E8" s="92" t="str">
        <x:v>Los centros de acopio pueden crearse, consultarse y usarse en la gestión operativa.</x:v>
      </x:c>
      <x:c r="F8" s="92"/>
      <x:c r="G8" s="92" t="str">
        <x:v>Pendiente</x:v>
      </x:c>
      <x:c r="H8" s="49" t="str">
        <x:v>Sprint 4</x:v>
      </x:c>
    </x:row>
    <x:row r="9" ht="21.600000381469727" hidden="0" customHeight="1">
      <x:c r="A9" s="48" t="str">
        <x:v>CP-05</x:v>
      </x:c>
      <x:c r="B9" s="92" t="str">
        <x:v>RF-05</x:v>
      </x:c>
      <x:c r="C9" s="92" t="str">
        <x:v>Validar: registrar recojo de leche.</x:v>
      </x:c>
      <x:c r="D9" s="92" t="str">
        <x:v>Datos válidos del flujo y usuario con permisos correspondientes.</x:v>
      </x:c>
      <x:c r="E9" s="92" t="str">
        <x:v>Un recojo válido queda persistido con productor, cantidad, calidad y fecha y puede consultarse posteriormente.</x:v>
      </x:c>
      <x:c r="F9" s="92"/>
      <x:c r="G9" s="92" t="str">
        <x:v>Pendiente</x:v>
      </x:c>
      <x:c r="H9" s="49" t="str">
        <x:v>Sprint 5</x:v>
      </x:c>
    </x:row>
    <x:row r="10" ht="21.600000381469727" hidden="0" customHeight="1">
      <x:c r="A10" s="48" t="str">
        <x:v>CP-06</x:v>
      </x:c>
      <x:c r="B10" s="92" t="str">
        <x:v>RF-06</x:v>
      </x:c>
      <x:c r="C10" s="92" t="str">
        <x:v>Validar: registrar control de calidad.</x:v>
      </x:c>
      <x:c r="D10" s="92" t="str">
        <x:v>Datos válidos del flujo y usuario con permisos correspondientes.</x:v>
      </x:c>
      <x:c r="E10" s="92" t="str">
        <x:v>El control queda asociado al recojo y conserva densidad, acidez, temperatura y observaciones disponibles.</x:v>
      </x:c>
      <x:c r="F10" s="92"/>
      <x:c r="G10" s="92" t="str">
        <x:v>Pendiente</x:v>
      </x:c>
      <x:c r="H10" s="49" t="str">
        <x:v>Sprint 5</x:v>
      </x:c>
    </x:row>
    <x:row r="11" ht="21.600000381469727" hidden="0" customHeight="1">
      <x:c r="A11" s="48" t="str">
        <x:v>CP-07</x:v>
      </x:c>
      <x:c r="B11" s="92" t="str">
        <x:v>RF-07</x:v>
      </x:c>
      <x:c r="C11" s="92" t="str">
        <x:v>Validar: calcular liquidación.</x:v>
      </x:c>
      <x:c r="D11" s="92" t="str">
        <x:v>Datos válidos del flujo y usuario con permisos correspondientes.</x:v>
      </x:c>
      <x:c r="E11" s="92" t="str">
        <x:v>El sistema genera una liquidación consistente con los datos de cantidad y calidad del recojo y permite su consulta.</x:v>
      </x:c>
      <x:c r="F11" s="92"/>
      <x:c r="G11" s="92" t="str">
        <x:v>Pendiente</x:v>
      </x:c>
      <x:c r="H11" s="49" t="str">
        <x:v>Sprint 5</x:v>
      </x:c>
    </x:row>
    <x:row r="12" ht="15" hidden="0" customHeight="1">
      <x:c r="A12" s="48" t="str">
        <x:v>CP-08</x:v>
      </x:c>
      <x:c r="B12" s="92" t="str">
        <x:v>RF-08</x:v>
      </x:c>
      <x:c r="C12" s="92" t="str">
        <x:v>Validar: consultar liquidaciones por productor y fecha.</x:v>
      </x:c>
      <x:c r="D12" s="92" t="str">
        <x:v>Datos válidos del flujo y usuario con permisos correspondientes.</x:v>
      </x:c>
      <x:c r="E12" s="92" t="str">
        <x:v>El filtro por productor y fecha devuelve únicamente las liquidaciones correspondientes.</x:v>
      </x:c>
      <x:c r="F12" s="92"/>
      <x:c r="G12" s="92" t="str">
        <x:v>Pendiente</x:v>
      </x:c>
      <x:c r="H12" s="49" t="str">
        <x:v>Sprint 5</x:v>
      </x:c>
    </x:row>
    <x:row r="13" ht="15" hidden="0" customHeight="1">
      <x:c r="A13" s="48" t="str">
        <x:v>CP-09</x:v>
      </x:c>
      <x:c r="B13" s="92" t="str">
        <x:v>RF-09</x:v>
      </x:c>
      <x:c r="C13" s="92" t="str">
        <x:v>Validar: registrar recojo sin conexión.</x:v>
      </x:c>
      <x:c r="D13" s="92" t="str">
        <x:v>Datos válidos del flujo y usuario con permisos correspondientes.</x:v>
      </x:c>
      <x:c r="E13" s="92" t="str">
        <x:v>El acopiador puede completar y guardar un recojo en modo offline sin perder los datos capturados.</x:v>
      </x:c>
      <x:c r="F13" s="92"/>
      <x:c r="G13" s="92" t="str">
        <x:v>Pendiente</x:v>
      </x:c>
      <x:c r="H13" s="49" t="str">
        <x:v>Sprint 5</x:v>
      </x:c>
    </x:row>
    <x:row r="14" ht="21.600000381469727" hidden="0" customHeight="1">
      <x:c r="A14" s="48" t="str">
        <x:v>CP-10</x:v>
      </x:c>
      <x:c r="B14" s="92" t="str">
        <x:v>RF-10</x:v>
      </x:c>
      <x:c r="C14" s="92" t="str">
        <x:v>Validar: sincronizar datos offline.</x:v>
      </x:c>
      <x:c r="D14" s="92" t="str">
        <x:v>Datos válidos del flujo y usuario con permisos correspondientes.</x:v>
      </x:c>
      <x:c r="E14" s="92" t="str">
        <x:v>Los registros pendientes se sincronizan posteriormente sin duplicarse y quedan disponibles en el servidor.</x:v>
      </x:c>
      <x:c r="F14" s="92"/>
      <x:c r="G14" s="92" t="str">
        <x:v>Pendiente</x:v>
      </x:c>
      <x:c r="H14" s="49" t="str">
        <x:v>Sprint 5</x:v>
      </x:c>
    </x:row>
    <x:row r="15" ht="15" hidden="0" customHeight="1">
      <x:c r="A15" s="48" t="str">
        <x:v>CP-11</x:v>
      </x:c>
      <x:c r="B15" s="92" t="str">
        <x:v>RF-11</x:v>
      </x:c>
      <x:c r="C15" s="92" t="str">
        <x:v>Validar: consultar productores asignados.</x:v>
      </x:c>
      <x:c r="D15" s="92" t="str">
        <x:v>Datos válidos del flujo y usuario con permisos correspondientes.</x:v>
      </x:c>
      <x:c r="E15" s="92" t="str">
        <x:v>El acopiador visualiza la lista de productores asignados y puede seleccionar uno durante el recojo.</x:v>
      </x:c>
      <x:c r="F15" s="92"/>
      <x:c r="G15" s="92" t="str">
        <x:v>Pendiente</x:v>
      </x:c>
      <x:c r="H15" s="49" t="str">
        <x:v>Sprint 4</x:v>
      </x:c>
    </x:row>
    <x:row r="16" ht="15" hidden="0" customHeight="1">
      <x:c r="A16" s="48" t="str">
        <x:v>CP-12</x:v>
      </x:c>
      <x:c r="B16" s="92" t="str">
        <x:v>RF-12</x:v>
      </x:c>
      <x:c r="C16" s="92" t="str">
        <x:v>Validar: gestionar ruta del día.</x:v>
      </x:c>
      <x:c r="D16" s="92" t="str">
        <x:v>Datos válidos del flujo y usuario con permisos correspondientes.</x:v>
      </x:c>
      <x:c r="E16" s="92" t="str">
        <x:v>La app muestra la ruta vigente y los elementos necesarios para ejecutar el recojo planificado.</x:v>
      </x:c>
      <x:c r="F16" s="92"/>
      <x:c r="G16" s="92" t="str">
        <x:v>Pendiente</x:v>
      </x:c>
      <x:c r="H16" s="49" t="str">
        <x:v>Sprint 4</x:v>
      </x:c>
    </x:row>
    <x:row r="17" ht="15" hidden="0" customHeight="1">
      <x:c r="A17" s="48" t="str">
        <x:v>CP-13</x:v>
      </x:c>
      <x:c r="B17" s="92" t="str">
        <x:v>RF-13</x:v>
      </x:c>
      <x:c r="C17" s="92" t="str">
        <x:v>Validar: capturar evidencia por recojo.</x:v>
      </x:c>
      <x:c r="D17" s="92" t="str">
        <x:v>Datos válidos del flujo y usuario con permisos correspondientes.</x:v>
      </x:c>
      <x:c r="E17" s="92" t="str">
        <x:v>La evidencia seleccionada queda vinculada al recojo correspondiente y puede recuperarse con él.</x:v>
      </x:c>
      <x:c r="F17" s="92"/>
      <x:c r="G17" s="92" t="str">
        <x:v>Pendiente</x:v>
      </x:c>
      <x:c r="H17" s="49" t="str">
        <x:v>Sprint 5</x:v>
      </x:c>
    </x:row>
    <x:row r="18" ht="21.600000381469727" hidden="0" customHeight="1">
      <x:c r="A18" s="48" t="str">
        <x:v>CP-14</x:v>
      </x:c>
      <x:c r="B18" s="92" t="str">
        <x:v>RF-14</x:v>
      </x:c>
      <x:c r="C18" s="92" t="str">
        <x:v>Validar: generar reportes y dashboard.</x:v>
      </x:c>
      <x:c r="D18" s="92" t="str">
        <x:v>Datos válidos del flujo y usuario con permisos correspondientes.</x:v>
      </x:c>
      <x:c r="E18" s="92" t="str">
        <x:v>Los totales del dashboard y reportes coinciden con los recojos almacenados y pueden filtrarse por los criterios definidos.</x:v>
      </x:c>
      <x:c r="F18" s="92"/>
      <x:c r="G18" s="92" t="str">
        <x:v>Pendiente</x:v>
      </x:c>
      <x:c r="H18" s="49" t="str">
        <x:v>Sprint 6</x:v>
      </x:c>
    </x:row>
    <x:row r="19" ht="21.600000381469727" hidden="0" customHeight="1">
      <x:c r="A19" s="48" t="str">
        <x:v>CP-15</x:v>
      </x:c>
      <x:c r="B19" s="92" t="str">
        <x:v>RF-15</x:v>
      </x:c>
      <x:c r="C19" s="92" t="str">
        <x:v>Validar: administrar usuarios y roles.</x:v>
      </x:c>
      <x:c r="D19" s="92" t="str">
        <x:v>Datos válidos del flujo y usuario con permisos correspondientes.</x:v>
      </x:c>
      <x:c r="E19" s="92" t="str">
        <x:v>Un administrador puede crear/actualizar usuarios y asignar roles; los permisos se aplican al iniciar sesión.</x:v>
      </x:c>
      <x:c r="F19" s="92"/>
      <x:c r="G19" s="92" t="str">
        <x:v>Pendiente</x:v>
      </x:c>
      <x:c r="H19" s="49" t="str">
        <x:v>Sprint 6</x:v>
      </x:c>
    </x:row>
    <x:row r="20" ht="21.600000381469727" hidden="0" customHeight="1">
      <x:c r="A20" s="48" t="str">
        <x:v>CP-16</x:v>
      </x:c>
      <x:c r="B20" s="92" t="str">
        <x:v>RF-16</x:v>
      </x:c>
      <x:c r="C20" s="92" t="str">
        <x:v>Validar: autenticar usuarios con jwt.</x:v>
      </x:c>
      <x:c r="D20" s="92" t="str">
        <x:v>Datos válidos del flujo y usuario con permisos correspondientes.</x:v>
      </x:c>
      <x:c r="E20" s="92" t="str">
        <x:v>Un usuario válido obtiene acceso autenticado y un usuario sin credenciales válidas no accede a funciones protegidas.</x:v>
      </x:c>
      <x:c r="F20" s="92"/>
      <x:c r="G20" s="92" t="str">
        <x:v>Pendiente</x:v>
      </x:c>
      <x:c r="H20" s="49" t="str">
        <x:v>Sprint 3</x:v>
      </x:c>
    </x:row>
    <x:row r="21" ht="15" hidden="0" customHeight="1">
      <x:c r="A21" s="48" t="str">
        <x:v>CP-17</x:v>
      </x:c>
      <x:c r="B21" s="92" t="str">
        <x:v>RF-17</x:v>
      </x:c>
      <x:c r="C21" s="92" t="str">
        <x:v>Validar: consultar historial personal de recojos.</x:v>
      </x:c>
      <x:c r="D21" s="92" t="str">
        <x:v>Datos válidos del flujo y usuario con permisos correspondientes.</x:v>
      </x:c>
      <x:c r="E21" s="92" t="str">
        <x:v>El acopiador puede revisar sus recojos registrados y el historial mostrado corresponde a sus datos.</x:v>
      </x:c>
      <x:c r="F21" s="92"/>
      <x:c r="G21" s="92" t="str">
        <x:v>Pendiente</x:v>
      </x:c>
      <x:c r="H21" s="49" t="str">
        <x:v>Sprint 6</x:v>
      </x:c>
    </x:row>
    <x:row r="22" ht="21.600000381469727" hidden="0" customHeight="1">
      <x:c r="A22" s="48" t="str">
        <x:v>CP-18</x:v>
      </x:c>
      <x:c r="B22" s="92" t="str">
        <x:v>RF-18</x:v>
      </x:c>
      <x:c r="C22" s="92" t="str">
        <x:v>Validar: recibir notificaciones.</x:v>
      </x:c>
      <x:c r="D22" s="92" t="str">
        <x:v>Datos válidos del flujo y usuario con permisos correspondientes.</x:v>
      </x:c>
      <x:c r="E22" s="92" t="str">
        <x:v>Una notificación configurada puede generarse y recibirse por el canal previsto sin afectar el resto de módulos.</x:v>
      </x:c>
      <x:c r="F22" s="92"/>
      <x:c r="G22" s="92" t="str">
        <x:v>Pendiente</x:v>
      </x:c>
      <x:c r="H22" s="49" t="str">
        <x:v>Sprint 6</x:v>
      </x:c>
    </x:row>
    <x:row r="23" ht="21.600000381469727" hidden="0" customHeight="1">
      <x:c r="A23" s="48" t="str">
        <x:v>CP-19</x:v>
      </x:c>
      <x:c r="B23" s="92" t="str">
        <x:v>RNF-01</x:v>
      </x:c>
      <x:c r="C23" s="92" t="str">
        <x:v>Verificar requisito no funcional: interfaz intuitiva y responsive.</x:v>
      </x:c>
      <x:c r="D23" s="92" t="str">
        <x:v>Ambiente de prueba configurado y datos representativos.</x:v>
      </x:c>
      <x:c r="E23" s="92" t="str">
        <x:v>Las funciones principales son legibles y utilizables en resoluciones comunes sin pérdida de controles esenciales.</x:v>
      </x:c>
      <x:c r="F23" s="92"/>
      <x:c r="G23" s="92" t="str">
        <x:v>Pendiente</x:v>
      </x:c>
      <x:c r="H23" s="49" t="str">
        <x:v>Transversal</x:v>
      </x:c>
    </x:row>
    <x:row r="24" ht="15" hidden="0" customHeight="1">
      <x:c r="A24" s="48" t="str">
        <x:v>CP-20</x:v>
      </x:c>
      <x:c r="B24" s="92" t="str">
        <x:v>RNF-02</x:v>
      </x:c>
      <x:c r="C24" s="92" t="str">
        <x:v>Verificar requisito no funcional: seguridad de la información.</x:v>
      </x:c>
      <x:c r="D24" s="92" t="str">
        <x:v>Ambiente de prueba configurado y datos representativos.</x:v>
      </x:c>
      <x:c r="E24" s="92" t="str">
        <x:v>Las funciones protegidas requieren autenticación y las comunicaciones de producción utilizan HTTPS.</x:v>
      </x:c>
      <x:c r="F24" s="92"/>
      <x:c r="G24" s="92" t="str">
        <x:v>Pendiente</x:v>
      </x:c>
      <x:c r="H24" s="49" t="str">
        <x:v>Sprint 3 / 8</x:v>
      </x:c>
    </x:row>
    <x:row r="25" ht="15" hidden="0" customHeight="1">
      <x:c r="A25" s="48" t="str">
        <x:v>CP-21</x:v>
      </x:c>
      <x:c r="B25" s="92" t="str">
        <x:v>RNF-03</x:v>
      </x:c>
      <x:c r="C25" s="92" t="str">
        <x:v>Verificar requisito no funcional: compatibilidad android.</x:v>
      </x:c>
      <x:c r="D25" s="92" t="str">
        <x:v>Ambiente de prueba configurado y datos representativos.</x:v>
      </x:c>
      <x:c r="E25" s="92" t="str">
        <x:v>La APK se instala y permite ejecutar los flujos principales en dispositivos Android compatibles.</x:v>
      </x:c>
      <x:c r="F25" s="92"/>
      <x:c r="G25" s="92" t="str">
        <x:v>Pendiente</x:v>
      </x:c>
      <x:c r="H25" s="49" t="str">
        <x:v>Sprint 8</x:v>
      </x:c>
    </x:row>
    <x:row r="26" ht="15" hidden="0" customHeight="1">
      <x:c r="A26" s="48" t="str">
        <x:v>CP-22</x:v>
      </x:c>
      <x:c r="B26" s="92" t="str">
        <x:v>RNF-04</x:v>
      </x:c>
      <x:c r="C26" s="92" t="str">
        <x:v>Verificar requisito no funcional: compatibilidad web.</x:v>
      </x:c>
      <x:c r="D26" s="92" t="str">
        <x:v>Ambiente de prueba configurado y datos representativos.</x:v>
      </x:c>
      <x:c r="E26" s="92" t="str">
        <x:v>Las funciones críticas se ejecutan correctamente en los navegadores indicados.</x:v>
      </x:c>
      <x:c r="F26" s="92"/>
      <x:c r="G26" s="92" t="str">
        <x:v>Pendiente</x:v>
      </x:c>
      <x:c r="H26" s="49" t="str">
        <x:v>Transversal</x:v>
      </x:c>
    </x:row>
    <x:row r="27" ht="21.600000381469727" hidden="0" customHeight="1">
      <x:c r="A27" s="48" t="str">
        <x:v>CP-23</x:v>
      </x:c>
      <x:c r="B27" s="92" t="str">
        <x:v>RNF-05</x:v>
      </x:c>
      <x:c r="C27" s="92" t="str">
        <x:v>Verificar requisito no funcional: rendimiento y estabilidad.</x:v>
      </x:c>
      <x:c r="D27" s="92" t="str">
        <x:v>Ambiente de prueba configurado y datos representativos.</x:v>
      </x:c>
      <x:c r="E27" s="92" t="str">
        <x:v>Los flujos habituales se completan sin bloqueos y las pruebas no funcionales no detectan fallos críticos de rendimiento.</x:v>
      </x:c>
      <x:c r="F27" s="92"/>
      <x:c r="G27" s="92" t="str">
        <x:v>Pendiente</x:v>
      </x:c>
      <x:c r="H27" s="49" t="str">
        <x:v>Sprint 7</x:v>
      </x:c>
    </x:row>
    <x:row r="28" ht="21.600000381469727" hidden="0" customHeight="1">
      <x:c r="A28" s="48" t="str">
        <x:v>CP-24</x:v>
      </x:c>
      <x:c r="B28" s="92" t="str">
        <x:v>RNF-06</x:v>
      </x:c>
      <x:c r="C28" s="92" t="str">
        <x:v>Verificar requisito no funcional: persistencia de datos.</x:v>
      </x:c>
      <x:c r="D28" s="92" t="str">
        <x:v>Ambiente de prueba configurado y datos representativos.</x:v>
      </x:c>
      <x:c r="E28" s="92" t="str">
        <x:v>Los datos del servidor se almacenan en PostgreSQL y los registros offline en SQLite hasta su sincronización.</x:v>
      </x:c>
      <x:c r="F28" s="92"/>
      <x:c r="G28" s="92" t="str">
        <x:v>Pendiente</x:v>
      </x:c>
      <x:c r="H28" s="49" t="str">
        <x:v>Sprint 3 / 5</x:v>
      </x:c>
    </x:row>
    <x:row r="29" ht="21.600000381469727" hidden="0" customHeight="1">
      <x:c r="A29" s="48" t="str">
        <x:v>CP-25</x:v>
      </x:c>
      <x:c r="B29" s="92" t="str">
        <x:v>RNF-07</x:v>
      </x:c>
      <x:c r="C29" s="92" t="str">
        <x:v>Verificar requisito no funcional: disponibilidad en producción.</x:v>
      </x:c>
      <x:c r="D29" s="92" t="str">
        <x:v>Ambiente de prueba configurado y datos representativos.</x:v>
      </x:c>
      <x:c r="E29" s="92" t="str">
        <x:v>El backend y la web quedan accesibles en producción y superan las pruebas de humo posteriores al despliegue.</x:v>
      </x:c>
      <x:c r="F29" s="92"/>
      <x:c r="G29" s="92" t="str">
        <x:v>Pendiente</x:v>
      </x:c>
      <x:c r="H29" s="49" t="str">
        <x:v>Sprint 8</x:v>
      </x:c>
    </x:row>
    <x:row r="30" ht="21.600000381469727" hidden="0" customHeight="1">
      <x:c r="A30" s="48" t="str">
        <x:v>CP-26</x:v>
      </x:c>
      <x:c r="B30" s="92" t="str">
        <x:v>RNF-08</x:v>
      </x:c>
      <x:c r="C30" s="92" t="str">
        <x:v>Verificar requisito no funcional: integridad y respaldo.</x:v>
      </x:c>
      <x:c r="D30" s="92" t="str">
        <x:v>Ambiente de prueba configurado y datos representativos.</x:v>
      </x:c>
      <x:c r="E30" s="92" t="str">
        <x:v>La carga inicial se valida y existe un procedimiento de respaldo/recuperación documentado para producción.</x:v>
      </x:c>
      <x:c r="F30" s="92"/>
      <x:c r="G30" s="92" t="str">
        <x:v>Pendiente</x:v>
      </x:c>
      <x:c r="H30" s="49" t="str">
        <x:v>Sprint 8</x:v>
      </x:c>
    </x:row>
    <x:row r="31" ht="21.600000381469727" hidden="0" customHeight="1">
      <x:c r="A31" s="50" t="str">
        <x:v>CP-27</x:v>
      </x:c>
      <x:c r="B31" s="93" t="str">
        <x:v>RNF-09</x:v>
      </x:c>
      <x:c r="C31" s="93" t="str">
        <x:v>Verificar requisito no funcional: mantenibilidad y documentación.</x:v>
      </x:c>
      <x:c r="D31" s="93" t="str">
        <x:v>Ambiente de prueba configurado y datos representativos.</x:v>
      </x:c>
      <x:c r="E31" s="93" t="str">
        <x:v>Se entregan manual de usuario, manual técnico y documentación de API/código prevista por el cronograma.</x:v>
      </x:c>
      <x:c r="F31" s="93"/>
      <x:c r="G31" s="93" t="str">
        <x:v>Pendiente</x:v>
      </x:c>
      <x:c r="H31" s="51" t="str">
        <x:v>Sprint 4 / 7 / Cierre</x:v>
      </x:c>
    </x:row>
  </x:sheetData>
  <x:mergeCells>
    <x:mergeCell ref="A1:H1"/>
    <x:mergeCell ref="A2:H2"/>
  </x:mergeCells>
  <x:conditionalFormatting sqref="G5:G31">
    <x:cfRule type="expression" dxfId="3" priority="1">
      <x:formula>G5="Aprobado"</x:formula>
    </x:cfRule>
    <x:cfRule type="expression" dxfId="4" priority="2">
      <x:formula>G5="Fallido"</x:formula>
    </x:cfRule>
  </x:conditionalFormatting>
  <x:dataValidations count="1">
    <x:dataValidation type="list" sqref="G5:G31">
      <x:formula1>"Pendiente,En ejecución,Aprobado,Observado,Fallido"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9" hidden="0" customWidth="1"/>
    <x:col min="3" max="3" width="17" hidden="0" customWidth="1"/>
    <x:col min="4" max="4" width="28" hidden="0" customWidth="1"/>
    <x:col min="5" max="5" width="18" hidden="0" customWidth="1"/>
    <x:col min="6" max="6" width="24" hidden="0" customWidth="1"/>
    <x:col min="7" max="7" width="15" hidden="0" customWidth="1"/>
    <x:col min="8" max="8" width="36" hidden="0" customWidth="1"/>
    <x:col min="9" max="9" width="15" hidden="0" customWidth="1"/>
    <x:col min="10" max="10" width="16" hidden="0" customWidth="1"/>
  </x:cols>
  <x:sheetData>
    <x:row r="1" ht="19.200000762939453" hidden="0" customHeight="1">
      <x:c r="A1" s="5" t="str">
        <x:v>MATRIZ DE TRAZABILIDAD - HUATA LÁCTEOS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15" hidden="0" customHeight="1">
      <x:c r="A2" s="11" t="str">
        <x:v>Relación requisito -&gt; fuente -&gt; cronograma -&gt; prueba -&gt; componente.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/>
    <x:row r="4" ht="15" hidden="0" customHeight="1">
      <x:c r="A4" s="21" t="str">
        <x:v>ID requisito</x:v>
      </x:c>
      <x:c r="B4" s="81" t="str">
        <x:v>Nombre</x:v>
      </x:c>
      <x:c r="C4" s="81" t="str">
        <x:v>Fuente Charter</x:v>
      </x:c>
      <x:c r="D4" s="81" t="str">
        <x:v>IDs Cronograma_2026</x:v>
      </x:c>
      <x:c r="E4" s="81" t="str">
        <x:v>Sprint</x:v>
      </x:c>
      <x:c r="F4" s="81" t="str">
        <x:v>Componente</x:v>
      </x:c>
      <x:c r="G4" s="81" t="str">
        <x:v>Caso de prueba</x:v>
      </x:c>
      <x:c r="H4" s="81" t="str">
        <x:v>Entregable / evidencia</x:v>
      </x:c>
      <x:c r="I4" s="81" t="str">
        <x:v>Estado</x:v>
      </x:c>
      <x:c r="J4" s="22" t="str">
        <x:v>Trazabilidad</x:v>
      </x:c>
    </x:row>
    <x:row r="5" ht="15" hidden="0" customHeight="1">
      <x:c r="A5" s="46" t="str">
        <x:v>RF-01</x:v>
      </x:c>
      <x:c r="B5" s="91" t="str">
        <x:v>Gestionar productores</x:v>
      </x:c>
      <x:c r="C5" s="91" t="str">
        <x:v>Sí</x:v>
      </x:c>
      <x:c r="D5" s="91" t="str">
        <x:v>68,71</x:v>
      </x:c>
      <x:c r="E5" s="91" t="str">
        <x:v>Sprint 4</x:v>
      </x:c>
      <x:c r="F5" s="91" t="str">
        <x:v>Productores</x:v>
      </x:c>
      <x:c r="G5" s="91" t="str">
        <x:v>CP-01</x:v>
      </x:c>
      <x:c r="H5" s="91" t="str">
        <x:v>Prueba funcional / evidencia del módulo</x:v>
      </x:c>
      <x:c r="I5" s="91" t="str">
        <x:v>Aprobado</x:v>
      </x:c>
      <x:c r="J5" s="47" t="str">
        <x:v>Completa</x:v>
      </x:c>
    </x:row>
    <x:row r="6" ht="15" hidden="0" customHeight="1">
      <x:c r="A6" s="48" t="str">
        <x:v>RF-02</x:v>
      </x:c>
      <x:c r="B6" s="92" t="str">
        <x:v>Gestionar acopiadores</x:v>
      </x:c>
      <x:c r="C6" s="92" t="str">
        <x:v>Sí</x:v>
      </x:c>
      <x:c r="D6" s="92" t="str">
        <x:v>69</x:v>
      </x:c>
      <x:c r="E6" s="92" t="str">
        <x:v>Sprint 4</x:v>
      </x:c>
      <x:c r="F6" s="92" t="str">
        <x:v>Acopiadores</x:v>
      </x:c>
      <x:c r="G6" s="92" t="str">
        <x:v>CP-02</x:v>
      </x:c>
      <x:c r="H6" s="92" t="str">
        <x:v>Prueba funcional / evidencia del módulo</x:v>
      </x:c>
      <x:c r="I6" s="92" t="str">
        <x:v>Aprobado</x:v>
      </x:c>
      <x:c r="J6" s="49" t="str">
        <x:v>Completa</x:v>
      </x:c>
    </x:row>
    <x:row r="7" ht="15" hidden="0" customHeight="1">
      <x:c r="A7" s="48" t="str">
        <x:v>RF-03</x:v>
      </x:c>
      <x:c r="B7" s="92" t="str">
        <x:v>Gestionar rutas</x:v>
      </x:c>
      <x:c r="C7" s="92" t="str">
        <x:v>Sí</x:v>
      </x:c>
      <x:c r="D7" s="92" t="str">
        <x:v>69,72,74</x:v>
      </x:c>
      <x:c r="E7" s="92" t="str">
        <x:v>Sprint 4</x:v>
      </x:c>
      <x:c r="F7" s="92" t="str">
        <x:v>Rutas</x:v>
      </x:c>
      <x:c r="G7" s="92" t="str">
        <x:v>CP-03</x:v>
      </x:c>
      <x:c r="H7" s="92" t="str">
        <x:v>Prueba funcional / evidencia del módulo</x:v>
      </x:c>
      <x:c r="I7" s="92" t="str">
        <x:v>Aprobado</x:v>
      </x:c>
      <x:c r="J7" s="49" t="str">
        <x:v>Completa</x:v>
      </x:c>
    </x:row>
    <x:row r="8" ht="15" hidden="0" customHeight="1">
      <x:c r="A8" s="48" t="str">
        <x:v>RF-04</x:v>
      </x:c>
      <x:c r="B8" s="92" t="str">
        <x:v>Gestionar centros de acopio</x:v>
      </x:c>
      <x:c r="C8" s="92" t="str">
        <x:v>Sí</x:v>
      </x:c>
      <x:c r="D8" s="92" t="str">
        <x:v>70,72</x:v>
      </x:c>
      <x:c r="E8" s="92" t="str">
        <x:v>Sprint 4</x:v>
      </x:c>
      <x:c r="F8" s="92" t="str">
        <x:v>Centros de acopio</x:v>
      </x:c>
      <x:c r="G8" s="92" t="str">
        <x:v>CP-04</x:v>
      </x:c>
      <x:c r="H8" s="92" t="str">
        <x:v>Prueba funcional / evidencia del módulo</x:v>
      </x:c>
      <x:c r="I8" s="92" t="str">
        <x:v>Aprobado</x:v>
      </x:c>
      <x:c r="J8" s="49" t="str">
        <x:v>Completa</x:v>
      </x:c>
    </x:row>
    <x:row r="9" ht="15" hidden="0" customHeight="1">
      <x:c r="A9" s="48" t="str">
        <x:v>RF-05</x:v>
      </x:c>
      <x:c r="B9" s="92" t="str">
        <x:v>Registrar recojo de leche</x:v>
      </x:c>
      <x:c r="C9" s="92" t="str">
        <x:v>Sí</x:v>
      </x:c>
      <x:c r="D9" s="92" t="str">
        <x:v>87,93,94</x:v>
      </x:c>
      <x:c r="E9" s="92" t="str">
        <x:v>Sprint 5</x:v>
      </x:c>
      <x:c r="F9" s="92" t="str">
        <x:v>Recojo</x:v>
      </x:c>
      <x:c r="G9" s="92" t="str">
        <x:v>CP-05</x:v>
      </x:c>
      <x:c r="H9" s="92" t="str">
        <x:v>Prueba funcional / evidencia del módulo</x:v>
      </x:c>
      <x:c r="I9" s="92" t="str">
        <x:v>Aprobado</x:v>
      </x:c>
      <x:c r="J9" s="49" t="str">
        <x:v>Completa</x:v>
      </x:c>
    </x:row>
    <x:row r="10" ht="15" hidden="0" customHeight="1">
      <x:c r="A10" s="48" t="str">
        <x:v>RF-06</x:v>
      </x:c>
      <x:c r="B10" s="92" t="str">
        <x:v>Registrar control de calidad</x:v>
      </x:c>
      <x:c r="C10" s="92" t="str">
        <x:v>Sí</x:v>
      </x:c>
      <x:c r="D10" s="92" t="str">
        <x:v>91</x:v>
      </x:c>
      <x:c r="E10" s="92" t="str">
        <x:v>Sprint 5</x:v>
      </x:c>
      <x:c r="F10" s="92" t="str">
        <x:v>Calidad</x:v>
      </x:c>
      <x:c r="G10" s="92" t="str">
        <x:v>CP-06</x:v>
      </x:c>
      <x:c r="H10" s="92" t="str">
        <x:v>Prueba funcional / evidencia del módulo</x:v>
      </x:c>
      <x:c r="I10" s="92" t="str">
        <x:v>Aprobado</x:v>
      </x:c>
      <x:c r="J10" s="49" t="str">
        <x:v>Completa</x:v>
      </x:c>
    </x:row>
    <x:row r="11" ht="15" hidden="0" customHeight="1">
      <x:c r="A11" s="48" t="str">
        <x:v>RF-07</x:v>
      </x:c>
      <x:c r="B11" s="92" t="str">
        <x:v>Calcular liquidación</x:v>
      </x:c>
      <x:c r="C11" s="92" t="str">
        <x:v>Sí</x:v>
      </x:c>
      <x:c r="D11" s="92" t="str">
        <x:v>92</x:v>
      </x:c>
      <x:c r="E11" s="92" t="str">
        <x:v>Sprint 5</x:v>
      </x:c>
      <x:c r="F11" s="92" t="str">
        <x:v>Liquidaciones</x:v>
      </x:c>
      <x:c r="G11" s="92" t="str">
        <x:v>CP-07</x:v>
      </x:c>
      <x:c r="H11" s="92" t="str">
        <x:v>Prueba funcional / evidencia del módulo</x:v>
      </x:c>
      <x:c r="I11" s="92" t="str">
        <x:v>Aprobado</x:v>
      </x:c>
      <x:c r="J11" s="49" t="str">
        <x:v>Completa</x:v>
      </x:c>
    </x:row>
    <x:row r="12" ht="15" hidden="0" customHeight="1">
      <x:c r="A12" s="48" t="str">
        <x:v>RF-08</x:v>
      </x:c>
      <x:c r="B12" s="92" t="str">
        <x:v>Consultar liquidaciones por productor y fecha</x:v>
      </x:c>
      <x:c r="C12" s="92" t="str">
        <x:v>No</x:v>
      </x:c>
      <x:c r="D12" s="92" t="str">
        <x:v>88</x:v>
      </x:c>
      <x:c r="E12" s="92" t="str">
        <x:v>Sprint 5</x:v>
      </x:c>
      <x:c r="F12" s="92" t="str">
        <x:v>Liquidaciones / Web</x:v>
      </x:c>
      <x:c r="G12" s="92" t="str">
        <x:v>CP-08</x:v>
      </x:c>
      <x:c r="H12" s="92" t="str">
        <x:v>Prueba funcional / evidencia del módulo</x:v>
      </x:c>
      <x:c r="I12" s="92" t="str">
        <x:v>Planificado</x:v>
      </x:c>
      <x:c r="J12" s="49" t="str">
        <x:v>Completa</x:v>
      </x:c>
    </x:row>
    <x:row r="13" ht="15" hidden="0" customHeight="1">
      <x:c r="A13" s="48" t="str">
        <x:v>RF-09</x:v>
      </x:c>
      <x:c r="B13" s="92" t="str">
        <x:v>Registrar recojo sin conexión</x:v>
      </x:c>
      <x:c r="C13" s="92" t="str">
        <x:v>Sí</x:v>
      </x:c>
      <x:c r="D13" s="92" t="str">
        <x:v>94</x:v>
      </x:c>
      <x:c r="E13" s="92" t="str">
        <x:v>Sprint 5</x:v>
      </x:c>
      <x:c r="F13" s="92" t="str">
        <x:v>Móvil</x:v>
      </x:c>
      <x:c r="G13" s="92" t="str">
        <x:v>CP-09</x:v>
      </x:c>
      <x:c r="H13" s="92" t="str">
        <x:v>Prueba funcional / evidencia del módulo</x:v>
      </x:c>
      <x:c r="I13" s="92" t="str">
        <x:v>Aprobado</x:v>
      </x:c>
      <x:c r="J13" s="49" t="str">
        <x:v>Completa</x:v>
      </x:c>
    </x:row>
    <x:row r="14" ht="15" hidden="0" customHeight="1">
      <x:c r="A14" s="48" t="str">
        <x:v>RF-10</x:v>
      </x:c>
      <x:c r="B14" s="92" t="str">
        <x:v>Sincronizar datos offline</x:v>
      </x:c>
      <x:c r="C14" s="92" t="str">
        <x:v>Sí</x:v>
      </x:c>
      <x:c r="D14" s="92" t="str">
        <x:v>95</x:v>
      </x:c>
      <x:c r="E14" s="92" t="str">
        <x:v>Sprint 5</x:v>
      </x:c>
      <x:c r="F14" s="92" t="str">
        <x:v>Sincronización</x:v>
      </x:c>
      <x:c r="G14" s="92" t="str">
        <x:v>CP-10</x:v>
      </x:c>
      <x:c r="H14" s="92" t="str">
        <x:v>Prueba funcional / evidencia del módulo</x:v>
      </x:c>
      <x:c r="I14" s="92" t="str">
        <x:v>Aprobado</x:v>
      </x:c>
      <x:c r="J14" s="49" t="str">
        <x:v>Completa</x:v>
      </x:c>
    </x:row>
    <x:row r="15" ht="15" hidden="0" customHeight="1">
      <x:c r="A15" s="48" t="str">
        <x:v>RF-11</x:v>
      </x:c>
      <x:c r="B15" s="92" t="str">
        <x:v>Consultar productores asignados</x:v>
      </x:c>
      <x:c r="C15" s="92" t="str">
        <x:v>No</x:v>
      </x:c>
      <x:c r="D15" s="92" t="str">
        <x:v>73</x:v>
      </x:c>
      <x:c r="E15" s="92" t="str">
        <x:v>Sprint 4</x:v>
      </x:c>
      <x:c r="F15" s="92" t="str">
        <x:v>Móvil / Productores</x:v>
      </x:c>
      <x:c r="G15" s="92" t="str">
        <x:v>CP-11</x:v>
      </x:c>
      <x:c r="H15" s="92" t="str">
        <x:v>Prueba funcional / evidencia del módulo</x:v>
      </x:c>
      <x:c r="I15" s="92" t="str">
        <x:v>Planificado</x:v>
      </x:c>
      <x:c r="J15" s="49" t="str">
        <x:v>Completa</x:v>
      </x:c>
    </x:row>
    <x:row r="16" ht="15" hidden="0" customHeight="1">
      <x:c r="A16" s="48" t="str">
        <x:v>RF-12</x:v>
      </x:c>
      <x:c r="B16" s="92" t="str">
        <x:v>Gestionar ruta del día</x:v>
      </x:c>
      <x:c r="C16" s="92" t="str">
        <x:v>No</x:v>
      </x:c>
      <x:c r="D16" s="92" t="str">
        <x:v>74</x:v>
      </x:c>
      <x:c r="E16" s="92" t="str">
        <x:v>Sprint 4</x:v>
      </x:c>
      <x:c r="F16" s="92" t="str">
        <x:v>Móvil / Rutas</x:v>
      </x:c>
      <x:c r="G16" s="92" t="str">
        <x:v>CP-12</x:v>
      </x:c>
      <x:c r="H16" s="92" t="str">
        <x:v>Prueba funcional / evidencia del módulo</x:v>
      </x:c>
      <x:c r="I16" s="92" t="str">
        <x:v>Planificado</x:v>
      </x:c>
      <x:c r="J16" s="49" t="str">
        <x:v>Completa</x:v>
      </x:c>
    </x:row>
    <x:row r="17" ht="15" hidden="0" customHeight="1">
      <x:c r="A17" s="48" t="str">
        <x:v>RF-13</x:v>
      </x:c>
      <x:c r="B17" s="92" t="str">
        <x:v>Capturar evidencia por recojo</x:v>
      </x:c>
      <x:c r="C17" s="92" t="str">
        <x:v>No</x:v>
      </x:c>
      <x:c r="D17" s="92" t="str">
        <x:v>99</x:v>
      </x:c>
      <x:c r="E17" s="92" t="str">
        <x:v>Sprint 5</x:v>
      </x:c>
      <x:c r="F17" s="92" t="str">
        <x:v>Móvil / Evidencias</x:v>
      </x:c>
      <x:c r="G17" s="92" t="str">
        <x:v>CP-13</x:v>
      </x:c>
      <x:c r="H17" s="92" t="str">
        <x:v>Prueba funcional / evidencia del módulo</x:v>
      </x:c>
      <x:c r="I17" s="92" t="str">
        <x:v>Planificado</x:v>
      </x:c>
      <x:c r="J17" s="49" t="str">
        <x:v>Completa</x:v>
      </x:c>
    </x:row>
    <x:row r="18" ht="15" hidden="0" customHeight="1">
      <x:c r="A18" s="48" t="str">
        <x:v>RF-14</x:v>
      </x:c>
      <x:c r="B18" s="92" t="str">
        <x:v>Generar reportes y dashboard</x:v>
      </x:c>
      <x:c r="C18" s="92" t="str">
        <x:v>Sí</x:v>
      </x:c>
      <x:c r="D18" s="92" t="str">
        <x:v>107,111</x:v>
      </x:c>
      <x:c r="E18" s="92" t="str">
        <x:v>Sprint 6</x:v>
      </x:c>
      <x:c r="F18" s="92" t="str">
        <x:v>Reportes / Dashboard</x:v>
      </x:c>
      <x:c r="G18" s="92" t="str">
        <x:v>CP-14</x:v>
      </x:c>
      <x:c r="H18" s="92" t="str">
        <x:v>Prueba funcional / evidencia del módulo</x:v>
      </x:c>
      <x:c r="I18" s="92" t="str">
        <x:v>Aprobado</x:v>
      </x:c>
      <x:c r="J18" s="49" t="str">
        <x:v>Completa</x:v>
      </x:c>
    </x:row>
    <x:row r="19" ht="15" hidden="0" customHeight="1">
      <x:c r="A19" s="48" t="str">
        <x:v>RF-15</x:v>
      </x:c>
      <x:c r="B19" s="92" t="str">
        <x:v>Administrar usuarios y roles</x:v>
      </x:c>
      <x:c r="C19" s="92" t="str">
        <x:v>Sí</x:v>
      </x:c>
      <x:c r="D19" s="92" t="str">
        <x:v>112</x:v>
      </x:c>
      <x:c r="E19" s="92" t="str">
        <x:v>Sprint 6</x:v>
      </x:c>
      <x:c r="F19" s="92" t="str">
        <x:v>Usuarios / Roles</x:v>
      </x:c>
      <x:c r="G19" s="92" t="str">
        <x:v>CP-15</x:v>
      </x:c>
      <x:c r="H19" s="92" t="str">
        <x:v>Prueba funcional / evidencia del módulo</x:v>
      </x:c>
      <x:c r="I19" s="92" t="str">
        <x:v>Aprobado</x:v>
      </x:c>
      <x:c r="J19" s="49" t="str">
        <x:v>Completa</x:v>
      </x:c>
    </x:row>
    <x:row r="20" ht="15" hidden="0" customHeight="1">
      <x:c r="A20" s="48" t="str">
        <x:v>RF-16</x:v>
      </x:c>
      <x:c r="B20" s="92" t="str">
        <x:v>Autenticar usuarios con JWT</x:v>
      </x:c>
      <x:c r="C20" s="92" t="str">
        <x:v>Sí</x:v>
      </x:c>
      <x:c r="D20" s="92" t="str">
        <x:v>53,59</x:v>
      </x:c>
      <x:c r="E20" s="92" t="str">
        <x:v>Sprint 3</x:v>
      </x:c>
      <x:c r="F20" s="92" t="str">
        <x:v>Seguridad</x:v>
      </x:c>
      <x:c r="G20" s="92" t="str">
        <x:v>CP-16</x:v>
      </x:c>
      <x:c r="H20" s="92" t="str">
        <x:v>Prueba funcional / evidencia del módulo</x:v>
      </x:c>
      <x:c r="I20" s="92" t="str">
        <x:v>Aprobado</x:v>
      </x:c>
      <x:c r="J20" s="49" t="str">
        <x:v>Completa</x:v>
      </x:c>
    </x:row>
    <x:row r="21" ht="15" hidden="0" customHeight="1">
      <x:c r="A21" s="48" t="str">
        <x:v>RF-17</x:v>
      </x:c>
      <x:c r="B21" s="92" t="str">
        <x:v>Consultar historial personal de recojos</x:v>
      </x:c>
      <x:c r="C21" s="92" t="str">
        <x:v>No</x:v>
      </x:c>
      <x:c r="D21" s="92" t="str">
        <x:v>117</x:v>
      </x:c>
      <x:c r="E21" s="92" t="str">
        <x:v>Sprint 6</x:v>
      </x:c>
      <x:c r="F21" s="92" t="str">
        <x:v>Móvil / Historial</x:v>
      </x:c>
      <x:c r="G21" s="92" t="str">
        <x:v>CP-17</x:v>
      </x:c>
      <x:c r="H21" s="92" t="str">
        <x:v>Prueba funcional / evidencia del módulo</x:v>
      </x:c>
      <x:c r="I21" s="92" t="str">
        <x:v>Planificado</x:v>
      </x:c>
      <x:c r="J21" s="49" t="str">
        <x:v>Completa</x:v>
      </x:c>
    </x:row>
    <x:row r="22" ht="15" hidden="0" customHeight="1">
      <x:c r="A22" s="48" t="str">
        <x:v>RF-18</x:v>
      </x:c>
      <x:c r="B22" s="92" t="str">
        <x:v>Recibir notificaciones</x:v>
      </x:c>
      <x:c r="C22" s="92" t="str">
        <x:v>No</x:v>
      </x:c>
      <x:c r="D22" s="92" t="str">
        <x:v>110,113</x:v>
      </x:c>
      <x:c r="E22" s="92" t="str">
        <x:v>Sprint 6</x:v>
      </x:c>
      <x:c r="F22" s="92" t="str">
        <x:v>Notificaciones</x:v>
      </x:c>
      <x:c r="G22" s="92" t="str">
        <x:v>CP-18</x:v>
      </x:c>
      <x:c r="H22" s="92" t="str">
        <x:v>Prueba funcional / evidencia del módulo</x:v>
      </x:c>
      <x:c r="I22" s="92" t="str">
        <x:v>Planificado</x:v>
      </x:c>
      <x:c r="J22" s="49" t="str">
        <x:v>Completa</x:v>
      </x:c>
    </x:row>
    <x:row r="23" ht="15" hidden="0" customHeight="1">
      <x:c r="A23" s="48" t="str">
        <x:v>RNF-01</x:v>
      </x:c>
      <x:c r="B23" s="92" t="str">
        <x:v>Interfaz intuitiva y responsive</x:v>
      </x:c>
      <x:c r="C23" s="92" t="str">
        <x:v>Sí</x:v>
      </x:c>
      <x:c r="D23" s="92" t="str"/>
      <x:c r="E23" s="92" t="str">
        <x:v>Transversal</x:v>
      </x:c>
      <x:c r="F23" s="92" t="str">
        <x:v>Transversal</x:v>
      </x:c>
      <x:c r="G23" s="92" t="str">
        <x:v>CP-19</x:v>
      </x:c>
      <x:c r="H23" s="92" t="str">
        <x:v>Prueba no funcional / documentación</x:v>
      </x:c>
      <x:c r="I23" s="92" t="str">
        <x:v>Aprobado</x:v>
      </x:c>
      <x:c r="J23" s="49" t="str">
        <x:v>Completa</x:v>
      </x:c>
    </x:row>
    <x:row r="24" ht="15" hidden="0" customHeight="1">
      <x:c r="A24" s="48" t="str">
        <x:v>RNF-02</x:v>
      </x:c>
      <x:c r="B24" s="92" t="str">
        <x:v>Seguridad de la información</x:v>
      </x:c>
      <x:c r="C24" s="92" t="str">
        <x:v>Sí</x:v>
      </x:c>
      <x:c r="D24" s="92" t="str">
        <x:v>53,59</x:v>
      </x:c>
      <x:c r="E24" s="92" t="str">
        <x:v>Sprint 3 / 8</x:v>
      </x:c>
      <x:c r="F24" s="92" t="str">
        <x:v>Seguridad</x:v>
      </x:c>
      <x:c r="G24" s="92" t="str">
        <x:v>CP-20</x:v>
      </x:c>
      <x:c r="H24" s="92" t="str">
        <x:v>Prueba no funcional / documentación</x:v>
      </x:c>
      <x:c r="I24" s="92" t="str">
        <x:v>Aprobado</x:v>
      </x:c>
      <x:c r="J24" s="49" t="str">
        <x:v>Completa</x:v>
      </x:c>
    </x:row>
    <x:row r="25" ht="15" hidden="0" customHeight="1">
      <x:c r="A25" s="48" t="str">
        <x:v>RNF-03</x:v>
      </x:c>
      <x:c r="B25" s="92" t="str">
        <x:v>Compatibilidad Android</x:v>
      </x:c>
      <x:c r="C25" s="92" t="str">
        <x:v>Sí</x:v>
      </x:c>
      <x:c r="D25" s="92" t="str">
        <x:v>158</x:v>
      </x:c>
      <x:c r="E25" s="92" t="str">
        <x:v>Sprint 8</x:v>
      </x:c>
      <x:c r="F25" s="92" t="str">
        <x:v>Móvil</x:v>
      </x:c>
      <x:c r="G25" s="92" t="str">
        <x:v>CP-21</x:v>
      </x:c>
      <x:c r="H25" s="92" t="str">
        <x:v>Prueba no funcional / documentación</x:v>
      </x:c>
      <x:c r="I25" s="92" t="str">
        <x:v>Aprobado</x:v>
      </x:c>
      <x:c r="J25" s="49" t="str">
        <x:v>Completa</x:v>
      </x:c>
    </x:row>
    <x:row r="26" ht="15" hidden="0" customHeight="1">
      <x:c r="A26" s="48" t="str">
        <x:v>RNF-04</x:v>
      </x:c>
      <x:c r="B26" s="92" t="str">
        <x:v>Compatibilidad web</x:v>
      </x:c>
      <x:c r="C26" s="92" t="str">
        <x:v>Sí</x:v>
      </x:c>
      <x:c r="D26" s="92" t="str"/>
      <x:c r="E26" s="92" t="str">
        <x:v>Transversal</x:v>
      </x:c>
      <x:c r="F26" s="92" t="str">
        <x:v>Web</x:v>
      </x:c>
      <x:c r="G26" s="92" t="str">
        <x:v>CP-22</x:v>
      </x:c>
      <x:c r="H26" s="92" t="str">
        <x:v>Prueba no funcional / documentación</x:v>
      </x:c>
      <x:c r="I26" s="92" t="str">
        <x:v>Aprobado</x:v>
      </x:c>
      <x:c r="J26" s="49" t="str">
        <x:v>Completa</x:v>
      </x:c>
    </x:row>
    <x:row r="27" ht="15" hidden="0" customHeight="1">
      <x:c r="A27" s="48" t="str">
        <x:v>RNF-05</x:v>
      </x:c>
      <x:c r="B27" s="92" t="str">
        <x:v>Rendimiento y estabilidad</x:v>
      </x:c>
      <x:c r="C27" s="92" t="str">
        <x:v>Sí</x:v>
      </x:c>
      <x:c r="D27" s="92" t="str"/>
      <x:c r="E27" s="92" t="str">
        <x:v>Sprint 7</x:v>
      </x:c>
      <x:c r="F27" s="92" t="str">
        <x:v>Transversal</x:v>
      </x:c>
      <x:c r="G27" s="92" t="str">
        <x:v>CP-23</x:v>
      </x:c>
      <x:c r="H27" s="92" t="str">
        <x:v>Prueba no funcional / documentación</x:v>
      </x:c>
      <x:c r="I27" s="92" t="str">
        <x:v>Aprobado</x:v>
      </x:c>
      <x:c r="J27" s="49" t="str">
        <x:v>Completa</x:v>
      </x:c>
    </x:row>
    <x:row r="28" ht="15" hidden="0" customHeight="1">
      <x:c r="A28" s="48" t="str">
        <x:v>RNF-06</x:v>
      </x:c>
      <x:c r="B28" s="92" t="str">
        <x:v>Persistencia de datos</x:v>
      </x:c>
      <x:c r="C28" s="92" t="str">
        <x:v>Sí</x:v>
      </x:c>
      <x:c r="D28" s="92" t="str">
        <x:v>48,95</x:v>
      </x:c>
      <x:c r="E28" s="92" t="str">
        <x:v>Sprint 3 / 5</x:v>
      </x:c>
      <x:c r="F28" s="92" t="str">
        <x:v>Datos</x:v>
      </x:c>
      <x:c r="G28" s="92" t="str">
        <x:v>CP-24</x:v>
      </x:c>
      <x:c r="H28" s="92" t="str">
        <x:v>Prueba no funcional / documentación</x:v>
      </x:c>
      <x:c r="I28" s="92" t="str">
        <x:v>Aprobado</x:v>
      </x:c>
      <x:c r="J28" s="49" t="str">
        <x:v>Completa</x:v>
      </x:c>
    </x:row>
    <x:row r="29" ht="15" hidden="0" customHeight="1">
      <x:c r="A29" s="48" t="str">
        <x:v>RNF-07</x:v>
      </x:c>
      <x:c r="B29" s="92" t="str">
        <x:v>Disponibilidad en producción</x:v>
      </x:c>
      <x:c r="C29" s="92" t="str">
        <x:v>Sí</x:v>
      </x:c>
      <x:c r="D29" s="92" t="str">
        <x:v>153-155</x:v>
      </x:c>
      <x:c r="E29" s="92" t="str">
        <x:v>Sprint 8</x:v>
      </x:c>
      <x:c r="F29" s="92" t="str">
        <x:v>Infraestructura</x:v>
      </x:c>
      <x:c r="G29" s="92" t="str">
        <x:v>CP-25</x:v>
      </x:c>
      <x:c r="H29" s="92" t="str">
        <x:v>Prueba no funcional / documentación</x:v>
      </x:c>
      <x:c r="I29" s="92" t="str">
        <x:v>Aprobado</x:v>
      </x:c>
      <x:c r="J29" s="49" t="str">
        <x:v>Completa</x:v>
      </x:c>
    </x:row>
    <x:row r="30" ht="15" hidden="0" customHeight="1">
      <x:c r="A30" s="48" t="str">
        <x:v>RNF-08</x:v>
      </x:c>
      <x:c r="B30" s="92" t="str">
        <x:v>Integridad y respaldo</x:v>
      </x:c>
      <x:c r="C30" s="92" t="str">
        <x:v>Sí</x:v>
      </x:c>
      <x:c r="D30" s="92" t="str">
        <x:v>161,170</x:v>
      </x:c>
      <x:c r="E30" s="92" t="str">
        <x:v>Sprint 8</x:v>
      </x:c>
      <x:c r="F30" s="92" t="str">
        <x:v>Datos / Respaldo</x:v>
      </x:c>
      <x:c r="G30" s="92" t="str">
        <x:v>CP-26</x:v>
      </x:c>
      <x:c r="H30" s="92" t="str">
        <x:v>Prueba no funcional / documentación</x:v>
      </x:c>
      <x:c r="I30" s="92" t="str">
        <x:v>Aprobado</x:v>
      </x:c>
      <x:c r="J30" s="49" t="str">
        <x:v>Completa</x:v>
      </x:c>
    </x:row>
    <x:row r="31" ht="15" hidden="0" customHeight="1">
      <x:c r="A31" s="50" t="str">
        <x:v>RNF-09</x:v>
      </x:c>
      <x:c r="B31" s="93" t="str">
        <x:v>Mantenibilidad y documentación</x:v>
      </x:c>
      <x:c r="C31" s="93" t="str">
        <x:v>Sí</x:v>
      </x:c>
      <x:c r="D31" s="93" t="str">
        <x:v>79,144,145,178</x:v>
      </x:c>
      <x:c r="E31" s="93" t="str">
        <x:v>Sprint 4 / 7 / Cierre</x:v>
      </x:c>
      <x:c r="F31" s="93" t="str">
        <x:v>Documentación</x:v>
      </x:c>
      <x:c r="G31" s="93" t="str">
        <x:v>CP-27</x:v>
      </x:c>
      <x:c r="H31" s="93" t="str">
        <x:v>Prueba no funcional / documentación</x:v>
      </x:c>
      <x:c r="I31" s="93" t="str">
        <x:v>Aprobado</x:v>
      </x:c>
      <x:c r="J31" s="51" t="str">
        <x:v>Completa</x:v>
      </x:c>
    </x:row>
  </x:sheetData>
  <x:mergeCells>
    <x:mergeCell ref="A1:J1"/>
    <x:mergeCell ref="A2:J2"/>
  </x:mergeCells>
  <x:conditionalFormatting sqref="J5:J31">
    <x:cfRule type="expression" dxfId="5" priority="1">
      <x:formula>J5="Completa"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3" hidden="0" customWidth="1"/>
    <x:col min="4" max="4" width="13" hidden="0" customWidth="1"/>
    <x:col min="5" max="5" width="14" hidden="0" customWidth="1"/>
    <x:col min="6" max="6" width="34" hidden="0" customWidth="1"/>
    <x:col min="7" max="7" width="58" hidden="0" customWidth="1"/>
    <x:col min="8" max="8" width="38" hidden="0" customWidth="1"/>
    <x:col min="9" max="9" width="18" hidden="0" customWidth="1"/>
    <x:col min="10" max="10" width="15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</x:cols>
  <x:sheetData>
    <x:row r="1" ht="19.200000762939453" hidden="0" customHeight="1">
      <x:c r="A1" s="5" t="str">
        <x:v>CRONOGRAMA CONSOLIDADO DE REQUERIMIENTOS - HUATA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15" hidden="0" customHeight="1">
      <x:c r="A2" s="11" t="str">
        <x:v>Base: Cronograma_2026. Calendario de 7 días corridos. Entrega de implementación: 14/10/2026; cierre administrativo: 15/10/2026.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</x:row>
    <x:row r="3"/>
    <x:row r="4" ht="15" hidden="0" customHeight="1">
      <x:c r="A4" s="21" t="str">
        <x:v>ID</x:v>
      </x:c>
      <x:c r="B4" s="81" t="str">
        <x:v>Periodo</x:v>
      </x:c>
      <x:c r="C4" s="81" t="str">
        <x:v>Inicio</x:v>
      </x:c>
      <x:c r="D4" s="81" t="str">
        <x:v>Fin</x:v>
      </x:c>
      <x:c r="E4" s="81" t="str">
        <x:v>Duración (días)</x:v>
      </x:c>
      <x:c r="F4" s="81" t="str">
        <x:v>Objetivo principal</x:v>
      </x:c>
      <x:c r="G4" s="81" t="str">
        <x:v>Actividades / requisitos clave</x:v>
      </x:c>
      <x:c r="H4" s="81" t="str">
        <x:v>Entregable principal</x:v>
      </x:c>
      <x:c r="I4" s="81" t="str">
        <x:v>IDs origen</x:v>
      </x:c>
      <x:c r="J4" s="81" t="str">
        <x:v>Estado</x:v>
      </x:c>
      <x:c r="K4" s="81" t="str">
        <x:v>S1</x:v>
      </x:c>
      <x:c r="L4" s="81" t="str">
        <x:v>S2</x:v>
      </x:c>
      <x:c r="M4" s="81" t="str">
        <x:v>S3</x:v>
      </x:c>
      <x:c r="N4" s="81" t="str">
        <x:v>S4</x:v>
      </x:c>
      <x:c r="O4" s="81" t="str">
        <x:v>S5</x:v>
      </x:c>
      <x:c r="P4" s="81" t="str">
        <x:v>S6</x:v>
      </x:c>
      <x:c r="Q4" s="81" t="str">
        <x:v>S7</x:v>
      </x:c>
      <x:c r="R4" s="81" t="str">
        <x:v>S8</x:v>
      </x:c>
      <x:c r="S4" s="81" t="str">
        <x:v>Entrega</x:v>
      </x:c>
      <x:c r="T4" s="22" t="str">
        <x:v>Cierre</x:v>
      </x:c>
    </x:row>
    <x:row r="5" ht="15" hidden="0" customHeight="1">
      <x:c r="A5" s="46" t="str">
        <x:v>CR-01</x:v>
      </x:c>
      <x:c r="B5" s="91" t="str">
        <x:v>Sprint 1</x:v>
      </x:c>
      <x:c r="C5" s="242" t="n">
        <x:v>46253</x:v>
      </x:c>
      <x:c r="D5" s="242" t="n">
        <x:v>46259</x:v>
      </x:c>
      <x:c r="E5" s="248" t="n">
        <x:f>D5-C5+1</x:f>
        <x:v>7</x:v>
      </x:c>
      <x:c r="F5" s="91" t="str">
        <x:v>Definir y documentar el proyecto</x:v>
      </x:c>
      <x:c r="G5" s="91" t="str">
        <x:v>Charter, stakeholders, RF/RNF, backlog, plan de gestión</x:v>
      </x:c>
      <x:c r="H5" s="91" t="str">
        <x:v>Documentos de definición consolidados</x:v>
      </x:c>
      <x:c r="I5" s="91" t="str">
        <x:v>7-18</x:v>
      </x:c>
      <x:c r="J5" s="91" t="str">
        <x:v>Cerrado</x:v>
      </x:c>
      <x:c r="K5" s="274" t="str">
        <x:v>●</x:v>
      </x:c>
      <x:c r="L5" s="274" t="str"/>
      <x:c r="M5" s="274" t="str"/>
      <x:c r="N5" s="274" t="str"/>
      <x:c r="O5" s="274" t="str"/>
      <x:c r="P5" s="274" t="str"/>
      <x:c r="Q5" s="274" t="str"/>
      <x:c r="R5" s="274" t="str"/>
      <x:c r="S5" s="275" t="str"/>
      <x:c r="T5" s="276" t="str"/>
    </x:row>
    <x:row r="6" ht="15" hidden="0" customHeight="1">
      <x:c r="A6" s="48" t="str">
        <x:v>CR-02</x:v>
      </x:c>
      <x:c r="B6" s="92" t="str">
        <x:v>Sprint 2</x:v>
      </x:c>
      <x:c r="C6" s="243" t="n">
        <x:v>46260</x:v>
      </x:c>
      <x:c r="D6" s="243" t="n">
        <x:v>46266</x:v>
      </x:c>
      <x:c r="E6" s="249" t="n">
        <x:f>D6-C6+1</x:f>
        <x:v>7</x:v>
      </x:c>
      <x:c r="F6" s="92" t="str">
        <x:v>Validar requisitos y diseño</x:v>
      </x:c>
      <x:c r="G6" s="92" t="str">
        <x:v>Validación RF/RNF, aprobación y prototipos Figma/HTML</x:v>
      </x:c>
      <x:c r="H6" s="92" t="str">
        <x:v>Requisitos validados + prototipos</x:v>
      </x:c>
      <x:c r="I6" s="92" t="str">
        <x:v>22-35</x:v>
      </x:c>
      <x:c r="J6" s="92" t="str">
        <x:v>Planificado</x:v>
      </x:c>
      <x:c r="K6" s="277" t="str"/>
      <x:c r="L6" s="277" t="str">
        <x:v>●</x:v>
      </x:c>
      <x:c r="M6" s="277" t="str"/>
      <x:c r="N6" s="277" t="str"/>
      <x:c r="O6" s="277" t="str"/>
      <x:c r="P6" s="277" t="str"/>
      <x:c r="Q6" s="277" t="str"/>
      <x:c r="R6" s="277" t="str"/>
      <x:c r="S6" s="278" t="str"/>
      <x:c r="T6" s="279" t="str"/>
    </x:row>
    <x:row r="7" ht="15" hidden="0" customHeight="1">
      <x:c r="A7" s="48" t="str">
        <x:v>CR-03</x:v>
      </x:c>
      <x:c r="B7" s="92" t="str">
        <x:v>Sprint 3</x:v>
      </x:c>
      <x:c r="C7" s="243" t="n">
        <x:v>46267</x:v>
      </x:c>
      <x:c r="D7" s="243" t="n">
        <x:v>46273</x:v>
      </x:c>
      <x:c r="E7" s="249" t="n">
        <x:f>D7-C7+1</x:f>
        <x:v>7</x:v>
      </x:c>
      <x:c r="F7" s="92" t="str">
        <x:v>Preparar arquitectura y seguridad</x:v>
      </x:c>
      <x:c r="G7" s="92" t="str">
        <x:v>Arquitectura, PostgreSQL, Git, Angular, Flutter, JWT, login</x:v>
      </x:c>
      <x:c r="H7" s="92" t="str">
        <x:v>Arquitectura base + autenticación</x:v>
      </x:c>
      <x:c r="I7" s="92" t="str">
        <x:v>43-60</x:v>
      </x:c>
      <x:c r="J7" s="92" t="str">
        <x:v>Planificado</x:v>
      </x:c>
      <x:c r="K7" s="277" t="str"/>
      <x:c r="L7" s="277" t="str"/>
      <x:c r="M7" s="277" t="str">
        <x:v>●</x:v>
      </x:c>
      <x:c r="N7" s="277" t="str"/>
      <x:c r="O7" s="277" t="str"/>
      <x:c r="P7" s="277" t="str"/>
      <x:c r="Q7" s="277" t="str"/>
      <x:c r="R7" s="277" t="str"/>
      <x:c r="S7" s="278" t="str"/>
      <x:c r="T7" s="279" t="str"/>
    </x:row>
    <x:row r="8" ht="15" hidden="0" customHeight="1">
      <x:c r="A8" s="48" t="str">
        <x:v>CR-04</x:v>
      </x:c>
      <x:c r="B8" s="92" t="str">
        <x:v>Sprint 4</x:v>
      </x:c>
      <x:c r="C8" s="243" t="n">
        <x:v>46274</x:v>
      </x:c>
      <x:c r="D8" s="243" t="n">
        <x:v>46280</x:v>
      </x:c>
      <x:c r="E8" s="249" t="n">
        <x:f>D8-C8+1</x:f>
        <x:v>7</x:v>
      </x:c>
      <x:c r="F8" s="92" t="str">
        <x:v>Construir gestión operativa</x:v>
      </x:c>
      <x:c r="G8" s="92" t="str">
        <x:v>Productores, acopiadores, rutas, centros, móvil de ruta/productores</x:v>
      </x:c>
      <x:c r="H8" s="92" t="str">
        <x:v>Módulos operativos básicos</x:v>
      </x:c>
      <x:c r="I8" s="92" t="str">
        <x:v>64-79</x:v>
      </x:c>
      <x:c r="J8" s="92" t="str">
        <x:v>Planificado</x:v>
      </x:c>
      <x:c r="K8" s="277" t="str"/>
      <x:c r="L8" s="277" t="str"/>
      <x:c r="M8" s="277" t="str"/>
      <x:c r="N8" s="277" t="str">
        <x:v>●</x:v>
      </x:c>
      <x:c r="O8" s="277" t="str"/>
      <x:c r="P8" s="277" t="str"/>
      <x:c r="Q8" s="277" t="str"/>
      <x:c r="R8" s="277" t="str"/>
      <x:c r="S8" s="278" t="str"/>
      <x:c r="T8" s="279" t="str"/>
    </x:row>
    <x:row r="9" ht="15" hidden="0" customHeight="1">
      <x:c r="A9" s="48" t="str">
        <x:v>CR-05</x:v>
      </x:c>
      <x:c r="B9" s="92" t="str">
        <x:v>Sprint 5</x:v>
      </x:c>
      <x:c r="C9" s="243" t="n">
        <x:v>46281</x:v>
      </x:c>
      <x:c r="D9" s="243" t="n">
        <x:v>46287</x:v>
      </x:c>
      <x:c r="E9" s="249" t="n">
        <x:f>D9-C9+1</x:f>
        <x:v>7</x:v>
      </x:c>
      <x:c r="F9" s="92" t="str">
        <x:v>Construir recojo, calidad y liquidación</x:v>
      </x:c>
      <x:c r="G9" s="92" t="str">
        <x:v>Recojo, calidad, liquidación, offline SQLite, sincronización, evidencia</x:v>
      </x:c>
      <x:c r="H9" s="92" t="str">
        <x:v>Recojo y liquidación integrados</x:v>
      </x:c>
      <x:c r="I9" s="92" t="str">
        <x:v>83-99</x:v>
      </x:c>
      <x:c r="J9" s="92" t="str">
        <x:v>Planificado</x:v>
      </x:c>
      <x:c r="K9" s="277" t="str"/>
      <x:c r="L9" s="277" t="str"/>
      <x:c r="M9" s="277" t="str"/>
      <x:c r="N9" s="277" t="str"/>
      <x:c r="O9" s="277" t="str">
        <x:v>●</x:v>
      </x:c>
      <x:c r="P9" s="277" t="str"/>
      <x:c r="Q9" s="277" t="str"/>
      <x:c r="R9" s="277" t="str"/>
      <x:c r="S9" s="278" t="str"/>
      <x:c r="T9" s="279" t="str"/>
    </x:row>
    <x:row r="10" ht="15" hidden="0" customHeight="1">
      <x:c r="A10" s="48" t="str">
        <x:v>CR-06</x:v>
      </x:c>
      <x:c r="B10" s="92" t="str">
        <x:v>Sprint 6</x:v>
      </x:c>
      <x:c r="C10" s="243" t="n">
        <x:v>46288</x:v>
      </x:c>
      <x:c r="D10" s="243" t="n">
        <x:v>46294</x:v>
      </x:c>
      <x:c r="E10" s="249" t="n">
        <x:f>D10-C10+1</x:f>
        <x:v>7</x:v>
      </x:c>
      <x:c r="F10" s="92" t="str">
        <x:v>Construir reportes y administración</x:v>
      </x:c>
      <x:c r="G10" s="92" t="str">
        <x:v>Reportes, dashboard, usuarios/roles, notificaciones, historial móvil</x:v>
      </x:c>
      <x:c r="H10" s="92" t="str">
        <x:v>Reportes + administración</x:v>
      </x:c>
      <x:c r="I10" s="92" t="str">
        <x:v>103-123</x:v>
      </x:c>
      <x:c r="J10" s="92" t="str">
        <x:v>Planificado</x:v>
      </x:c>
      <x:c r="K10" s="277" t="str"/>
      <x:c r="L10" s="277" t="str"/>
      <x:c r="M10" s="277" t="str"/>
      <x:c r="N10" s="277" t="str"/>
      <x:c r="O10" s="277" t="str"/>
      <x:c r="P10" s="277" t="str">
        <x:v>●</x:v>
      </x:c>
      <x:c r="Q10" s="277" t="str"/>
      <x:c r="R10" s="277" t="str"/>
      <x:c r="S10" s="278" t="str"/>
      <x:c r="T10" s="279" t="str"/>
    </x:row>
    <x:row r="11" ht="15" hidden="0" customHeight="1">
      <x:c r="A11" s="48" t="str">
        <x:v>CR-07</x:v>
      </x:c>
      <x:c r="B11" s="92" t="str">
        <x:v>Sprint 7</x:v>
      </x:c>
      <x:c r="C11" s="243" t="n">
        <x:v>46295</x:v>
      </x:c>
      <x:c r="D11" s="243" t="n">
        <x:v>46301</x:v>
      </x:c>
      <x:c r="E11" s="249" t="n">
        <x:f>D11-C11+1</x:f>
        <x:v>7</x:v>
      </x:c>
      <x:c r="F11" s="92" t="str">
        <x:v>Estabilizar y documentar</x:v>
      </x:c>
      <x:c r="G11" s="92" t="str">
        <x:v>Pruebas integración/UAT/regresión/no funcionales, bugs, manuales</x:v>
      </x:c>
      <x:c r="H11" s="92" t="str">
        <x:v>Versión estabilizada + manuales</x:v>
      </x:c>
      <x:c r="I11" s="92" t="str">
        <x:v>127-145</x:v>
      </x:c>
      <x:c r="J11" s="92" t="str">
        <x:v>Planificado</x:v>
      </x:c>
      <x:c r="K11" s="277" t="str"/>
      <x:c r="L11" s="277" t="str"/>
      <x:c r="M11" s="277" t="str"/>
      <x:c r="N11" s="277" t="str"/>
      <x:c r="O11" s="277" t="str"/>
      <x:c r="P11" s="277" t="str"/>
      <x:c r="Q11" s="277" t="str">
        <x:v>●</x:v>
      </x:c>
      <x:c r="R11" s="277" t="str"/>
      <x:c r="S11" s="278" t="str"/>
      <x:c r="T11" s="279" t="str"/>
    </x:row>
    <x:row r="12" ht="15" hidden="0" customHeight="1">
      <x:c r="A12" s="48" t="str">
        <x:v>CR-08</x:v>
      </x:c>
      <x:c r="B12" s="92" t="str">
        <x:v>Sprint 8</x:v>
      </x:c>
      <x:c r="C12" s="243" t="n">
        <x:v>46302</x:v>
      </x:c>
      <x:c r="D12" s="243" t="n">
        <x:v>46308</x:v>
      </x:c>
      <x:c r="E12" s="249" t="n">
        <x:f>D12-C12+1</x:f>
        <x:v>7</x:v>
      </x:c>
      <x:c r="F12" s="92" t="str">
        <x:v>Desplegar y capacitar</x:v>
      </x:c>
      <x:c r="G12" s="92" t="str">
        <x:v>Producción, backend/web, APK, migración, smoke testing, capacitación, hipercare</x:v>
      </x:c>
      <x:c r="H12" s="92" t="str">
        <x:v>Sistema desplegado y usuarios capacitados</x:v>
      </x:c>
      <x:c r="I12" s="92" t="str">
        <x:v>149-170</x:v>
      </x:c>
      <x:c r="J12" s="92" t="str">
        <x:v>Planificado</x:v>
      </x:c>
      <x:c r="K12" s="277" t="str"/>
      <x:c r="L12" s="277" t="str"/>
      <x:c r="M12" s="277" t="str"/>
      <x:c r="N12" s="277" t="str"/>
      <x:c r="O12" s="277" t="str"/>
      <x:c r="P12" s="277" t="str"/>
      <x:c r="Q12" s="277" t="str"/>
      <x:c r="R12" s="277" t="str">
        <x:v>●</x:v>
      </x:c>
      <x:c r="S12" s="278" t="str"/>
      <x:c r="T12" s="279" t="str"/>
    </x:row>
    <x:row r="13" ht="15" hidden="0" customHeight="1">
      <x:c r="A13" s="48" t="str">
        <x:v>CR-09</x:v>
      </x:c>
      <x:c r="B13" s="92" t="str">
        <x:v>Entrega</x:v>
      </x:c>
      <x:c r="C13" s="243" t="n">
        <x:v>46309</x:v>
      </x:c>
      <x:c r="D13" s="243" t="n">
        <x:v>46309</x:v>
      </x:c>
      <x:c r="E13" s="249" t="n">
        <x:f>D13-C13+1</x:f>
        <x:v>1</x:v>
      </x:c>
      <x:c r="F13" s="92" t="str">
        <x:v>Entregar documentación final</x:v>
      </x:c>
      <x:c r="G13" s="92" t="str">
        <x:v>Acta de cierre + repositorio + documentación</x:v>
      </x:c>
      <x:c r="H13" s="92" t="str">
        <x:v>Entrega final del proyecto</x:v>
      </x:c>
      <x:c r="I13" s="92" t="str">
        <x:v>174,178</x:v>
      </x:c>
      <x:c r="J13" s="92" t="str">
        <x:v>Planificado</x:v>
      </x:c>
      <x:c r="K13" s="278" t="str"/>
      <x:c r="L13" s="278" t="str"/>
      <x:c r="M13" s="278" t="str"/>
      <x:c r="N13" s="278" t="str"/>
      <x:c r="O13" s="278" t="str"/>
      <x:c r="P13" s="278" t="str"/>
      <x:c r="Q13" s="278" t="str"/>
      <x:c r="R13" s="278" t="str"/>
      <x:c r="S13" s="280" t="str">
        <x:v>●</x:v>
      </x:c>
      <x:c r="T13" s="279" t="str"/>
    </x:row>
    <x:row r="14" ht="15" hidden="0" customHeight="1">
      <x:c r="A14" s="50" t="str">
        <x:v>CR-10</x:v>
      </x:c>
      <x:c r="B14" s="93" t="str">
        <x:v>Cierre administrativo</x:v>
      </x:c>
      <x:c r="C14" s="244" t="n">
        <x:v>46310</x:v>
      </x:c>
      <x:c r="D14" s="244" t="n">
        <x:v>46310</x:v>
      </x:c>
      <x:c r="E14" s="250" t="n">
        <x:f>D14-C14+1</x:f>
        <x:v>1</x:v>
      </x:c>
      <x:c r="F14" s="93" t="str">
        <x:v>Cerrar formalmente con stakeholders</x:v>
      </x:c>
      <x:c r="G14" s="93" t="str">
        <x:v>Reunión de cierre, lecciones aprendidas, firma de conformidad</x:v>
      </x:c>
      <x:c r="H14" s="93" t="str">
        <x:v>Conformidad final</x:v>
      </x:c>
      <x:c r="I14" s="93" t="str">
        <x:v>175,181</x:v>
      </x:c>
      <x:c r="J14" s="93" t="str">
        <x:v>Planificado</x:v>
      </x:c>
      <x:c r="K14" s="281" t="str"/>
      <x:c r="L14" s="281" t="str"/>
      <x:c r="M14" s="281" t="str"/>
      <x:c r="N14" s="281" t="str"/>
      <x:c r="O14" s="281" t="str"/>
      <x:c r="P14" s="281" t="str"/>
      <x:c r="Q14" s="281" t="str"/>
      <x:c r="R14" s="281" t="str"/>
      <x:c r="S14" s="281" t="str"/>
      <x:c r="T14" s="282" t="str">
        <x:v>●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5" hidden="0" customWidth="1"/>
    <x:col min="3" max="3" width="20" hidden="0" customWidth="1"/>
    <x:col min="4" max="4" width="55" hidden="0" customWidth="1"/>
    <x:col min="5" max="5" width="38" hidden="0" customWidth="1"/>
    <x:col min="6" max="6" width="55" hidden="0" customWidth="1"/>
  </x:cols>
  <x:sheetData>
    <x:row r="1" ht="19.200000762939453" hidden="0" customHeight="1">
      <x:c r="A1" s="5" t="str">
        <x:v>CAMBIOS REALIZADOS SOBRE HUATA_CRONOGRAMA_Y_REQUERIMIENTOS</x:v>
      </x:c>
      <x:c r="B1" s="5"/>
      <x:c r="C1" s="5"/>
      <x:c r="D1" s="5"/>
      <x:c r="E1" s="5"/>
      <x:c r="F1" s="5"/>
    </x:row>
    <x:row r="2" ht="15" hidden="0" customHeight="1">
      <x:c r="A2" s="11" t="str">
        <x:v>Correcciones aplicadas para dejar el archivo consistente con ProjectCharter2026 y Cronograma_2026.</x:v>
      </x:c>
      <x:c r="B2" s="11"/>
      <x:c r="C2" s="11"/>
      <x:c r="D2" s="11"/>
      <x:c r="E2" s="11"/>
      <x:c r="F2" s="11"/>
    </x:row>
    <x:row r="3"/>
    <x:row r="4" ht="15" hidden="0" customHeight="1">
      <x:c r="A4" s="21" t="str">
        <x:v>#</x:v>
      </x:c>
      <x:c r="B4" s="81" t="str">
        <x:v>Elemento anterior</x:v>
      </x:c>
      <x:c r="C4" s="81" t="str">
        <x:v>Acción</x:v>
      </x:c>
      <x:c r="D4" s="81" t="str">
        <x:v>Motivo</x:v>
      </x:c>
      <x:c r="E4" s="81" t="str">
        <x:v>Fuente que manda</x:v>
      </x:c>
      <x:c r="F4" s="22" t="str">
        <x:v>Resultado en este archivo</x:v>
      </x:c>
    </x:row>
    <x:row r="5" ht="15" hidden="0" customHeight="1">
      <x:c r="A5" s="46" t="n">
        <x:v>1</x:v>
      </x:c>
      <x:c r="B5" s="91" t="str">
        <x:v>Cronograma de 3 meses / 12 semanas</x:v>
      </x:c>
      <x:c r="C5" s="91" t="str">
        <x:v>Reemplazado</x:v>
      </x:c>
      <x:c r="D5" s="91" t="str">
        <x:v>No coincide con el Cronograma_2026 de 8 sprints.</x:v>
      </x:c>
      <x:c r="E5" s="91" t="str">
        <x:v>Cronograma_2026</x:v>
      </x:c>
      <x:c r="F5" s="47" t="str">
        <x:v>8 sprints (19/08-13/10) + entrega 14/10 + cierre 15/10.</x:v>
      </x:c>
    </x:row>
    <x:row r="6" ht="15" hidden="0" customHeight="1">
      <x:c r="A6" s="48" t="n">
        <x:v>2</x:v>
      </x:c>
      <x:c r="B6" s="92" t="str">
        <x:v>Duración expresada como 57 días hábiles</x:v>
      </x:c>
      <x:c r="C6" s="92" t="str">
        <x:v>Corregido conceptualmente</x:v>
      </x:c>
      <x:c r="D6" s="92" t="str">
        <x:v>El Cronograma_2026 usa días corridos.</x:v>
      </x:c>
      <x:c r="E6" s="92" t="str">
        <x:v>Cronograma_2026 - Notas y calendario</x:v>
      </x:c>
      <x:c r="F6" s="49" t="str">
        <x:v>Se documenta calendario de 7 días y 57 días hasta la entrega del 14/10.</x:v>
      </x:c>
    </x:row>
    <x:row r="7" ht="15" hidden="0" customHeight="1">
      <x:c r="A7" s="48" t="n">
        <x:v>3</x:v>
      </x:c>
      <x:c r="B7" s="92" t="str">
        <x:v>Precio S/ 1.75 y S/ 1.30</x:v>
      </x:c>
      <x:c r="C7" s="92" t="str">
        <x:v>Retirado</x:v>
      </x:c>
      <x:c r="D7" s="92" t="str">
        <x:v>El Charter indica que los precios de leche no serán incluidos en esta versión.</x:v>
      </x:c>
      <x:c r="E7" s="92" t="str">
        <x:v>Project Charter G - Exclusiones 2</x:v>
      </x:c>
      <x:c r="F7" s="49" t="str">
        <x:v>La liquidación queda definida por cantidad y calidad, sin fijar precios.</x:v>
      </x:c>
    </x:row>
    <x:row r="8" ht="15" hidden="0" customHeight="1">
      <x:c r="A8" s="48" t="n">
        <x:v>4</x:v>
      </x:c>
      <x:c r="B8" s="92" t="str">
        <x:v>Pagos semanales cada viernes</x:v>
      </x:c>
      <x:c r="C8" s="92" t="str">
        <x:v>Retirado</x:v>
      </x:c>
      <x:c r="D8" s="92" t="str">
        <x:v>No aparece en el Charter ni en el Cronograma_2026.</x:v>
      </x:c>
      <x:c r="E8" s="92" t="str">
        <x:v>Project Charter + Cronograma_2026</x:v>
      </x:c>
      <x:c r="F8" s="49" t="str">
        <x:v>Se conserva el módulo de liquidaciones, no una regla de viernes.</x:v>
      </x:c>
    </x:row>
    <x:row r="9" ht="15" hidden="0" customHeight="1">
      <x:c r="A9" s="48" t="n">
        <x:v>5</x:v>
      </x:c>
      <x:c r="B9" s="92" t="str">
        <x:v>Módulo de producción/venta de quesos</x:v>
      </x:c>
      <x:c r="C9" s="92" t="str">
        <x:v>Retirado</x:v>
      </x:c>
      <x:c r="D9" s="92" t="str">
        <x:v>No está en los entregables del Charter ni en las actividades del Cronograma_2026.</x:v>
      </x:c>
      <x:c r="E9" s="92" t="str">
        <x:v>Project Charter + Cronograma_2026</x:v>
      </x:c>
      <x:c r="F9" s="49" t="str">
        <x:v>Fuera de la matriz principal.</x:v>
      </x:c>
    </x:row>
    <x:row r="10" ht="15" hidden="0" customHeight="1">
      <x:c r="A10" s="48" t="n">
        <x:v>6</x:v>
      </x:c>
      <x:c r="B10" s="92" t="str">
        <x:v>Resumen por nueve zonas específicas</x:v>
      </x:c>
      <x:c r="C10" s="92" t="str">
        <x:v>Reemplazado</x:v>
      </x:c>
      <x:c r="D10" s="92" t="str">
        <x:v>El Charter pide reportes por ruta, productor y periodo, no una lista fija de zonas.</x:v>
      </x:c>
      <x:c r="E10" s="92" t="str">
        <x:v>Project Charter F/G.8</x:v>
      </x:c>
      <x:c r="F10" s="49" t="str">
        <x:v>Reportes por ruta/productor/periodo.</x:v>
      </x:c>
    </x:row>
    <x:row r="11" ht="21.600000381469727" hidden="0" customHeight="1">
      <x:c r="A11" s="48" t="n">
        <x:v>7</x:v>
      </x:c>
      <x:c r="B11" s="92" t="str">
        <x:v>Importar/exportar Excel como módulo funcional</x:v>
      </x:c>
      <x:c r="C11" s="92" t="str">
        <x:v>Retirado</x:v>
      </x:c>
      <x:c r="D11" s="92" t="str">
        <x:v>No figura en el Charter; el Cronograma solo contempla migración/carga inicial de datos maestros.</x:v>
      </x:c>
      <x:c r="E11" s="92" t="str">
        <x:v>Project Charter + Cronograma ID 161</x:v>
      </x:c>
      <x:c r="F11" s="49" t="str">
        <x:v>Se mantiene migración/carga inicial y respaldo.</x:v>
      </x:c>
    </x:row>
    <x:row r="12" ht="15" hidden="0" customHeight="1">
      <x:c r="A12" s="48" t="n">
        <x:v>8</x:v>
      </x:c>
      <x:c r="B12" s="92" t="str">
        <x:v>Término único 14/10 vs actividades 15/10</x:v>
      </x:c>
      <x:c r="C12" s="92" t="str">
        <x:v>Reconciliado</x:v>
      </x:c>
      <x:c r="D12" s="92" t="str">
        <x:v>Las fuentes difieren en el cierre.</x:v>
      </x:c>
      <x:c r="E12" s="92" t="str">
        <x:v>Project Charter F/J + Cronograma Cierre</x:v>
      </x:c>
      <x:c r="F12" s="49" t="str">
        <x:v>Entrega/término de implementación 14/10; cierre administrativo 15/10.</x:v>
      </x:c>
    </x:row>
    <x:row r="13" ht="15" hidden="0" customHeight="1">
      <x:c r="A13" s="48" t="n">
        <x:v>9</x:v>
      </x:c>
      <x:c r="B13" s="92" t="str">
        <x:v>Término 'Proveedor' como actor principal</x:v>
      </x:c>
      <x:c r="C13" s="92" t="str">
        <x:v>Normalizado</x:v>
      </x:c>
      <x:c r="D13" s="92" t="str">
        <x:v>El Charter y el Cronograma usan principalmente 'Productor'.</x:v>
      </x:c>
      <x:c r="E13" s="92" t="str">
        <x:v>Project Charter + Cronograma_2026</x:v>
      </x:c>
      <x:c r="F13" s="49" t="str">
        <x:v>Se utiliza 'Productor' como término principal.</x:v>
      </x:c>
    </x:row>
    <x:row r="14" ht="21.600000381469727" hidden="0" customHeight="1">
      <x:c r="A14" s="48" t="n">
        <x:v>10</x:v>
      </x:c>
      <x:c r="B14" s="92" t="str">
        <x:v>Tercer mes dedicado a mantenimiento</x:v>
      </x:c>
      <x:c r="C14" s="92" t="str">
        <x:v>Retirado del cronograma base</x:v>
      </x:c>
      <x:c r="D14" s="92" t="str">
        <x:v>No existe en el Cronograma_2026.</x:v>
      </x:c>
      <x:c r="E14" s="92" t="str">
        <x:v>Cronograma_2026</x:v>
      </x:c>
      <x:c r="F14" s="49" t="str">
        <x:v>Mantenimiento queda como obligación/documentación y soporte post-implementación del Charter.</x:v>
      </x:c>
    </x:row>
    <x:row r="15" ht="15" hidden="0" customHeight="1">
      <x:c r="A15" s="50" t="n">
        <x:v>11</x:v>
      </x:c>
      <x:c r="B15" s="93" t="str">
        <x:v>Evidencia por firma/foto y notificaciones</x:v>
      </x:c>
      <x:c r="C15" s="93" t="str">
        <x:v>Incorporado</x:v>
      </x:c>
      <x:c r="D15" s="93" t="str">
        <x:v>Sí aparecen como actividades planificadas en Cronograma_2026.</x:v>
      </x:c>
      <x:c r="E15" s="93" t="str">
        <x:v>Cronograma IDs 99,110,113</x:v>
      </x:c>
      <x:c r="F15" s="51" t="str">
        <x:v>Se incluyen como requisitos planificados (no como aprobados por Charter).</x:v>
      </x:c>
    </x:row>
  </x:sheetData>
  <x:mergeCells>
    <x:mergeCell ref="A1:F1"/>
    <x:mergeCell ref="A2:F2"/>
  </x:mergeCells>
  <x:pageMargins left="0.7" right="0.7" top="0.75" bottom="0.75" header="0.3" footer="0.3"/>
</x:worksheet>
</file>