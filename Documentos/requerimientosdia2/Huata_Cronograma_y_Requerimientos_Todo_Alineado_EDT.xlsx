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d9e02ecba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esados" sheetId="2" r:id="R24d089b2f94b49b3"/>
    <x:sheet xmlns:r="http://schemas.openxmlformats.org/officeDocument/2006/relationships" name="Reglas de Negocio" sheetId="3" r:id="R40fbee73bfa94a82"/>
    <x:sheet xmlns:r="http://schemas.openxmlformats.org/officeDocument/2006/relationships" name="Matriz Requerimientos" sheetId="4" r:id="R7e84575eadb448c8"/>
    <x:sheet xmlns:r="http://schemas.openxmlformats.org/officeDocument/2006/relationships" name="Casos de Prueba" sheetId="5" r:id="R87876f1c35ee475d"/>
    <x:sheet xmlns:r="http://schemas.openxmlformats.org/officeDocument/2006/relationships" name="Matriz Trazabilidad" sheetId="6" r:id="R5cbe2025729c4140"/>
    <x:sheet xmlns:r="http://schemas.openxmlformats.org/officeDocument/2006/relationships" name="Cronograma" sheetId="7" r:id="R66984b67753b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8">
    <x:font>
      <x:sz val="11"/>
      <x:color theme="1"/>
      <x:name val="Calibri"/>
    </x:font>
    <x:font>
      <x:b/>
      <x:sz val="14"/>
      <x:color rgb="FFFFFFFF"/>
      <x:name val="Arial"/>
    </x:font>
    <x:font>
      <x:i/>
      <x:sz val="9"/>
      <x:color rgb="FF5A6472"/>
      <x:name val="Arial"/>
    </x:font>
    <x:font>
      <x:b/>
      <x:sz val="10"/>
      <x:color rgb="FFFFFFFF"/>
      <x:name val="Arial"/>
    </x:font>
    <x:font>
      <x:sz val="9"/>
      <x:color rgb="FF1C1C1C"/>
      <x:name val="Arial"/>
    </x:font>
    <x:font>
      <x:b/>
      <x:sz val="9"/>
      <x:color rgb="FFFFFFFF"/>
      <x:name val="Arial"/>
    </x:font>
    <x:font>
      <x:b/>
      <x:sz val="18"/>
      <x:color rgb="FFFFFFFF"/>
      <x:name val="Calibri"/>
    </x:font>
    <x:font>
      <x:i/>
      <x:sz val="10"/>
      <x:color rgb="FF5B6573"/>
      <x:name val="Calibri"/>
    </x:font>
    <x:font>
      <x:b/>
      <x:sz val="10"/>
      <x:color rgb="FF17365D"/>
      <x:name val="Calibri"/>
    </x:font>
    <x:font>
      <x:b/>
      <x:sz val="10"/>
      <x:color rgb="FFFFFFFF"/>
      <x:name val="Calibri"/>
    </x:font>
    <x:font>
      <x:b/>
      <x:sz val="9"/>
      <x:color rgb="FFFFFFFF"/>
      <x:name val="Calibri"/>
    </x:font>
    <x:font>
      <x:sz val="9"/>
      <x:color rgb="FF343A40"/>
      <x:name val="Calibri"/>
    </x:font>
    <x:font>
      <x:b/>
      <x:sz val="9"/>
      <x:color rgb="FF17365D"/>
      <x:name val="Calibri"/>
    </x:font>
    <x:font>
      <x:b/>
      <x:sz val="11"/>
      <x:color rgb="FF17365D"/>
      <x:name val="Calibri"/>
    </x:font>
    <x:font>
      <x:i/>
      <x:sz val="9"/>
      <x:color rgb="FF5B6573"/>
      <x:name val="Calibri"/>
    </x:font>
    <x:font>
      <x:b/>
      <x:sz val="8"/>
      <x:color rgb="FFFFFFFF"/>
      <x:name val="Calibri"/>
    </x:font>
    <x:font>
      <x:b/>
      <x:sz val="15"/>
      <x:color rgb="FFFFFFFF"/>
      <x:name val="Calibri"/>
    </x:font>
    <x:font>
      <x:i/>
      <x:sz val="9"/>
      <x:color rgb="FF59636E"/>
      <x:name val="Calibri"/>
    </x:font>
    <x:font>
      <x:sz val="8"/>
      <x:color rgb="FF20354A"/>
      <x:name val="Calibri"/>
    </x:font>
    <x:font>
      <x:b/>
      <x:sz val="8"/>
      <x:color rgb="FF20354A"/>
      <x:name val="Calibri"/>
    </x:font>
    <x:font>
      <x:i/>
      <x:sz val="8"/>
      <x:color rgb="FF5F6B75"/>
      <x:name val="Calibri"/>
    </x:font>
    <x:font>
      <x:b/>
      <x:i/>
      <x:sz val="8"/>
      <x:color rgb="FF5F6B75"/>
      <x:name val="Calibri"/>
    </x:font>
    <x:font>
      <x:i/>
      <x:sz val="10"/>
      <x:color rgb="FF5C4300"/>
      <x:name val="Calibri"/>
    </x:font>
    <x:font>
      <x:b/>
      <x:sz val="9"/>
      <x:color rgb="FF3A2A00"/>
      <x:name val="Calibri"/>
    </x:font>
    <x:font>
      <x:sz val="9"/>
      <x:color rgb="FF243447"/>
      <x:name val="Calibri"/>
    </x:font>
    <x:font>
      <x:sz val="9"/>
      <x:color rgb="FF5C4300"/>
      <x:name val="Calibri"/>
    </x:font>
    <x:font>
      <x:b/>
      <x:sz val="8"/>
      <x:color rgb="FF3A2A00"/>
      <x:name val="Calibri"/>
    </x:font>
    <x:font>
      <x:sz val="8"/>
      <x:color rgb="FF243447"/>
      <x:name val="Calibri"/>
    </x:font>
  </x:fonts>
  <x:fills count="53">
    <x:fill>
      <x:patternFill patternType="none"/>
    </x:fill>
    <x:fill>
      <x:patternFill patternType="gray125"/>
    </x:fill>
    <x:fill>
      <x:patternFill patternType="solid">
        <x:fgColor rgb="FF12294D"/>
      </x:patternFill>
    </x:fill>
    <x:fill>
      <x:patternFill patternType="solid">
        <x:fgColor rgb="FFFFF6DC"/>
      </x:patternFill>
    </x:fill>
    <x:fill>
      <x:patternFill patternType="solid">
        <x:fgColor rgb="FFF4F6FA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FFF7DF"/>
      </x:patternFill>
    </x:fill>
    <x:fill>
      <x:patternFill patternType="solid">
        <x:fgColor rgb="FFD9EAF7"/>
      </x:patternFill>
    </x:fill>
    <x:fill>
      <x:patternFill patternType="solid">
        <x:fgColor rgb="FFBDD7EE"/>
      </x:patternFill>
    </x:fill>
    <x:fill>
      <x:patternFill patternType="solid">
        <x:fgColor rgb="FFC6E0B4"/>
      </x:patternFill>
    </x:fill>
    <x:fill>
      <x:patternFill patternType="solid">
        <x:fgColor rgb="FFF8CBAD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9E5F2"/>
      </x:patternFill>
    </x:fill>
    <x:fill>
      <x:patternFill patternType="solid">
        <x:fgColor rgb="FFF8E7A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9D8B4"/>
      </x:patternFill>
    </x:fill>
    <x:fill>
      <x:patternFill patternType="solid">
        <x:fgColor rgb="FFE4DFEC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BF9000"/>
      </x:patternFill>
    </x:fill>
    <x:fill>
      <x:patternFill patternType="solid">
        <x:fgColor rgb="FFA64B00"/>
      </x:patternFill>
    </x:fill>
    <x:fill>
      <x:patternFill patternType="solid">
        <x:fgColor rgb="FF8064A2"/>
      </x:patternFill>
    </x:fill>
    <x:fill>
      <x:patternFill patternType="solid">
        <x:fgColor rgb="FFFFF5D7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FFF0B3"/>
      </x:patternFill>
    </x:fill>
    <x:fill>
      <x:patternFill patternType="solid">
        <x:fgColor rgb="FFE8B84A"/>
      </x:patternFill>
    </x:fill>
    <x:fill>
      <x:patternFill patternType="solid">
        <x:fgColor rgb="FFFFF8E8"/>
      </x:patternFill>
    </x:fill>
    <x:fill>
      <x:patternFill patternType="solid">
        <x:fgColor rgb="FFEAF2F8"/>
      </x:patternFill>
    </x:fill>
    <x:fill>
      <x:patternFill patternType="solid">
        <x:fgColor rgb="FFFFF1C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FFF0B3"/>
      </x:patternFill>
    </x:fill>
    <x:fill>
      <x:patternFill patternType="solid">
        <x:fgColor rgb="FFE8B84A"/>
      </x:patternFill>
    </x:fill>
    <x:fill>
      <x:patternFill patternType="solid">
        <x:fgColor rgb="FFFFF8E8"/>
      </x:patternFill>
    </x:fill>
    <x:fill>
      <x:patternFill patternType="solid">
        <x:fgColor rgb="FFFFF1C7"/>
      </x:patternFill>
    </x:fill>
    <x:fill>
      <x:patternFill patternType="solid">
        <x:fgColor rgb="FFEAF2F8"/>
      </x:patternFill>
    </x:fill>
  </x:fills>
  <x:borders count="59">
    <x:border/>
    <x:border>
      <x:left style="thin">
        <x:color rgb="FFC9D3E4"/>
      </x:left>
      <x:right style="thin">
        <x:color rgb="FFC9D3E4"/>
      </x:right>
      <x:top style="thin">
        <x:color rgb="FFC9D3E4"/>
      </x:top>
      <x:bottom style="thin">
        <x:color rgb="FFC9D3E4"/>
      </x:bottom>
    </x:border>
    <x:border/>
    <x:border>
      <x:left style="thin">
        <x:color rgb="FFC9D3E4"/>
      </x:left>
      <x:right style="thin">
        <x:color rgb="FFC9D3E4"/>
      </x:right>
      <x:top style="thin">
        <x:color rgb="FFC9D3E4"/>
      </x:top>
      <x:bottom style="thin">
        <x:color rgb="FFC9D3E4"/>
      </x:bottom>
    </x:border>
    <x:border>
      <x:left style="thin">
        <x:color rgb="FFA6B6C8"/>
      </x:left>
      <x:top style="thin">
        <x:color rgb="FFA6B6C8"/>
      </x:top>
      <x:bottom style="thin">
        <x:color rgb="FFA6B6C8"/>
      </x:bottom>
    </x:border>
    <x:border>
      <x:top style="thin">
        <x:color rgb="FFA6B6C8"/>
      </x:top>
      <x:bottom style="thin">
        <x:color rgb="FFA6B6C8"/>
      </x:bottom>
    </x:border>
    <x:border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A6B6C8"/>
      </x:left>
      <x:top style="thin">
        <x:color rgb="FFA6B6C8"/>
      </x:top>
      <x:bottom style="thin">
        <x:color rgb="FFA6B6C8"/>
      </x:bottom>
    </x:border>
    <x:border>
      <x:top style="thin">
        <x:color rgb="FFA6B6C8"/>
      </x:top>
      <x:bottom style="thin">
        <x:color rgb="FFA6B6C8"/>
      </x:bottom>
    </x:border>
    <x:border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top style="thin">
        <x:color rgb="FFD5DEE8"/>
      </x:top>
    </x:border>
    <x:border>
      <x:top style="thin">
        <x:color rgb="FFD5DEE8"/>
      </x:top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</x:border>
    <x:border>
      <x:right style="thin">
        <x:color rgb="FFD5DEE8"/>
      </x:right>
    </x:border>
    <x:border>
      <x:left style="thin">
        <x:color rgb="FFD5DEE8"/>
      </x:left>
      <x:bottom style="thin">
        <x:color rgb="FFD5DEE8"/>
      </x:bottom>
    </x:border>
    <x:border>
      <x:bottom style="thin">
        <x:color rgb="FFD5DEE8"/>
      </x:bottom>
    </x:border>
    <x:border>
      <x:right style="thin">
        <x:color rgb="FFD5DEE8"/>
      </x:right>
      <x:bottom style="thin">
        <x:color rgb="FFD5DEE8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thin">
        <x:color rgb="FFA6B6C8"/>
      </x:bottom>
    </x:border>
    <x:border>
      <x:left style="hair">
        <x:color rgb="FFD4DCE5"/>
      </x:left>
      <x:top style="hair">
        <x:color rgb="FFC8D1DC"/>
      </x:top>
      <x:bottom style="thin">
        <x:color rgb="FFFFFFFF"/>
      </x:bottom>
    </x:border>
    <x:border>
      <x:top style="hair">
        <x:color rgb="FFC8D1DC"/>
      </x:top>
      <x:bottom style="thin">
        <x:color rgb="FFFFFFFF"/>
      </x:bottom>
    </x:border>
    <x:border>
      <x:right style="hair">
        <x:color rgb="FFD4DCE5"/>
      </x:right>
      <x:top style="hair">
        <x:color rgb="FFC8D1DC"/>
      </x:top>
      <x:bottom style="thin">
        <x:color rgb="FFFFFFFF"/>
      </x:bottom>
    </x:border>
    <x:border>
      <x:left style="hair">
        <x:color rgb="FFD4DCE5"/>
      </x:left>
      <x:top style="thin">
        <x:color rgb="FFD5DEE8"/>
      </x:top>
    </x:border>
    <x:border>
      <x:right style="hair">
        <x:color rgb="FFD4DCE5"/>
      </x:right>
      <x:top style="thin">
        <x:color rgb="FFD5DEE8"/>
      </x:top>
    </x:border>
    <x:border>
      <x:left style="hair">
        <x:color rgb="FFD4DCE5"/>
      </x:left>
    </x:border>
    <x:border>
      <x:right style="hair">
        <x:color rgb="FFD4DCE5"/>
      </x:right>
    </x:border>
    <x:border>
      <x:left style="hair">
        <x:color rgb="FFD4DCE5"/>
      </x:left>
      <x:bottom style="hair">
        <x:color rgb="FFC8D1DC"/>
      </x:bottom>
    </x:border>
    <x:border>
      <x:bottom style="hair">
        <x:color rgb="FFC8D1DC"/>
      </x:bottom>
    </x:border>
    <x:border>
      <x:left style="thin">
        <x:color rgb="FFA6B6C8"/>
      </x:left>
      <x:right style="thin">
        <x:color rgb="FFA6B6C8"/>
      </x:right>
      <x:top style="thin">
        <x:color rgb="FFA6B6C8"/>
      </x:top>
      <x:bottom style="hair">
        <x:color rgb="FFC8D1DC"/>
      </x:bottom>
    </x:border>
    <x:border>
      <x:right style="hair">
        <x:color rgb="FFD4DCE5"/>
      </x:right>
      <x:bottom style="hair">
        <x:color rgb="FFC8D1DC"/>
      </x:bottom>
    </x:border>
    <x:border>
      <x:left style="hair">
        <x:color rgb="FFD4DCE5"/>
      </x:left>
      <x:top style="hair">
        <x:color rgb="FFC8D1DC"/>
      </x:top>
    </x:border>
    <x:border>
      <x:top style="hair">
        <x:color rgb="FFC8D1DC"/>
      </x:top>
    </x:border>
    <x:border>
      <x:right style="hair">
        <x:color rgb="FFD4DCE5"/>
      </x:right>
      <x:top style="hair">
        <x:color rgb="FFC8D1DC"/>
      </x:top>
    </x:border>
    <x:border>
      <x:left style="thin">
        <x:color rgb="FFC79A2E"/>
      </x:left>
      <x:top style="thin">
        <x:color rgb="FF8A6508"/>
      </x:top>
      <x:bottom style="thin">
        <x:color rgb="FF8A6508"/>
      </x:bottom>
    </x:border>
    <x:border>
      <x:top style="thin">
        <x:color rgb="FF8A6508"/>
      </x:top>
      <x:bottom style="thin">
        <x:color rgb="FF8A6508"/>
      </x:bottom>
    </x:border>
    <x:border>
      <x:right style="thin">
        <x:color rgb="FFC79A2E"/>
      </x:right>
      <x:top style="thin">
        <x:color rgb="FF8A6508"/>
      </x:top>
      <x:bottom style="thin">
        <x:color rgb="FF8A6508"/>
      </x:bottom>
    </x:border>
    <x:border>
      <x:left style="hair">
        <x:color rgb="FFD5C9A6"/>
      </x:left>
      <x:top style="hair">
        <x:color rgb="FFD5C9A6"/>
      </x:top>
    </x:border>
    <x:border>
      <x:top style="hair">
        <x:color rgb="FFD5C9A6"/>
      </x:top>
    </x:border>
    <x:border>
      <x:right style="hair">
        <x:color rgb="FFD5C9A6"/>
      </x:right>
      <x:top style="hair">
        <x:color rgb="FFD5C9A6"/>
      </x:top>
    </x:border>
    <x:border>
      <x:left style="hair">
        <x:color rgb="FFD5C9A6"/>
      </x:left>
    </x:border>
    <x:border>
      <x:right style="hair">
        <x:color rgb="FFD5C9A6"/>
      </x:right>
    </x:border>
    <x:border>
      <x:left style="hair">
        <x:color rgb="FFD5C9A6"/>
      </x:left>
      <x:bottom style="hair">
        <x:color rgb="FFD5C9A6"/>
      </x:bottom>
    </x:border>
    <x:border>
      <x:bottom style="hair">
        <x:color rgb="FFD5C9A6"/>
      </x:bottom>
    </x:border>
    <x:border>
      <x:right style="hair">
        <x:color rgb="FFD5C9A6"/>
      </x:right>
      <x:bottom style="hair">
        <x:color rgb="FFD5C9A6"/>
      </x:bottom>
    </x:border>
  </x:borders>
  <x:cellStyleXfs count="1">
    <x:xf numFmtId="0" fontId="0" fillId="0" borderId="0"/>
  </x:cellStyleXfs>
  <x:cellXfs count="929">
    <x:xf numFmtId="0" fontId="0" fillId="0" borderId="0" xfId="0"/>
    <x:xf numFmtId="0" fontId="3" fillId="2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left" vertical="center" wrapText="1"/>
    </x:xf>
    <x:xf numFmtId="0" fontId="4" fillId="3" borderId="1" xfId="0" applyFont="1" applyFill="1" applyBorder="1" applyAlignment="1">
      <x:alignment horizontal="left" vertical="top" wrapText="1"/>
    </x:xf>
    <x:xf numFmtId="0" fontId="5" fillId="2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left" vertical="center" wrapText="1"/>
    </x:xf>
    <x:xf numFmtId="0" fontId="1" fillId="2" borderId="0" xfId="0" applyFont="1" applyFill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0" fillId="0" borderId="2" xfId="0" applyNumberFormat="1" applyFont="1" applyFill="1" applyBorder="1"/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top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/>
    </x:xf>
    <x:xf numFmtId="0" fontId="2" fillId="0" borderId="2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horizontal="left"/>
    </x:xf>
    <x:xf numFmtId="0" fontId="6" fillId="5" borderId="2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horizontal="center" wrapText="1"/>
    </x:xf>
    <x:xf numFmtId="0" fontId="8" fillId="6" borderId="5" xfId="0" applyNumberFormat="1" applyFont="1" applyFill="1" applyBorder="1" applyAlignment="1">
      <x:alignment horizontal="center" wrapText="1"/>
    </x:xf>
    <x:xf numFmtId="0" fontId="8" fillId="6" borderId="6" xfId="0" applyNumberFormat="1" applyFont="1" applyFill="1" applyBorder="1" applyAlignment="1">
      <x:alignment horizont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5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/>
    <x:xf numFmtId="0" fontId="8" fillId="6" borderId="2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horizontal="center" wrapText="1"/>
    </x:xf>
    <x:xf numFmtId="0" fontId="8" fillId="6" borderId="8" xfId="0" applyNumberFormat="1" applyFont="1" applyFill="1" applyBorder="1" applyAlignment="1">
      <x:alignment horizontal="center" wrapText="1"/>
    </x:xf>
    <x:xf numFmtId="0" fontId="8" fillId="6" borderId="9" xfId="0" applyNumberFormat="1" applyFont="1" applyFill="1" applyBorder="1" applyAlignment="1">
      <x:alignment horizontal="center" wrapText="1"/>
    </x:xf>
    <x:xf numFmtId="0" fontId="8" fillId="6" borderId="7" xfId="0" applyNumberFormat="1" applyFont="1" applyFill="1" applyBorder="1" applyAlignment="1">
      <x:alignment horizontal="center" vertical="center" wrapText="1"/>
    </x:xf>
    <x:xf numFmtId="0" fontId="8" fillId="6" borderId="8" xfId="0" applyNumberFormat="1" applyFont="1" applyFill="1" applyBorder="1" applyAlignment="1">
      <x:alignment horizontal="center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horizontal="center" wrapText="1"/>
    </x:xf>
    <x:xf numFmtId="0" fontId="8" fillId="7" borderId="5" xfId="0" applyNumberFormat="1" applyFont="1" applyFill="1" applyBorder="1" applyAlignment="1">
      <x:alignment horizontal="center" wrapText="1"/>
    </x:xf>
    <x:xf numFmtId="0" fontId="8" fillId="7" borderId="6" xfId="0" applyNumberFormat="1" applyFont="1" applyFill="1" applyBorder="1" applyAlignment="1">
      <x:alignment horizont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8" fillId="7" borderId="5" xfId="0" applyNumberFormat="1" applyFont="1" applyFill="1" applyBorder="1" applyAlignment="1">
      <x:alignment horizontal="center" vertic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/>
    <x:xf numFmtId="0" fontId="8" fillId="7" borderId="2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7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horizontal="center" wrapText="1"/>
    </x:xf>
    <x:xf numFmtId="0" fontId="8" fillId="7" borderId="8" xfId="0" applyNumberFormat="1" applyFont="1" applyFill="1" applyBorder="1" applyAlignment="1">
      <x:alignment horizontal="center" wrapText="1"/>
    </x:xf>
    <x:xf numFmtId="0" fontId="8" fillId="7" borderId="9" xfId="0" applyNumberFormat="1" applyFont="1" applyFill="1" applyBorder="1" applyAlignment="1">
      <x:alignment horizont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8" fillId="7" borderId="8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horizontal="center" wrapText="1"/>
    </x:xf>
    <x:xf numFmtId="0" fontId="8" fillId="8" borderId="5" xfId="0" applyNumberFormat="1" applyFont="1" applyFill="1" applyBorder="1" applyAlignment="1">
      <x:alignment horizontal="center" wrapText="1"/>
    </x:xf>
    <x:xf numFmtId="0" fontId="8" fillId="8" borderId="6" xfId="0" applyNumberFormat="1" applyFont="1" applyFill="1" applyBorder="1" applyAlignment="1">
      <x:alignment horizont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8" fillId="8" borderId="5" xfId="0" applyNumberFormat="1" applyFont="1" applyFill="1" applyBorder="1" applyAlignment="1">
      <x:alignment horizontal="center" vertical="center" wrapText="1"/>
    </x:xf>
    <x:xf numFmtId="0" fontId="8" fillId="8" borderId="6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/>
    <x:xf numFmtId="0" fontId="8" fillId="8" borderId="2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horizontal="center" wrapText="1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7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4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9" borderId="4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8" fillId="9" borderId="6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horizontal="center" wrapText="1"/>
    </x:xf>
    <x:xf numFmtId="0" fontId="8" fillId="9" borderId="5" xfId="0" applyNumberFormat="1" applyFont="1" applyFill="1" applyBorder="1" applyAlignment="1">
      <x:alignment horizontal="center" wrapText="1"/>
    </x:xf>
    <x:xf numFmtId="0" fontId="8" fillId="9" borderId="6" xfId="0" applyNumberFormat="1" applyFont="1" applyFill="1" applyBorder="1" applyAlignment="1">
      <x:alignment horizontal="center" wrapText="1"/>
    </x:xf>
    <x:xf numFmtId="0" fontId="8" fillId="9" borderId="4" xfId="0" applyNumberFormat="1" applyFont="1" applyFill="1" applyBorder="1" applyAlignment="1">
      <x:alignment horizontal="center" vertical="center" wrapText="1"/>
    </x:xf>
    <x:xf numFmtId="0" fontId="8" fillId="9" borderId="5" xfId="0" applyNumberFormat="1" applyFont="1" applyFill="1" applyBorder="1" applyAlignment="1">
      <x:alignment horizontal="center" vertical="center" wrapText="1"/>
    </x:xf>
    <x:xf numFmtId="0" fontId="8" fillId="9" borderId="6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/>
    <x:xf numFmtId="0" fontId="8" fillId="9" borderId="2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7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horizontal="center" wrapText="1"/>
    </x:xf>
    <x:xf numFmtId="0" fontId="8" fillId="9" borderId="8" xfId="0" applyNumberFormat="1" applyFont="1" applyFill="1" applyBorder="1" applyAlignment="1">
      <x:alignment horizontal="center" wrapText="1"/>
    </x:xf>
    <x:xf numFmtId="0" fontId="8" fillId="9" borderId="9" xfId="0" applyNumberFormat="1" applyFont="1" applyFill="1" applyBorder="1" applyAlignment="1">
      <x:alignment horizontal="center" wrapText="1"/>
    </x:xf>
    <x:xf numFmtId="0" fontId="8" fillId="9" borderId="7" xfId="0" applyNumberFormat="1" applyFont="1" applyFill="1" applyBorder="1" applyAlignment="1">
      <x:alignment horizontal="center" vertical="center" wrapText="1"/>
    </x:xf>
    <x:xf numFmtId="0" fontId="8" fillId="9" borderId="8" xfId="0" applyNumberFormat="1" applyFont="1" applyFill="1" applyBorder="1" applyAlignment="1">
      <x:alignment horizontal="center" vertical="center" wrapText="1"/>
    </x:xf>
    <x:xf numFmtId="0" fontId="8" fillId="9" borderId="9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4" xfId="0" applyNumberFormat="1" applyFont="1" applyFill="1" applyBorder="1"/>
    <x:xf numFmtId="0" fontId="8" fillId="10" borderId="5" xfId="0" applyNumberFormat="1" applyFont="1" applyFill="1" applyBorder="1"/>
    <x:xf numFmtId="0" fontId="8" fillId="10" borderId="6" xfId="0" applyNumberFormat="1" applyFont="1" applyFill="1" applyBorder="1"/>
    <x:xf numFmtId="0" fontId="8" fillId="10" borderId="4" xfId="0" applyNumberFormat="1" applyFont="1" applyFill="1" applyBorder="1" applyAlignment="1">
      <x:alignment wrapText="1"/>
    </x:xf>
    <x:xf numFmtId="0" fontId="8" fillId="10" borderId="5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  <x:xf numFmtId="0" fontId="8" fillId="10" borderId="4" xfId="0" applyNumberFormat="1" applyFont="1" applyFill="1" applyBorder="1" applyAlignment="1">
      <x:alignment horizontal="center" wrapText="1"/>
    </x:xf>
    <x:xf numFmtId="0" fontId="8" fillId="10" borderId="5" xfId="0" applyNumberFormat="1" applyFont="1" applyFill="1" applyBorder="1" applyAlignment="1">
      <x:alignment horizontal="center" wrapText="1"/>
    </x:xf>
    <x:xf numFmtId="0" fontId="8" fillId="10" borderId="6" xfId="0" applyNumberFormat="1" applyFont="1" applyFill="1" applyBorder="1" applyAlignment="1">
      <x:alignment horizont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  <x:xf numFmtId="0" fontId="8" fillId="10" borderId="6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/>
    <x:xf numFmtId="0" fontId="8" fillId="10" borderId="2" xfId="0" applyNumberFormat="1" applyFont="1" applyFill="1" applyBorder="1"/>
    <x:xf numFmtId="0" fontId="8" fillId="10" borderId="7" xfId="0" applyNumberFormat="1" applyFont="1" applyFill="1" applyBorder="1"/>
    <x:xf numFmtId="0" fontId="8" fillId="10" borderId="8" xfId="0" applyNumberFormat="1" applyFont="1" applyFill="1" applyBorder="1"/>
    <x:xf numFmtId="0" fontId="8" fillId="10" borderId="9" xfId="0" applyNumberFormat="1" applyFont="1" applyFill="1" applyBorder="1"/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8" fillId="10" borderId="9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horizontal="center" wrapText="1"/>
    </x:xf>
    <x:xf numFmtId="0" fontId="8" fillId="10" borderId="8" xfId="0" applyNumberFormat="1" applyFont="1" applyFill="1" applyBorder="1" applyAlignment="1">
      <x:alignment horizontal="center" wrapText="1"/>
    </x:xf>
    <x:xf numFmtId="0" fontId="8" fillId="10" borderId="9" xfId="0" applyNumberFormat="1" applyFont="1" applyFill="1" applyBorder="1" applyAlignment="1">
      <x:alignment horizontal="center" wrapText="1"/>
    </x:xf>
    <x:xf numFmtId="0" fontId="8" fillId="10" borderId="7" xfId="0" applyNumberFormat="1" applyFont="1" applyFill="1" applyBorder="1" applyAlignment="1">
      <x:alignment horizontal="center" vertical="center" wrapText="1"/>
    </x:xf>
    <x:xf numFmtId="0" fontId="8" fillId="10" borderId="8" xfId="0" applyNumberFormat="1" applyFont="1" applyFill="1" applyBorder="1" applyAlignment="1">
      <x:alignment horizontal="center" vertical="center" wrapText="1"/>
    </x:xf>
    <x:xf numFmtId="0" fontId="8" fillId="10" borderId="9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10" xfId="0" applyNumberFormat="1" applyFont="1" applyFill="1" applyBorder="1"/>
    <x:xf numFmtId="0" fontId="9" fillId="11" borderId="11" xfId="0" applyNumberFormat="1" applyFont="1" applyFill="1" applyBorder="1"/>
    <x:xf numFmtId="0" fontId="9" fillId="11" borderId="12" xfId="0" applyNumberFormat="1" applyFont="1" applyFill="1" applyBorder="1"/>
    <x:xf numFmtId="0" fontId="9" fillId="11" borderId="10" xfId="0" applyNumberFormat="1" applyFont="1" applyFill="1" applyBorder="1" applyAlignment="1">
      <x:alignment horizontal="center"/>
    </x:xf>
    <x:xf numFmtId="0" fontId="9" fillId="11" borderId="11" xfId="0" applyNumberFormat="1" applyFont="1" applyFill="1" applyBorder="1" applyAlignment="1">
      <x:alignment horizontal="center"/>
    </x:xf>
    <x:xf numFmtId="0" fontId="9" fillId="11" borderId="12" xfId="0" applyNumberFormat="1" applyFont="1" applyFill="1" applyBorder="1" applyAlignment="1">
      <x:alignment horizontal="center"/>
    </x:xf>
    <x:xf numFmtId="0" fontId="9" fillId="11" borderId="10" xfId="0" applyNumberFormat="1" applyFont="1" applyFill="1" applyBorder="1" applyAlignment="1">
      <x:alignment horizontal="center" vertical="center"/>
    </x:xf>
    <x:xf numFmtId="0" fontId="9" fillId="11" borderId="11" xfId="0" applyNumberFormat="1" applyFont="1" applyFill="1" applyBorder="1" applyAlignment="1">
      <x:alignment horizontal="center" vertical="center"/>
    </x:xf>
    <x:xf numFmtId="0" fontId="9" fillId="11" borderId="12" xfId="0" applyNumberFormat="1" applyFont="1" applyFill="1" applyBorder="1" applyAlignment="1">
      <x:alignment horizontal="center" vertical="center"/>
    </x:xf>
    <x:xf numFmtId="0" fontId="0" fillId="11" borderId="2" xfId="0" applyNumberFormat="1" applyFont="1" applyFill="1" applyBorder="1"/>
    <x:xf numFmtId="0" fontId="9" fillId="11" borderId="2" xfId="0" applyNumberFormat="1" applyFont="1" applyFill="1" applyBorder="1"/>
    <x:xf numFmtId="0" fontId="9" fillId="11" borderId="13" xfId="0" applyNumberFormat="1" applyFont="1" applyFill="1" applyBorder="1"/>
    <x:xf numFmtId="0" fontId="9" fillId="11" borderId="14" xfId="0" applyNumberFormat="1" applyFont="1" applyFill="1" applyBorder="1"/>
    <x:xf numFmtId="0" fontId="9" fillId="11" borderId="15" xfId="0" applyNumberFormat="1" applyFont="1" applyFill="1" applyBorder="1"/>
    <x:xf numFmtId="0" fontId="9" fillId="11" borderId="13" xfId="0" applyNumberFormat="1" applyFont="1" applyFill="1" applyBorder="1" applyAlignment="1">
      <x:alignment horizontal="center"/>
    </x:xf>
    <x:xf numFmtId="0" fontId="9" fillId="11" borderId="14" xfId="0" applyNumberFormat="1" applyFont="1" applyFill="1" applyBorder="1" applyAlignment="1">
      <x:alignment horizontal="center"/>
    </x:xf>
    <x:xf numFmtId="0" fontId="9" fillId="11" borderId="15" xfId="0" applyNumberFormat="1" applyFont="1" applyFill="1" applyBorder="1" applyAlignment="1">
      <x:alignment horizontal="center"/>
    </x:xf>
    <x:xf numFmtId="0" fontId="9" fillId="11" borderId="13" xfId="0" applyNumberFormat="1" applyFont="1" applyFill="1" applyBorder="1" applyAlignment="1">
      <x:alignment horizontal="center" vertical="center"/>
    </x:xf>
    <x:xf numFmtId="0" fontId="9" fillId="11" borderId="14" xfId="0" applyNumberFormat="1" applyFont="1" applyFill="1" applyBorder="1" applyAlignment="1">
      <x:alignment horizontal="center" vertical="center"/>
    </x:xf>
    <x:xf numFmtId="0" fontId="9" fillId="11" borderId="15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10" xfId="0" applyNumberFormat="1" applyFont="1" applyFill="1" applyBorder="1"/>
    <x:xf numFmtId="0" fontId="9" fillId="12" borderId="11" xfId="0" applyNumberFormat="1" applyFont="1" applyFill="1" applyBorder="1"/>
    <x:xf numFmtId="0" fontId="9" fillId="12" borderId="12" xfId="0" applyNumberFormat="1" applyFont="1" applyFill="1" applyBorder="1"/>
    <x:xf numFmtId="0" fontId="9" fillId="12" borderId="10" xfId="0" applyNumberFormat="1" applyFont="1" applyFill="1" applyBorder="1" applyAlignment="1">
      <x:alignment horizontal="center"/>
    </x:xf>
    <x:xf numFmtId="0" fontId="9" fillId="12" borderId="11" xfId="0" applyNumberFormat="1" applyFont="1" applyFill="1" applyBorder="1" applyAlignment="1">
      <x:alignment horizontal="center"/>
    </x:xf>
    <x:xf numFmtId="0" fontId="9" fillId="12" borderId="12" xfId="0" applyNumberFormat="1" applyFont="1" applyFill="1" applyBorder="1" applyAlignment="1">
      <x:alignment horizontal="center"/>
    </x:xf>
    <x:xf numFmtId="0" fontId="9" fillId="12" borderId="10" xfId="0" applyNumberFormat="1" applyFont="1" applyFill="1" applyBorder="1" applyAlignment="1">
      <x:alignment horizontal="center" vertical="center"/>
    </x:xf>
    <x:xf numFmtId="0" fontId="9" fillId="12" borderId="11" xfId="0" applyNumberFormat="1" applyFont="1" applyFill="1" applyBorder="1" applyAlignment="1">
      <x:alignment horizontal="center" vertical="center"/>
    </x:xf>
    <x:xf numFmtId="0" fontId="9" fillId="12" borderId="12" xfId="0" applyNumberFormat="1" applyFont="1" applyFill="1" applyBorder="1" applyAlignment="1">
      <x:alignment horizontal="center" vertical="center"/>
    </x:xf>
    <x:xf numFmtId="0" fontId="0" fillId="12" borderId="2" xfId="0" applyNumberFormat="1" applyFont="1" applyFill="1" applyBorder="1"/>
    <x:xf numFmtId="0" fontId="9" fillId="12" borderId="2" xfId="0" applyNumberFormat="1" applyFont="1" applyFill="1" applyBorder="1"/>
    <x:xf numFmtId="0" fontId="9" fillId="12" borderId="13" xfId="0" applyNumberFormat="1" applyFont="1" applyFill="1" applyBorder="1"/>
    <x:xf numFmtId="0" fontId="9" fillId="12" borderId="14" xfId="0" applyNumberFormat="1" applyFont="1" applyFill="1" applyBorder="1"/>
    <x:xf numFmtId="0" fontId="9" fillId="12" borderId="15" xfId="0" applyNumberFormat="1" applyFont="1" applyFill="1" applyBorder="1"/>
    <x:xf numFmtId="0" fontId="9" fillId="12" borderId="13" xfId="0" applyNumberFormat="1" applyFont="1" applyFill="1" applyBorder="1" applyAlignment="1">
      <x:alignment horizontal="center"/>
    </x:xf>
    <x:xf numFmtId="0" fontId="9" fillId="12" borderId="14" xfId="0" applyNumberFormat="1" applyFont="1" applyFill="1" applyBorder="1" applyAlignment="1">
      <x:alignment horizontal="center"/>
    </x:xf>
    <x:xf numFmtId="0" fontId="9" fillId="12" borderId="15" xfId="0" applyNumberFormat="1" applyFont="1" applyFill="1" applyBorder="1" applyAlignment="1">
      <x:alignment horizontal="center"/>
    </x:xf>
    <x:xf numFmtId="0" fontId="9" fillId="12" borderId="13" xfId="0" applyNumberFormat="1" applyFont="1" applyFill="1" applyBorder="1" applyAlignment="1">
      <x:alignment horizontal="center" vertical="center"/>
    </x:xf>
    <x:xf numFmtId="0" fontId="9" fillId="12" borderId="14" xfId="0" applyNumberFormat="1" applyFont="1" applyFill="1" applyBorder="1" applyAlignment="1">
      <x:alignment horizontal="center" vertical="center"/>
    </x:xf>
    <x:xf numFmtId="0" fontId="9" fillId="12" borderId="15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10" xfId="0" applyNumberFormat="1" applyFont="1" applyFill="1" applyBorder="1"/>
    <x:xf numFmtId="0" fontId="9" fillId="13" borderId="11" xfId="0" applyNumberFormat="1" applyFont="1" applyFill="1" applyBorder="1"/>
    <x:xf numFmtId="0" fontId="9" fillId="13" borderId="12" xfId="0" applyNumberFormat="1" applyFont="1" applyFill="1" applyBorder="1"/>
    <x:xf numFmtId="0" fontId="9" fillId="13" borderId="10" xfId="0" applyNumberFormat="1" applyFont="1" applyFill="1" applyBorder="1" applyAlignment="1">
      <x:alignment horizontal="center"/>
    </x:xf>
    <x:xf numFmtId="0" fontId="9" fillId="13" borderId="11" xfId="0" applyNumberFormat="1" applyFont="1" applyFill="1" applyBorder="1" applyAlignment="1">
      <x:alignment horizontal="center"/>
    </x:xf>
    <x:xf numFmtId="0" fontId="9" fillId="13" borderId="12" xfId="0" applyNumberFormat="1" applyFont="1" applyFill="1" applyBorder="1" applyAlignment="1">
      <x:alignment horizontal="center"/>
    </x:xf>
    <x:xf numFmtId="0" fontId="9" fillId="13" borderId="10" xfId="0" applyNumberFormat="1" applyFont="1" applyFill="1" applyBorder="1" applyAlignment="1">
      <x:alignment horizontal="center" vertical="center"/>
    </x:xf>
    <x:xf numFmtId="0" fontId="9" fillId="13" borderId="11" xfId="0" applyNumberFormat="1" applyFont="1" applyFill="1" applyBorder="1" applyAlignment="1">
      <x:alignment horizontal="center" vertical="center"/>
    </x:xf>
    <x:xf numFmtId="0" fontId="9" fillId="13" borderId="12" xfId="0" applyNumberFormat="1" applyFont="1" applyFill="1" applyBorder="1" applyAlignment="1">
      <x:alignment horizontal="center" vertical="center"/>
    </x:xf>
    <x:xf numFmtId="0" fontId="0" fillId="13" borderId="2" xfId="0" applyNumberFormat="1" applyFont="1" applyFill="1" applyBorder="1"/>
    <x:xf numFmtId="0" fontId="9" fillId="13" borderId="2" xfId="0" applyNumberFormat="1" applyFont="1" applyFill="1" applyBorder="1"/>
    <x:xf numFmtId="0" fontId="9" fillId="13" borderId="13" xfId="0" applyNumberFormat="1" applyFont="1" applyFill="1" applyBorder="1"/>
    <x:xf numFmtId="0" fontId="9" fillId="13" borderId="14" xfId="0" applyNumberFormat="1" applyFont="1" applyFill="1" applyBorder="1"/>
    <x:xf numFmtId="0" fontId="9" fillId="13" borderId="15" xfId="0" applyNumberFormat="1" applyFont="1" applyFill="1" applyBorder="1"/>
    <x:xf numFmtId="0" fontId="9" fillId="13" borderId="13" xfId="0" applyNumberFormat="1" applyFont="1" applyFill="1" applyBorder="1" applyAlignment="1">
      <x:alignment horizontal="center"/>
    </x:xf>
    <x:xf numFmtId="0" fontId="9" fillId="13" borderId="14" xfId="0" applyNumberFormat="1" applyFont="1" applyFill="1" applyBorder="1" applyAlignment="1">
      <x:alignment horizontal="center"/>
    </x:xf>
    <x:xf numFmtId="0" fontId="9" fillId="13" borderId="15" xfId="0" applyNumberFormat="1" applyFont="1" applyFill="1" applyBorder="1" applyAlignment="1">
      <x:alignment horizontal="center"/>
    </x:xf>
    <x:xf numFmtId="0" fontId="9" fillId="13" borderId="13" xfId="0" applyNumberFormat="1" applyFont="1" applyFill="1" applyBorder="1" applyAlignment="1">
      <x:alignment horizontal="center" vertical="center"/>
    </x:xf>
    <x:xf numFmtId="0" fontId="9" fillId="13" borderId="14" xfId="0" applyNumberFormat="1" applyFont="1" applyFill="1" applyBorder="1" applyAlignment="1">
      <x:alignment horizontal="center" vertical="center"/>
    </x:xf>
    <x:xf numFmtId="0" fontId="9" fillId="13" borderId="15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0" xfId="0" applyNumberFormat="1" applyFont="1" applyFill="1" applyBorder="1" applyAlignment="1">
      <x:alignment wrapText="1"/>
    </x:xf>
    <x:xf numFmtId="0" fontId="10" fillId="5" borderId="11" xfId="0" applyNumberFormat="1" applyFont="1" applyFill="1" applyBorder="1" applyAlignment="1">
      <x:alignment wrapText="1"/>
    </x:xf>
    <x:xf numFmtId="0" fontId="10" fillId="5" borderId="12" xfId="0" applyNumberFormat="1" applyFont="1" applyFill="1" applyBorder="1" applyAlignment="1">
      <x:alignment wrapText="1"/>
    </x:xf>
    <x:xf numFmtId="0" fontId="10" fillId="5" borderId="10" xfId="0" applyNumberFormat="1" applyFont="1" applyFill="1" applyBorder="1" applyAlignment="1">
      <x:alignment horizontal="center" wrapText="1"/>
    </x:xf>
    <x:xf numFmtId="0" fontId="10" fillId="5" borderId="11" xfId="0" applyNumberFormat="1" applyFont="1" applyFill="1" applyBorder="1" applyAlignment="1">
      <x:alignment horizontal="center" wrapText="1"/>
    </x:xf>
    <x:xf numFmtId="0" fontId="10" fillId="5" borderId="12" xfId="0" applyNumberFormat="1" applyFont="1" applyFill="1" applyBorder="1" applyAlignment="1">
      <x:alignment horizontal="center" wrapText="1"/>
    </x:xf>
    <x:xf numFmtId="0" fontId="10" fillId="5" borderId="10" xfId="0" applyNumberFormat="1" applyFont="1" applyFill="1" applyBorder="1" applyAlignment="1">
      <x:alignment horizontal="center" vertical="center" wrapText="1"/>
    </x:xf>
    <x:xf numFmtId="0" fontId="10" fillId="5" borderId="11" xfId="0" applyNumberFormat="1" applyFont="1" applyFill="1" applyBorder="1" applyAlignment="1">
      <x:alignment horizontal="center" vertical="center" wrapText="1"/>
    </x:xf>
    <x:xf numFmtId="0" fontId="10" fillId="5" borderId="12" xfId="0" applyNumberFormat="1" applyFont="1" applyFill="1" applyBorder="1" applyAlignment="1">
      <x:alignment horizontal="center" vertical="center" wrapText="1"/>
    </x:xf>
    <x:xf numFmtId="0" fontId="10" fillId="5" borderId="2" xfId="0" applyNumberFormat="1" applyFont="1" applyFill="1" applyBorder="1"/>
    <x:xf numFmtId="0" fontId="10" fillId="5" borderId="13" xfId="0" applyNumberFormat="1" applyFont="1" applyFill="1" applyBorder="1"/>
    <x:xf numFmtId="0" fontId="10" fillId="5" borderId="14" xfId="0" applyNumberFormat="1" applyFont="1" applyFill="1" applyBorder="1"/>
    <x:xf numFmtId="0" fontId="10" fillId="5" borderId="15" xfId="0" applyNumberFormat="1" applyFont="1" applyFill="1" applyBorder="1"/>
    <x:xf numFmtId="0" fontId="10" fillId="5" borderId="13" xfId="0" applyNumberFormat="1" applyFont="1" applyFill="1" applyBorder="1" applyAlignment="1">
      <x:alignment wrapText="1"/>
    </x:xf>
    <x:xf numFmtId="0" fontId="10" fillId="5" borderId="14" xfId="0" applyNumberFormat="1" applyFont="1" applyFill="1" applyBorder="1" applyAlignment="1">
      <x:alignment wrapText="1"/>
    </x:xf>
    <x:xf numFmtId="0" fontId="10" fillId="5" borderId="15" xfId="0" applyNumberFormat="1" applyFont="1" applyFill="1" applyBorder="1" applyAlignment="1">
      <x:alignment wrapText="1"/>
    </x:xf>
    <x:xf numFmtId="0" fontId="10" fillId="5" borderId="13" xfId="0" applyNumberFormat="1" applyFont="1" applyFill="1" applyBorder="1" applyAlignment="1">
      <x:alignment horizontal="center" wrapText="1"/>
    </x:xf>
    <x:xf numFmtId="0" fontId="10" fillId="5" borderId="14" xfId="0" applyNumberFormat="1" applyFont="1" applyFill="1" applyBorder="1" applyAlignment="1">
      <x:alignment horizontal="center" wrapText="1"/>
    </x:xf>
    <x:xf numFmtId="0" fontId="10" fillId="5" borderId="15" xfId="0" applyNumberFormat="1" applyFont="1" applyFill="1" applyBorder="1" applyAlignment="1">
      <x:alignment horizontal="center" wrapText="1"/>
    </x:xf>
    <x:xf numFmtId="0" fontId="10" fillId="5" borderId="13" xfId="0" applyNumberFormat="1" applyFont="1" applyFill="1" applyBorder="1" applyAlignment="1">
      <x:alignment horizontal="center" vertical="center" wrapText="1"/>
    </x:xf>
    <x:xf numFmtId="0" fontId="10" fillId="5" borderId="14" xfId="0" applyNumberFormat="1" applyFont="1" applyFill="1" applyBorder="1" applyAlignment="1">
      <x:alignment horizontal="center" vertical="center" wrapText="1"/>
    </x:xf>
    <x:xf numFmtId="0" fontId="10" fillId="5" borderId="15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16" xfId="0" applyNumberFormat="1" applyFont="1" applyFill="1" applyBorder="1"/>
    <x:xf numFmtId="0" fontId="11" fillId="14" borderId="17" xfId="0" applyNumberFormat="1" applyFont="1" applyFill="1" applyBorder="1"/>
    <x:xf numFmtId="0" fontId="11" fillId="14" borderId="18" xfId="0" applyNumberFormat="1" applyFont="1" applyFill="1" applyBorder="1"/>
    <x:xf numFmtId="0" fontId="11" fillId="14" borderId="19" xfId="0" applyNumberFormat="1" applyFont="1" applyFill="1" applyBorder="1"/>
    <x:xf numFmtId="0" fontId="11" fillId="14" borderId="20" xfId="0" applyNumberFormat="1" applyFont="1" applyFill="1" applyBorder="1"/>
    <x:xf numFmtId="0" fontId="11" fillId="14" borderId="21" xfId="0" applyNumberFormat="1" applyFont="1" applyFill="1" applyBorder="1"/>
    <x:xf numFmtId="0" fontId="11" fillId="14" borderId="22" xfId="0" applyNumberFormat="1" applyFont="1" applyFill="1" applyBorder="1"/>
    <x:xf numFmtId="0" fontId="11" fillId="14" borderId="23" xfId="0" applyNumberFormat="1" applyFont="1" applyFill="1" applyBorder="1"/>
    <x:xf numFmtId="0" fontId="11" fillId="14" borderId="16" xfId="0" applyNumberFormat="1" applyFont="1" applyFill="1" applyBorder="1" applyAlignment="1">
      <x:alignment wrapText="1"/>
    </x:xf>
    <x:xf numFmtId="0" fontId="11" fillId="14" borderId="17" xfId="0" applyNumberFormat="1" applyFont="1" applyFill="1" applyBorder="1" applyAlignment="1">
      <x:alignment wrapText="1"/>
    </x:xf>
    <x:xf numFmtId="0" fontId="11" fillId="14" borderId="18" xfId="0" applyNumberFormat="1" applyFont="1" applyFill="1" applyBorder="1" applyAlignment="1">
      <x:alignment wrapText="1"/>
    </x:xf>
    <x:xf numFmtId="0" fontId="11" fillId="14" borderId="19" xfId="0" applyNumberFormat="1" applyFont="1" applyFill="1" applyBorder="1" applyAlignment="1">
      <x:alignment wrapText="1"/>
    </x:xf>
    <x:xf numFmtId="0" fontId="11" fillId="14" borderId="0" xfId="0" applyNumberFormat="1" applyFont="1" applyFill="1" applyBorder="1" applyAlignment="1">
      <x:alignment wrapText="1"/>
    </x:xf>
    <x:xf numFmtId="0" fontId="11" fillId="14" borderId="20" xfId="0" applyNumberFormat="1" applyFont="1" applyFill="1" applyBorder="1" applyAlignment="1">
      <x:alignment wrapText="1"/>
    </x:xf>
    <x:xf numFmtId="0" fontId="11" fillId="14" borderId="21" xfId="0" applyNumberFormat="1" applyFont="1" applyFill="1" applyBorder="1" applyAlignment="1">
      <x:alignment wrapText="1"/>
    </x:xf>
    <x:xf numFmtId="0" fontId="11" fillId="14" borderId="22" xfId="0" applyNumberFormat="1" applyFont="1" applyFill="1" applyBorder="1" applyAlignment="1">
      <x:alignment wrapText="1"/>
    </x:xf>
    <x:xf numFmtId="0" fontId="11" fillId="14" borderId="23" xfId="0" applyNumberFormat="1" applyFont="1" applyFill="1" applyBorder="1" applyAlignment="1">
      <x:alignment wrapText="1"/>
    </x:xf>
    <x:xf numFmtId="0" fontId="11" fillId="14" borderId="16" xfId="0" applyNumberFormat="1" applyFont="1" applyFill="1" applyBorder="1" applyAlignment="1">
      <x:alignment vertical="center" wrapText="1"/>
    </x:xf>
    <x:xf numFmtId="0" fontId="11" fillId="14" borderId="17" xfId="0" applyNumberFormat="1" applyFont="1" applyFill="1" applyBorder="1" applyAlignment="1">
      <x:alignment vertical="center" wrapText="1"/>
    </x:xf>
    <x:xf numFmtId="0" fontId="11" fillId="14" borderId="18" xfId="0" applyNumberFormat="1" applyFont="1" applyFill="1" applyBorder="1" applyAlignment="1">
      <x:alignment vertical="center" wrapText="1"/>
    </x:xf>
    <x:xf numFmtId="0" fontId="11" fillId="14" borderId="19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11" fillId="14" borderId="20" xfId="0" applyNumberFormat="1" applyFont="1" applyFill="1" applyBorder="1" applyAlignment="1">
      <x:alignment vertical="center" wrapText="1"/>
    </x:xf>
    <x:xf numFmtId="0" fontId="11" fillId="14" borderId="21" xfId="0" applyNumberFormat="1" applyFont="1" applyFill="1" applyBorder="1" applyAlignment="1">
      <x:alignment vertical="center" wrapText="1"/>
    </x:xf>
    <x:xf numFmtId="0" fontId="11" fillId="14" borderId="22" xfId="0" applyNumberFormat="1" applyFont="1" applyFill="1" applyBorder="1" applyAlignment="1">
      <x:alignment vertical="center" wrapText="1"/>
    </x:xf>
    <x:xf numFmtId="0" fontId="11" fillId="14" borderId="23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/>
    <x:xf numFmtId="0" fontId="11" fillId="14" borderId="2" xfId="0" applyNumberFormat="1" applyFont="1" applyFill="1" applyBorder="1"/>
    <x:xf numFmtId="0" fontId="11" fillId="14" borderId="24" xfId="0" applyNumberFormat="1" applyFont="1" applyFill="1" applyBorder="1"/>
    <x:xf numFmtId="0" fontId="11" fillId="14" borderId="25" xfId="0" applyNumberFormat="1" applyFont="1" applyFill="1" applyBorder="1"/>
    <x:xf numFmtId="0" fontId="11" fillId="14" borderId="26" xfId="0" applyNumberFormat="1" applyFont="1" applyFill="1" applyBorder="1"/>
    <x:xf numFmtId="0" fontId="11" fillId="14" borderId="27" xfId="0" applyNumberFormat="1" applyFont="1" applyFill="1" applyBorder="1"/>
    <x:xf numFmtId="0" fontId="11" fillId="14" borderId="28" xfId="0" applyNumberFormat="1" applyFont="1" applyFill="1" applyBorder="1"/>
    <x:xf numFmtId="0" fontId="11" fillId="14" borderId="29" xfId="0" applyNumberFormat="1" applyFont="1" applyFill="1" applyBorder="1"/>
    <x:xf numFmtId="0" fontId="11" fillId="14" borderId="30" xfId="0" applyNumberFormat="1" applyFont="1" applyFill="1" applyBorder="1"/>
    <x:xf numFmtId="0" fontId="11" fillId="14" borderId="31" xfId="0" applyNumberFormat="1" applyFont="1" applyFill="1" applyBorder="1"/>
    <x:xf numFmtId="0" fontId="11" fillId="14" borderId="24" xfId="0" applyNumberFormat="1" applyFont="1" applyFill="1" applyBorder="1" applyAlignment="1">
      <x:alignment wrapText="1"/>
    </x:xf>
    <x:xf numFmtId="0" fontId="11" fillId="14" borderId="25" xfId="0" applyNumberFormat="1" applyFont="1" applyFill="1" applyBorder="1" applyAlignment="1">
      <x:alignment wrapText="1"/>
    </x:xf>
    <x:xf numFmtId="0" fontId="11" fillId="14" borderId="26" xfId="0" applyNumberFormat="1" applyFont="1" applyFill="1" applyBorder="1" applyAlignment="1">
      <x:alignment wrapText="1"/>
    </x:xf>
    <x:xf numFmtId="0" fontId="11" fillId="14" borderId="27" xfId="0" applyNumberFormat="1" applyFont="1" applyFill="1" applyBorder="1" applyAlignment="1">
      <x:alignment wrapText="1"/>
    </x:xf>
    <x:xf numFmtId="0" fontId="11" fillId="14" borderId="2" xfId="0" applyNumberFormat="1" applyFont="1" applyFill="1" applyBorder="1" applyAlignment="1">
      <x:alignment wrapText="1"/>
    </x:xf>
    <x:xf numFmtId="0" fontId="11" fillId="14" borderId="28" xfId="0" applyNumberFormat="1" applyFont="1" applyFill="1" applyBorder="1" applyAlignment="1">
      <x:alignment wrapText="1"/>
    </x:xf>
    <x:xf numFmtId="0" fontId="11" fillId="14" borderId="29" xfId="0" applyNumberFormat="1" applyFont="1" applyFill="1" applyBorder="1" applyAlignment="1">
      <x:alignment wrapText="1"/>
    </x:xf>
    <x:xf numFmtId="0" fontId="11" fillId="14" borderId="30" xfId="0" applyNumberFormat="1" applyFont="1" applyFill="1" applyBorder="1" applyAlignment="1">
      <x:alignment wrapText="1"/>
    </x:xf>
    <x:xf numFmtId="0" fontId="11" fillId="14" borderId="31" xfId="0" applyNumberFormat="1" applyFont="1" applyFill="1" applyBorder="1" applyAlignment="1">
      <x:alignment wrapText="1"/>
    </x:xf>
    <x:xf numFmtId="0" fontId="11" fillId="14" borderId="24" xfId="0" applyNumberFormat="1" applyFont="1" applyFill="1" applyBorder="1" applyAlignment="1">
      <x:alignment vertical="center" wrapText="1"/>
    </x:xf>
    <x:xf numFmtId="0" fontId="11" fillId="14" borderId="25" xfId="0" applyNumberFormat="1" applyFont="1" applyFill="1" applyBorder="1" applyAlignment="1">
      <x:alignment vertical="center" wrapText="1"/>
    </x:xf>
    <x:xf numFmtId="0" fontId="11" fillId="14" borderId="26" xfId="0" applyNumberFormat="1" applyFont="1" applyFill="1" applyBorder="1" applyAlignment="1">
      <x:alignment vertical="center" wrapText="1"/>
    </x:xf>
    <x:xf numFmtId="0" fontId="11" fillId="14" borderId="27" xfId="0" applyNumberFormat="1" applyFont="1" applyFill="1" applyBorder="1" applyAlignment="1">
      <x:alignment vertical="center" wrapText="1"/>
    </x:xf>
    <x:xf numFmtId="0" fontId="11" fillId="14" borderId="2" xfId="0" applyNumberFormat="1" applyFont="1" applyFill="1" applyBorder="1" applyAlignment="1">
      <x:alignment vertical="center" wrapText="1"/>
    </x:xf>
    <x:xf numFmtId="0" fontId="11" fillId="14" borderId="28" xfId="0" applyNumberFormat="1" applyFont="1" applyFill="1" applyBorder="1" applyAlignment="1">
      <x:alignment vertical="center" wrapText="1"/>
    </x:xf>
    <x:xf numFmtId="0" fontId="11" fillId="14" borderId="29" xfId="0" applyNumberFormat="1" applyFont="1" applyFill="1" applyBorder="1" applyAlignment="1">
      <x:alignment vertical="center" wrapText="1"/>
    </x:xf>
    <x:xf numFmtId="0" fontId="11" fillId="14" borderId="30" xfId="0" applyNumberFormat="1" applyFont="1" applyFill="1" applyBorder="1" applyAlignment="1">
      <x:alignment vertical="center" wrapText="1"/>
    </x:xf>
    <x:xf numFmtId="0" fontId="11" fillId="14" borderId="31" xfId="0" applyNumberFormat="1" applyFont="1" applyFill="1" applyBorder="1" applyAlignment="1">
      <x:alignment vertical="center" wrapText="1"/>
    </x:xf>
    <x:xf numFmtId="0" fontId="11" fillId="15" borderId="17" xfId="0" applyNumberFormat="1" applyFont="1" applyFill="1" applyBorder="1" applyAlignment="1">
      <x:alignment vertical="center" wrapText="1"/>
    </x:xf>
    <x:xf numFmtId="0" fontId="11" fillId="15" borderId="25" xfId="0" applyNumberFormat="1" applyFont="1" applyFill="1" applyBorder="1" applyAlignment="1">
      <x:alignment vertical="center" wrapText="1"/>
    </x:xf>
    <x:xf numFmtId="0" fontId="12" fillId="15" borderId="17" xfId="0" applyNumberFormat="1" applyFont="1" applyFill="1" applyBorder="1" applyAlignment="1">
      <x:alignment vertical="center" wrapText="1"/>
    </x:xf>
    <x:xf numFmtId="0" fontId="12" fillId="15" borderId="25" xfId="0" applyNumberFormat="1" applyFont="1" applyFill="1" applyBorder="1" applyAlignment="1">
      <x:alignment vertical="center" wrapText="1"/>
    </x:xf>
    <x:xf numFmtId="0" fontId="11" fillId="16" borderId="17" xfId="0" applyNumberFormat="1" applyFont="1" applyFill="1" applyBorder="1" applyAlignment="1">
      <x:alignment vertical="center" wrapText="1"/>
    </x:xf>
    <x:xf numFmtId="0" fontId="13" fillId="16" borderId="17" xfId="0" applyNumberFormat="1" applyFont="1" applyFill="1" applyBorder="1" applyAlignment="1">
      <x:alignment vertical="center" wrapText="1"/>
    </x:xf>
    <x:xf numFmtId="0" fontId="13" fillId="16" borderId="32" xfId="0" applyNumberFormat="1" applyFont="1" applyFill="1" applyBorder="1" applyAlignment="1">
      <x:alignment vertical="center" wrapText="1"/>
    </x:xf>
    <x:xf numFmtId="0" fontId="13" fillId="16" borderId="32" xfId="0" applyNumberFormat="1" applyFont="1" applyFill="1" applyBorder="1" applyAlignment="1">
      <x:alignment horizontal="center" vertical="center" wrapText="1"/>
    </x:xf>
    <x:xf numFmtId="0" fontId="11" fillId="16" borderId="25" xfId="0" applyNumberFormat="1" applyFont="1" applyFill="1" applyBorder="1" applyAlignment="1">
      <x:alignment vertical="center" wrapText="1"/>
    </x:xf>
    <x:xf numFmtId="0" fontId="13" fillId="16" borderId="25" xfId="0" applyNumberFormat="1" applyFont="1" applyFill="1" applyBorder="1" applyAlignment="1">
      <x:alignment vertical="center" wrapText="1"/>
    </x:xf>
    <x:xf numFmtId="0" fontId="13" fillId="16" borderId="33" xfId="0" applyNumberFormat="1" applyFont="1" applyFill="1" applyBorder="1" applyAlignment="1">
      <x:alignment vertical="center" wrapText="1"/>
    </x:xf>
    <x:xf numFmtId="0" fontId="13" fillId="16" borderId="33" xfId="0" applyNumberFormat="1" applyFont="1" applyFill="1" applyBorder="1" applyAlignment="1">
      <x:alignment horizontal="center" vertical="center" wrapText="1"/>
    </x:xf>
    <x:xf numFmtId="0" fontId="11" fillId="15" borderId="0" xfId="0" applyNumberFormat="1" applyFont="1" applyFill="1" applyBorder="1" applyAlignment="1">
      <x:alignment vertical="center" wrapText="1"/>
    </x:xf>
    <x:xf numFmtId="0" fontId="11" fillId="15" borderId="2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12" fillId="15" borderId="2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13" fillId="16" borderId="0" xfId="0" applyNumberFormat="1" applyFont="1" applyFill="1" applyBorder="1" applyAlignment="1">
      <x:alignment vertical="center" wrapText="1"/>
    </x:xf>
    <x:xf numFmtId="0" fontId="11" fillId="16" borderId="2" xfId="0" applyNumberFormat="1" applyFont="1" applyFill="1" applyBorder="1" applyAlignment="1">
      <x:alignment vertical="center" wrapText="1"/>
    </x:xf>
    <x:xf numFmtId="0" fontId="13" fillId="16" borderId="2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2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2" xfId="0" applyNumberFormat="1" applyFont="1" applyFill="1" applyBorder="1" applyAlignment="1">
      <x:alignment vertical="center" wrapText="1"/>
    </x:xf>
    <x:xf numFmtId="0" fontId="11" fillId="17" borderId="0" xfId="0" applyNumberFormat="1" applyFont="1" applyFill="1" applyBorder="1" applyAlignment="1">
      <x:alignment vertical="center" wrapText="1"/>
    </x:xf>
    <x:xf numFmtId="0" fontId="13" fillId="17" borderId="0" xfId="0" applyNumberFormat="1" applyFont="1" applyFill="1" applyBorder="1" applyAlignment="1">
      <x:alignment vertical="center" wrapText="1"/>
    </x:xf>
    <x:xf numFmtId="0" fontId="13" fillId="17" borderId="32" xfId="0" applyNumberFormat="1" applyFont="1" applyFill="1" applyBorder="1" applyAlignment="1">
      <x:alignment vertical="center" wrapText="1"/>
    </x:xf>
    <x:xf numFmtId="0" fontId="13" fillId="17" borderId="32" xfId="0" applyNumberFormat="1" applyFont="1" applyFill="1" applyBorder="1" applyAlignment="1">
      <x:alignment horizontal="center" vertical="center" wrapText="1"/>
    </x:xf>
    <x:xf numFmtId="0" fontId="11" fillId="17" borderId="2" xfId="0" applyNumberFormat="1" applyFont="1" applyFill="1" applyBorder="1" applyAlignment="1">
      <x:alignment vertical="center" wrapText="1"/>
    </x:xf>
    <x:xf numFmtId="0" fontId="13" fillId="17" borderId="2" xfId="0" applyNumberFormat="1" applyFont="1" applyFill="1" applyBorder="1" applyAlignment="1">
      <x:alignment vertical="center" wrapText="1"/>
    </x:xf>
    <x:xf numFmtId="0" fontId="13" fillId="17" borderId="33" xfId="0" applyNumberFormat="1" applyFont="1" applyFill="1" applyBorder="1" applyAlignment="1">
      <x:alignment vertical="center" wrapText="1"/>
    </x:xf>
    <x:xf numFmtId="0" fontId="13" fillId="17" borderId="33" xfId="0" applyNumberFormat="1" applyFont="1" applyFill="1" applyBorder="1" applyAlignment="1">
      <x:alignment horizontal="center"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2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12" fillId="9" borderId="2" xfId="0" applyNumberFormat="1" applyFont="1" applyFill="1" applyBorder="1" applyAlignment="1">
      <x:alignment vertical="center" wrapText="1"/>
    </x:xf>
    <x:xf numFmtId="0" fontId="11" fillId="18" borderId="0" xfId="0" applyNumberFormat="1" applyFont="1" applyFill="1" applyBorder="1" applyAlignment="1">
      <x:alignment vertical="center" wrapText="1"/>
    </x:xf>
    <x:xf numFmtId="0" fontId="13" fillId="18" borderId="0" xfId="0" applyNumberFormat="1" applyFont="1" applyFill="1" applyBorder="1" applyAlignment="1">
      <x:alignment vertical="center" wrapText="1"/>
    </x:xf>
    <x:xf numFmtId="0" fontId="13" fillId="18" borderId="32" xfId="0" applyNumberFormat="1" applyFont="1" applyFill="1" applyBorder="1" applyAlignment="1">
      <x:alignment vertical="center" wrapText="1"/>
    </x:xf>
    <x:xf numFmtId="0" fontId="13" fillId="18" borderId="32" xfId="0" applyNumberFormat="1" applyFont="1" applyFill="1" applyBorder="1" applyAlignment="1">
      <x:alignment horizontal="center" vertical="center" wrapText="1"/>
    </x:xf>
    <x:xf numFmtId="0" fontId="11" fillId="18" borderId="2" xfId="0" applyNumberFormat="1" applyFont="1" applyFill="1" applyBorder="1" applyAlignment="1">
      <x:alignment vertical="center" wrapText="1"/>
    </x:xf>
    <x:xf numFmtId="0" fontId="13" fillId="18" borderId="2" xfId="0" applyNumberFormat="1" applyFont="1" applyFill="1" applyBorder="1" applyAlignment="1">
      <x:alignment vertical="center" wrapText="1"/>
    </x:xf>
    <x:xf numFmtId="0" fontId="13" fillId="18" borderId="33" xfId="0" applyNumberFormat="1" applyFont="1" applyFill="1" applyBorder="1" applyAlignment="1">
      <x:alignment vertical="center" wrapText="1"/>
    </x:xf>
    <x:xf numFmtId="0" fontId="13" fillId="18" borderId="33" xfId="0" applyNumberFormat="1" applyFont="1" applyFill="1" applyBorder="1" applyAlignment="1">
      <x:alignment horizontal="center" vertical="center" wrapText="1"/>
    </x:xf>
    <x:xf numFmtId="0" fontId="11" fillId="18" borderId="20" xfId="0" applyNumberFormat="1" applyFont="1" applyFill="1" applyBorder="1" applyAlignment="1">
      <x:alignment vertical="center" wrapText="1"/>
    </x:xf>
    <x:xf numFmtId="0" fontId="13" fillId="18" borderId="20" xfId="0" applyNumberFormat="1" applyFont="1" applyFill="1" applyBorder="1" applyAlignment="1">
      <x:alignment vertical="center" wrapText="1"/>
    </x:xf>
    <x:xf numFmtId="0" fontId="11" fillId="18" borderId="28" xfId="0" applyNumberFormat="1" applyFont="1" applyFill="1" applyBorder="1" applyAlignment="1">
      <x:alignment vertical="center" wrapText="1"/>
    </x:xf>
    <x:xf numFmtId="0" fontId="13" fillId="18" borderId="28" xfId="0" applyNumberFormat="1" applyFont="1" applyFill="1" applyBorder="1" applyAlignment="1">
      <x:alignment vertical="center" wrapText="1"/>
    </x:xf>
    <x:xf numFmtId="0" fontId="11" fillId="9" borderId="22" xfId="0" applyNumberFormat="1" applyFont="1" applyFill="1" applyBorder="1" applyAlignment="1">
      <x:alignment vertical="center" wrapText="1"/>
    </x:xf>
    <x:xf numFmtId="0" fontId="11" fillId="9" borderId="30" xfId="0" applyNumberFormat="1" applyFont="1" applyFill="1" applyBorder="1" applyAlignment="1">
      <x:alignment vertical="center" wrapText="1"/>
    </x:xf>
    <x:xf numFmtId="0" fontId="12" fillId="9" borderId="22" xfId="0" applyNumberFormat="1" applyFont="1" applyFill="1" applyBorder="1" applyAlignment="1">
      <x:alignment vertical="center" wrapText="1"/>
    </x:xf>
    <x:xf numFmtId="0" fontId="12" fillId="9" borderId="30" xfId="0" applyNumberFormat="1" applyFont="1" applyFill="1" applyBorder="1" applyAlignment="1">
      <x:alignment vertical="center" wrapText="1"/>
    </x:xf>
    <x:xf numFmtId="0" fontId="11" fillId="18" borderId="23" xfId="0" applyNumberFormat="1" applyFont="1" applyFill="1" applyBorder="1" applyAlignment="1">
      <x:alignment vertical="center" wrapText="1"/>
    </x:xf>
    <x:xf numFmtId="0" fontId="13" fillId="18" borderId="23" xfId="0" applyNumberFormat="1" applyFont="1" applyFill="1" applyBorder="1" applyAlignment="1">
      <x:alignment vertical="center" wrapText="1"/>
    </x:xf>
    <x:xf numFmtId="0" fontId="11" fillId="18" borderId="31" xfId="0" applyNumberFormat="1" applyFont="1" applyFill="1" applyBorder="1" applyAlignment="1">
      <x:alignment vertical="center" wrapText="1"/>
    </x:xf>
    <x:xf numFmtId="0" fontId="13" fillId="18" borderId="31" xfId="0" applyNumberFormat="1" applyFont="1" applyFill="1" applyBorder="1" applyAlignment="1">
      <x:alignment vertical="center" wrapText="1"/>
    </x:xf>
    <x:xf numFmtId="0" fontId="11" fillId="14" borderId="16" xfId="0" applyNumberFormat="1" applyFont="1" applyFill="1" applyBorder="1" applyAlignment="1">
      <x:alignment horizontal="center" vertical="center" wrapText="1"/>
    </x:xf>
    <x:xf numFmtId="0" fontId="12" fillId="15" borderId="17" xfId="0" applyNumberFormat="1" applyFont="1" applyFill="1" applyBorder="1" applyAlignment="1">
      <x:alignment horizontal="center" vertical="center" wrapText="1"/>
    </x:xf>
    <x:xf numFmtId="0" fontId="11" fillId="14" borderId="19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11" fillId="14" borderId="21" xfId="0" applyNumberFormat="1" applyFont="1" applyFill="1" applyBorder="1" applyAlignment="1">
      <x:alignment horizontal="center" vertical="center" wrapText="1"/>
    </x:xf>
    <x:xf numFmtId="0" fontId="12" fillId="9" borderId="22" xfId="0" applyNumberFormat="1" applyFont="1" applyFill="1" applyBorder="1" applyAlignment="1">
      <x:alignment horizontal="center" vertical="center" wrapText="1"/>
    </x:xf>
    <x:xf numFmtId="0" fontId="11" fillId="14" borderId="24" xfId="0" applyNumberFormat="1" applyFont="1" applyFill="1" applyBorder="1" applyAlignment="1">
      <x:alignment horizontal="center" vertical="center" wrapText="1"/>
    </x:xf>
    <x:xf numFmtId="0" fontId="12" fillId="15" borderId="25" xfId="0" applyNumberFormat="1" applyFont="1" applyFill="1" applyBorder="1" applyAlignment="1">
      <x:alignment horizontal="center" vertical="center" wrapText="1"/>
    </x:xf>
    <x:xf numFmtId="0" fontId="11" fillId="14" borderId="27" xfId="0" applyNumberFormat="1" applyFont="1" applyFill="1" applyBorder="1" applyAlignment="1">
      <x:alignment horizontal="center" vertical="center" wrapText="1"/>
    </x:xf>
    <x:xf numFmtId="0" fontId="12" fillId="15" borderId="2" xfId="0" applyNumberFormat="1" applyFont="1" applyFill="1" applyBorder="1" applyAlignment="1">
      <x:alignment horizontal="center" vertical="center" wrapText="1"/>
    </x:xf>
    <x:xf numFmtId="0" fontId="12" fillId="7" borderId="2" xfId="0" applyNumberFormat="1" applyFont="1" applyFill="1" applyBorder="1" applyAlignment="1">
      <x:alignment horizontal="center" vertical="center" wrapText="1"/>
    </x:xf>
    <x:xf numFmtId="0" fontId="12" fillId="9" borderId="2" xfId="0" applyNumberFormat="1" applyFont="1" applyFill="1" applyBorder="1" applyAlignment="1">
      <x:alignment horizontal="center" vertical="center" wrapText="1"/>
    </x:xf>
    <x:xf numFmtId="0" fontId="11" fillId="14" borderId="29" xfId="0" applyNumberFormat="1" applyFont="1" applyFill="1" applyBorder="1" applyAlignment="1">
      <x:alignment horizontal="center" vertical="center" wrapText="1"/>
    </x:xf>
    <x:xf numFmtId="0" fontId="12" fillId="9" borderId="30" xfId="0" applyNumberFormat="1" applyFont="1" applyFill="1" applyBorder="1" applyAlignment="1">
      <x:alignment horizontal="center" vertical="center" wrapText="1"/>
    </x:xf>
    <x:xf numFmtId="0" fontId="11" fillId="14" borderId="17" xfId="0" applyNumberFormat="1" applyFont="1" applyFill="1" applyBorder="1" applyAlignment="1">
      <x:alignment horizontal="center" vertical="center" wrapText="1"/>
    </x:xf>
    <x:xf numFmtId="0" fontId="11" fillId="14" borderId="18" xfId="0" applyNumberFormat="1" applyFont="1" applyFill="1" applyBorder="1" applyAlignment="1">
      <x:alignment horizontal="center" vertical="center" wrapText="1"/>
    </x:xf>
    <x:xf numFmtId="0" fontId="11" fillId="14" borderId="0" xfId="0" applyNumberFormat="1" applyFont="1" applyFill="1" applyBorder="1" applyAlignment="1">
      <x:alignment horizontal="center" vertical="center" wrapText="1"/>
    </x:xf>
    <x:xf numFmtId="0" fontId="11" fillId="14" borderId="20" xfId="0" applyNumberFormat="1" applyFont="1" applyFill="1" applyBorder="1" applyAlignment="1">
      <x:alignment horizontal="center" vertical="center" wrapText="1"/>
    </x:xf>
    <x:xf numFmtId="0" fontId="11" fillId="14" borderId="22" xfId="0" applyNumberFormat="1" applyFont="1" applyFill="1" applyBorder="1" applyAlignment="1">
      <x:alignment horizontal="center" vertical="center" wrapText="1"/>
    </x:xf>
    <x:xf numFmtId="0" fontId="11" fillId="14" borderId="25" xfId="0" applyNumberFormat="1" applyFont="1" applyFill="1" applyBorder="1" applyAlignment="1">
      <x:alignment horizontal="center" vertical="center" wrapText="1"/>
    </x:xf>
    <x:xf numFmtId="0" fontId="11" fillId="14" borderId="26" xfId="0" applyNumberFormat="1" applyFont="1" applyFill="1" applyBorder="1" applyAlignment="1">
      <x:alignment horizontal="center" vertical="center" wrapText="1"/>
    </x:xf>
    <x:xf numFmtId="0" fontId="11" fillId="14" borderId="2" xfId="0" applyNumberFormat="1" applyFont="1" applyFill="1" applyBorder="1" applyAlignment="1">
      <x:alignment horizontal="center" vertical="center" wrapText="1"/>
    </x:xf>
    <x:xf numFmtId="0" fontId="11" fillId="14" borderId="28" xfId="0" applyNumberFormat="1" applyFont="1" applyFill="1" applyBorder="1" applyAlignment="1">
      <x:alignment horizontal="center" vertical="center" wrapText="1"/>
    </x:xf>
    <x:xf numFmtId="0" fontId="11" fillId="14" borderId="3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0" xfId="0" applyNumberFormat="1" applyFont="1" applyFill="1" applyBorder="1" applyAlignment="1">
      <x:alignment wrapText="1"/>
    </x:xf>
    <x:xf numFmtId="0" fontId="14" fillId="19" borderId="0" xfId="0" applyNumberFormat="1" applyFont="1" applyFill="1" applyBorder="1" applyAlignment="1">
      <x:alignment vertical="center" wrapText="1"/>
    </x:xf>
    <x:xf numFmtId="0" fontId="0" fillId="19" borderId="2" xfId="0" applyNumberFormat="1" applyFont="1" applyFill="1" applyBorder="1"/>
    <x:xf numFmtId="0" fontId="14" fillId="19" borderId="2" xfId="0" applyNumberFormat="1" applyFont="1" applyFill="1" applyBorder="1"/>
    <x:xf numFmtId="0" fontId="14" fillId="19" borderId="2" xfId="0" applyNumberFormat="1" applyFont="1" applyFill="1" applyBorder="1" applyAlignment="1">
      <x:alignment wrapText="1"/>
    </x:xf>
    <x:xf numFmtId="0" fontId="14" fillId="19" borderId="2" xfId="0" applyNumberFormat="1" applyFont="1" applyFill="1" applyBorder="1" applyAlignment="1">
      <x:alignment vertical="center" wrapText="1"/>
    </x:xf>
    <x:xf numFmtId="0" fontId="9" fillId="11" borderId="10" xfId="0" applyNumberFormat="1" applyFont="1" applyFill="1" applyBorder="1" applyAlignment="1">
      <x:alignment horizontal="center" vertical="center" wrapText="1"/>
    </x:xf>
    <x:xf numFmtId="0" fontId="9" fillId="11" borderId="11" xfId="0" applyNumberFormat="1" applyFont="1" applyFill="1" applyBorder="1" applyAlignment="1">
      <x:alignment horizontal="center" vertical="center" wrapText="1"/>
    </x:xf>
    <x:xf numFmtId="0" fontId="9" fillId="11" borderId="12" xfId="0" applyNumberFormat="1" applyFont="1" applyFill="1" applyBorder="1" applyAlignment="1">
      <x:alignment horizontal="center" vertical="center" wrapText="1"/>
    </x:xf>
    <x:xf numFmtId="0" fontId="9" fillId="11" borderId="13" xfId="0" applyNumberFormat="1" applyFont="1" applyFill="1" applyBorder="1" applyAlignment="1">
      <x:alignment horizontal="center" vertical="center" wrapText="1"/>
    </x:xf>
    <x:xf numFmtId="0" fontId="9" fillId="11" borderId="14" xfId="0" applyNumberFormat="1" applyFont="1" applyFill="1" applyBorder="1" applyAlignment="1">
      <x:alignment horizontal="center" vertical="center" wrapText="1"/>
    </x:xf>
    <x:xf numFmtId="0" fontId="9" fillId="11" borderId="15" xfId="0" applyNumberFormat="1" applyFont="1" applyFill="1" applyBorder="1" applyAlignment="1">
      <x:alignment horizontal="center" vertical="center" wrapText="1"/>
    </x:xf>
    <x:xf numFmtId="0" fontId="15" fillId="11" borderId="10" xfId="0" applyNumberFormat="1" applyFont="1" applyFill="1" applyBorder="1" applyAlignment="1">
      <x:alignment horizontal="center" vertical="center" wrapText="1"/>
    </x:xf>
    <x:xf numFmtId="0" fontId="15" fillId="11" borderId="11" xfId="0" applyNumberFormat="1" applyFont="1" applyFill="1" applyBorder="1" applyAlignment="1">
      <x:alignment horizontal="center" vertical="center" wrapText="1"/>
    </x:xf>
    <x:xf numFmtId="0" fontId="15" fillId="11" borderId="12" xfId="0" applyNumberFormat="1" applyFont="1" applyFill="1" applyBorder="1" applyAlignment="1">
      <x:alignment horizontal="center" vertical="center" wrapText="1"/>
    </x:xf>
    <x:xf numFmtId="0" fontId="15" fillId="11" borderId="13" xfId="0" applyNumberFormat="1" applyFont="1" applyFill="1" applyBorder="1" applyAlignment="1">
      <x:alignment horizontal="center" vertical="center" wrapText="1"/>
    </x:xf>
    <x:xf numFmtId="0" fontId="15" fillId="11" borderId="14" xfId="0" applyNumberFormat="1" applyFont="1" applyFill="1" applyBorder="1" applyAlignment="1">
      <x:alignment horizontal="center" vertical="center" wrapText="1"/>
    </x:xf>
    <x:xf numFmtId="0" fontId="15" fillId="11" borderId="15" xfId="0" applyNumberFormat="1" applyFont="1" applyFill="1" applyBorder="1" applyAlignment="1">
      <x:alignment horizontal="center" vertical="center" wrapText="1"/>
    </x:xf>
    <x:xf numFmtId="0" fontId="9" fillId="12" borderId="10" xfId="0" applyNumberFormat="1" applyFont="1" applyFill="1" applyBorder="1" applyAlignment="1">
      <x:alignment horizontal="center" vertical="center" wrapText="1"/>
    </x:xf>
    <x:xf numFmtId="0" fontId="9" fillId="12" borderId="11" xfId="0" applyNumberFormat="1" applyFont="1" applyFill="1" applyBorder="1" applyAlignment="1">
      <x:alignment horizontal="center" vertical="center" wrapText="1"/>
    </x:xf>
    <x:xf numFmtId="0" fontId="9" fillId="12" borderId="12" xfId="0" applyNumberFormat="1" applyFont="1" applyFill="1" applyBorder="1" applyAlignment="1">
      <x:alignment horizontal="center" vertical="center" wrapText="1"/>
    </x:xf>
    <x:xf numFmtId="0" fontId="9" fillId="12" borderId="13" xfId="0" applyNumberFormat="1" applyFont="1" applyFill="1" applyBorder="1" applyAlignment="1">
      <x:alignment horizontal="center" vertical="center" wrapText="1"/>
    </x:xf>
    <x:xf numFmtId="0" fontId="9" fillId="12" borderId="14" xfId="0" applyNumberFormat="1" applyFont="1" applyFill="1" applyBorder="1" applyAlignment="1">
      <x:alignment horizontal="center" vertical="center" wrapText="1"/>
    </x:xf>
    <x:xf numFmtId="0" fontId="9" fillId="12" borderId="15" xfId="0" applyNumberFormat="1" applyFont="1" applyFill="1" applyBorder="1" applyAlignment="1">
      <x:alignment horizontal="center" vertical="center" wrapText="1"/>
    </x:xf>
    <x:xf numFmtId="0" fontId="15" fillId="12" borderId="10" xfId="0" applyNumberFormat="1" applyFont="1" applyFill="1" applyBorder="1" applyAlignment="1">
      <x:alignment horizontal="center" vertical="center" wrapText="1"/>
    </x:xf>
    <x:xf numFmtId="0" fontId="15" fillId="12" borderId="11" xfId="0" applyNumberFormat="1" applyFont="1" applyFill="1" applyBorder="1" applyAlignment="1">
      <x:alignment horizontal="center" vertical="center" wrapText="1"/>
    </x:xf>
    <x:xf numFmtId="0" fontId="15" fillId="12" borderId="12" xfId="0" applyNumberFormat="1" applyFont="1" applyFill="1" applyBorder="1" applyAlignment="1">
      <x:alignment horizontal="center" vertical="center" wrapText="1"/>
    </x:xf>
    <x:xf numFmtId="0" fontId="15" fillId="12" borderId="13" xfId="0" applyNumberFormat="1" applyFont="1" applyFill="1" applyBorder="1" applyAlignment="1">
      <x:alignment horizontal="center" vertical="center" wrapText="1"/>
    </x:xf>
    <x:xf numFmtId="0" fontId="15" fillId="12" borderId="14" xfId="0" applyNumberFormat="1" applyFont="1" applyFill="1" applyBorder="1" applyAlignment="1">
      <x:alignment horizontal="center" vertical="center" wrapText="1"/>
    </x:xf>
    <x:xf numFmtId="0" fontId="15" fillId="12" borderId="15" xfId="0" applyNumberFormat="1" applyFont="1" applyFill="1" applyBorder="1" applyAlignment="1">
      <x:alignment horizontal="center" vertical="center" wrapText="1"/>
    </x:xf>
    <x:xf numFmtId="0" fontId="9" fillId="13" borderId="10" xfId="0" applyNumberFormat="1" applyFont="1" applyFill="1" applyBorder="1" applyAlignment="1">
      <x:alignment horizontal="center" vertical="center" wrapText="1"/>
    </x:xf>
    <x:xf numFmtId="0" fontId="9" fillId="13" borderId="11" xfId="0" applyNumberFormat="1" applyFont="1" applyFill="1" applyBorder="1" applyAlignment="1">
      <x:alignment horizontal="center" vertical="center" wrapText="1"/>
    </x:xf>
    <x:xf numFmtId="0" fontId="9" fillId="13" borderId="12" xfId="0" applyNumberFormat="1" applyFont="1" applyFill="1" applyBorder="1" applyAlignment="1">
      <x:alignment horizontal="center" vertical="center" wrapText="1"/>
    </x:xf>
    <x:xf numFmtId="0" fontId="9" fillId="13" borderId="13" xfId="0" applyNumberFormat="1" applyFont="1" applyFill="1" applyBorder="1" applyAlignment="1">
      <x:alignment horizontal="center" vertical="center" wrapText="1"/>
    </x:xf>
    <x:xf numFmtId="0" fontId="9" fillId="13" borderId="14" xfId="0" applyNumberFormat="1" applyFont="1" applyFill="1" applyBorder="1" applyAlignment="1">
      <x:alignment horizontal="center" vertical="center" wrapText="1"/>
    </x:xf>
    <x:xf numFmtId="0" fontId="9" fillId="13" borderId="15" xfId="0" applyNumberFormat="1" applyFont="1" applyFill="1" applyBorder="1" applyAlignment="1">
      <x:alignment horizontal="center" vertical="center" wrapText="1"/>
    </x:xf>
    <x:xf numFmtId="0" fontId="15" fillId="13" borderId="10" xfId="0" applyNumberFormat="1" applyFont="1" applyFill="1" applyBorder="1" applyAlignment="1">
      <x:alignment horizontal="center" vertical="center" wrapText="1"/>
    </x:xf>
    <x:xf numFmtId="0" fontId="15" fillId="13" borderId="11" xfId="0" applyNumberFormat="1" applyFont="1" applyFill="1" applyBorder="1" applyAlignment="1">
      <x:alignment horizontal="center" vertical="center" wrapText="1"/>
    </x:xf>
    <x:xf numFmtId="0" fontId="15" fillId="13" borderId="12" xfId="0" applyNumberFormat="1" applyFont="1" applyFill="1" applyBorder="1" applyAlignment="1">
      <x:alignment horizontal="center" vertical="center" wrapText="1"/>
    </x:xf>
    <x:xf numFmtId="0" fontId="15" fillId="13" borderId="13" xfId="0" applyNumberFormat="1" applyFont="1" applyFill="1" applyBorder="1" applyAlignment="1">
      <x:alignment horizontal="center" vertical="center" wrapText="1"/>
    </x:xf>
    <x:xf numFmtId="0" fontId="15" fillId="13" borderId="14" xfId="0" applyNumberFormat="1" applyFont="1" applyFill="1" applyBorder="1" applyAlignment="1">
      <x:alignment horizontal="center" vertical="center" wrapText="1"/>
    </x:xf>
    <x:xf numFmtId="0" fontId="15" fillId="13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6" fillId="20" borderId="0" xfId="0" applyNumberFormat="1" applyFont="1" applyFill="1" applyBorder="1" applyAlignment="1">
      <x:alignment horizontal="left" vertical="center"/>
    </x:xf>
    <x:xf numFmtId="0" fontId="16" fillId="20" borderId="0" xfId="0" applyNumberFormat="1" applyFont="1" applyFill="1" applyBorder="1" applyAlignment="1">
      <x:alignment horizontal="left" vertical="center"/>
    </x:xf>
    <x:xf numFmtId="0" fontId="17" fillId="0" borderId="0" xfId="0" applyNumberFormat="1" applyFont="1" applyFill="1" applyBorder="1" applyAlignment="1">
      <x:alignment vertical="center" wrapText="1"/>
    </x:xf>
    <x:xf numFmtId="0" fontId="8" fillId="21" borderId="4" xfId="0" applyNumberFormat="1" applyFont="1" applyFill="1" applyBorder="1" applyAlignment="1">
      <x:alignment horizontal="center" vertical="center" wrapText="1"/>
    </x:xf>
    <x:xf numFmtId="0" fontId="8" fillId="21" borderId="5" xfId="0" applyNumberFormat="1" applyFont="1" applyFill="1" applyBorder="1" applyAlignment="1">
      <x:alignment horizontal="center" vertical="center" wrapText="1"/>
    </x:xf>
    <x:xf numFmtId="0" fontId="8" fillId="21" borderId="6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2" fillId="21" borderId="4" xfId="0" applyNumberFormat="1" applyFont="1" applyFill="1" applyBorder="1" applyAlignment="1">
      <x:alignment horizontal="center" vertical="center" wrapText="1"/>
    </x:xf>
    <x:xf numFmtId="0" fontId="12" fillId="21" borderId="5" xfId="0" applyNumberFormat="1" applyFont="1" applyFill="1" applyBorder="1" applyAlignment="1">
      <x:alignment horizontal="center" vertical="center" wrapText="1"/>
    </x:xf>
    <x:xf numFmtId="0" fontId="12" fillId="21" borderId="6" xfId="0" applyNumberFormat="1" applyFont="1" applyFill="1" applyBorder="1" applyAlignment="1">
      <x:alignment horizontal="center" vertical="center" wrapText="1"/>
    </x:xf>
    <x:xf numFmtId="0" fontId="12" fillId="21" borderId="0" xfId="0" applyNumberFormat="1" applyFont="1" applyFill="1" applyBorder="1"/>
    <x:xf numFmtId="0" fontId="12" fillId="21" borderId="0" xfId="0" applyNumberFormat="1" applyFont="1" applyFill="1" applyBorder="1" applyAlignment="1">
      <x:alignment horizontal="center"/>
    </x:xf>
    <x:xf numFmtId="0" fontId="12" fillId="21" borderId="0" xfId="0" applyNumberFormat="1" applyFont="1" applyFill="1" applyBorder="1" applyAlignment="1">
      <x:alignment horizontal="center" vertical="center"/>
    </x:xf>
    <x:xf numFmtId="0" fontId="12" fillId="21" borderId="0" xfId="0" applyNumberFormat="1" applyFont="1" applyFill="1" applyBorder="1" applyAlignment="1">
      <x:alignment horizontal="center" vertical="center" wrapText="1"/>
    </x:xf>
    <x:xf numFmtId="0" fontId="8" fillId="22" borderId="4" xfId="0" applyNumberFormat="1" applyFont="1" applyFill="1" applyBorder="1" applyAlignment="1">
      <x:alignment horizontal="center" vertical="center" wrapText="1"/>
    </x:xf>
    <x:xf numFmtId="0" fontId="8" fillId="22" borderId="5" xfId="0" applyNumberFormat="1" applyFont="1" applyFill="1" applyBorder="1" applyAlignment="1">
      <x:alignment horizontal="center" vertical="center" wrapText="1"/>
    </x:xf>
    <x:xf numFmtId="0" fontId="8" fillId="22" borderId="6" xfId="0" applyNumberFormat="1" applyFont="1" applyFill="1" applyBorder="1" applyAlignment="1">
      <x:alignment horizontal="center" vertical="center" wrapText="1"/>
    </x:xf>
    <x:xf numFmtId="0" fontId="12" fillId="22" borderId="4" xfId="0" applyNumberFormat="1" applyFont="1" applyFill="1" applyBorder="1" applyAlignment="1">
      <x:alignment horizontal="center" vertical="center" wrapText="1"/>
    </x:xf>
    <x:xf numFmtId="0" fontId="12" fillId="22" borderId="5" xfId="0" applyNumberFormat="1" applyFont="1" applyFill="1" applyBorder="1" applyAlignment="1">
      <x:alignment horizontal="center" vertical="center" wrapText="1"/>
    </x:xf>
    <x:xf numFmtId="0" fontId="12" fillId="22" borderId="6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8" fillId="23" borderId="4" xfId="0" applyNumberFormat="1" applyFont="1" applyFill="1" applyBorder="1" applyAlignment="1">
      <x:alignment horizontal="center" vertical="center" wrapText="1"/>
    </x:xf>
    <x:xf numFmtId="0" fontId="8" fillId="23" borderId="5" xfId="0" applyNumberFormat="1" applyFont="1" applyFill="1" applyBorder="1" applyAlignment="1">
      <x:alignment horizontal="center" vertical="center" wrapText="1"/>
    </x:xf>
    <x:xf numFmtId="0" fontId="12" fillId="23" borderId="0" xfId="0" applyNumberFormat="1" applyFont="1" applyFill="1" applyBorder="1"/>
    <x:xf numFmtId="0" fontId="12" fillId="23" borderId="4" xfId="0" applyNumberFormat="1" applyFont="1" applyFill="1" applyBorder="1" applyAlignment="1">
      <x:alignment horizontal="center" vertical="center" wrapText="1"/>
    </x:xf>
    <x:xf numFmtId="0" fontId="12" fillId="23" borderId="5" xfId="0" applyNumberFormat="1" applyFont="1" applyFill="1" applyBorder="1" applyAlignment="1">
      <x:alignment horizontal="center" vertical="center" wrapText="1"/>
    </x:xf>
    <x:xf numFmtId="0" fontId="12" fillId="23" borderId="0" xfId="0" applyNumberFormat="1" applyFont="1" applyFill="1" applyBorder="1" applyAlignment="1">
      <x:alignment horizontal="center"/>
    </x:xf>
    <x:xf numFmtId="0" fontId="12" fillId="23" borderId="0" xfId="0" applyNumberFormat="1" applyFont="1" applyFill="1" applyBorder="1" applyAlignment="1">
      <x:alignment horizontal="center" vertical="center"/>
    </x:xf>
    <x:xf numFmtId="0" fontId="12" fillId="23" borderId="0" xfId="0" applyNumberFormat="1" applyFont="1" applyFill="1" applyBorder="1" applyAlignment="1">
      <x:alignment horizontal="center" vertical="center" wrapText="1"/>
    </x:xf>
    <x:xf numFmtId="0" fontId="8" fillId="24" borderId="6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8" fillId="24" borderId="4" xfId="0" applyNumberFormat="1" applyFont="1" applyFill="1" applyBorder="1" applyAlignment="1">
      <x:alignment horizontal="center" vertical="center" wrapText="1"/>
    </x:xf>
    <x:xf numFmtId="0" fontId="12" fillId="24" borderId="6" xfId="0" applyNumberFormat="1" applyFont="1" applyFill="1" applyBorder="1" applyAlignment="1">
      <x:alignment horizontal="center" vertical="center" wrapText="1"/>
    </x:xf>
    <x:xf numFmtId="0" fontId="12" fillId="24" borderId="0" xfId="0" applyNumberFormat="1" applyFont="1" applyFill="1" applyBorder="1"/>
    <x:xf numFmtId="0" fontId="12" fillId="24" borderId="4" xfId="0" applyNumberFormat="1" applyFont="1" applyFill="1" applyBorder="1" applyAlignment="1">
      <x:alignment horizontal="center" vertical="center" wrapText="1"/>
    </x:xf>
    <x:xf numFmtId="0" fontId="12" fillId="24" borderId="0" xfId="0" applyNumberFormat="1" applyFont="1" applyFill="1" applyBorder="1" applyAlignment="1">
      <x:alignment horizontal="center"/>
    </x:xf>
    <x:xf numFmtId="0" fontId="12" fillId="24" borderId="0" xfId="0" applyNumberFormat="1" applyFont="1" applyFill="1" applyBorder="1" applyAlignment="1">
      <x:alignment horizontal="center" vertical="center"/>
    </x:xf>
    <x:xf numFmtId="0" fontId="12" fillId="24" borderId="0" xfId="0" applyNumberFormat="1" applyFont="1" applyFill="1" applyBorder="1" applyAlignment="1">
      <x:alignment horizontal="center" vertical="center" wrapText="1"/>
    </x:xf>
    <x:xf numFmtId="0" fontId="8" fillId="25" borderId="5" xfId="0" applyNumberFormat="1" applyFont="1" applyFill="1" applyBorder="1" applyAlignment="1">
      <x:alignment horizontal="center" vertical="center" wrapText="1"/>
    </x:xf>
    <x:xf numFmtId="0" fontId="8" fillId="25" borderId="6" xfId="0" applyNumberFormat="1" applyFont="1" applyFill="1" applyBorder="1" applyAlignment="1">
      <x:alignment horizontal="center" vertical="center" wrapText="1"/>
    </x:xf>
    <x:xf numFmtId="0" fontId="12" fillId="25" borderId="5" xfId="0" applyNumberFormat="1" applyFont="1" applyFill="1" applyBorder="1" applyAlignment="1">
      <x:alignment horizontal="center" vertical="center" wrapText="1"/>
    </x:xf>
    <x:xf numFmtId="0" fontId="12" fillId="25" borderId="6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8" fillId="26" borderId="4" xfId="0" applyNumberFormat="1" applyFont="1" applyFill="1" applyBorder="1" applyAlignment="1">
      <x:alignment horizontal="center" vertical="center" wrapText="1"/>
    </x:xf>
    <x:xf numFmtId="0" fontId="12" fillId="26" borderId="0" xfId="0" applyNumberFormat="1" applyFont="1" applyFill="1" applyBorder="1"/>
    <x:xf numFmtId="0" fontId="12" fillId="26" borderId="4" xfId="0" applyNumberFormat="1" applyFont="1" applyFill="1" applyBorder="1" applyAlignment="1">
      <x:alignment horizontal="center" vertical="center" wrapText="1"/>
    </x:xf>
    <x:xf numFmtId="0" fontId="12" fillId="26" borderId="0" xfId="0" applyNumberFormat="1" applyFont="1" applyFill="1" applyBorder="1" applyAlignment="1">
      <x:alignment horizontal="center"/>
    </x:xf>
    <x:xf numFmtId="0" fontId="12" fillId="26" borderId="0" xfId="0" applyNumberFormat="1" applyFont="1" applyFill="1" applyBorder="1" applyAlignment="1">
      <x:alignment horizontal="center" vertical="center"/>
    </x:xf>
    <x:xf numFmtId="0" fontId="12" fillId="26" borderId="0" xfId="0" applyNumberFormat="1" applyFont="1" applyFill="1" applyBorder="1" applyAlignment="1">
      <x:alignment horizontal="center" vertical="center" wrapText="1"/>
    </x:xf>
    <x:xf numFmtId="0" fontId="8" fillId="27" borderId="5" xfId="0" applyNumberFormat="1" applyFont="1" applyFill="1" applyBorder="1" applyAlignment="1">
      <x:alignment horizontal="center" vertical="center" wrapText="1"/>
    </x:xf>
    <x:xf numFmtId="0" fontId="8" fillId="27" borderId="6" xfId="0" applyNumberFormat="1" applyFont="1" applyFill="1" applyBorder="1" applyAlignment="1">
      <x:alignment horizontal="center" vertical="center" wrapText="1"/>
    </x:xf>
    <x:xf numFmtId="0" fontId="12" fillId="27" borderId="5" xfId="0" applyNumberFormat="1" applyFont="1" applyFill="1" applyBorder="1" applyAlignment="1">
      <x:alignment horizontal="center" vertical="center" wrapText="1"/>
    </x:xf>
    <x:xf numFmtId="0" fontId="12" fillId="27" borderId="6" xfId="0" applyNumberFormat="1" applyFont="1" applyFill="1" applyBorder="1" applyAlignment="1">
      <x:alignment horizontal="center" vertical="center" wrapText="1"/>
    </x:xf>
    <x:xf numFmtId="0" fontId="15" fillId="28" borderId="10" xfId="0" applyNumberFormat="1" applyFont="1" applyFill="1" applyBorder="1" applyAlignment="1">
      <x:alignment horizontal="center" vertical="center" wrapText="1"/>
    </x:xf>
    <x:xf numFmtId="0" fontId="15" fillId="28" borderId="11" xfId="0" applyNumberFormat="1" applyFont="1" applyFill="1" applyBorder="1" applyAlignment="1">
      <x:alignment horizontal="center" vertical="center" wrapText="1"/>
    </x:xf>
    <x:xf numFmtId="0" fontId="15" fillId="29" borderId="12" xfId="0" applyNumberFormat="1" applyFont="1" applyFill="1" applyBorder="1" applyAlignment="1">
      <x:alignment horizontal="center" vertical="center" wrapText="1"/>
    </x:xf>
    <x:xf numFmtId="0" fontId="15" fillId="29" borderId="10" xfId="0" applyNumberFormat="1" applyFont="1" applyFill="1" applyBorder="1" applyAlignment="1">
      <x:alignment horizontal="center" vertical="center" wrapText="1"/>
    </x:xf>
    <x:xf numFmtId="0" fontId="15" fillId="29" borderId="11" xfId="0" applyNumberFormat="1" applyFont="1" applyFill="1" applyBorder="1" applyAlignment="1">
      <x:alignment horizontal="center" vertical="center" wrapText="1"/>
    </x:xf>
    <x:xf numFmtId="0" fontId="15" fillId="30" borderId="11" xfId="0" applyNumberFormat="1" applyFont="1" applyFill="1" applyBorder="1" applyAlignment="1">
      <x:alignment horizontal="center" vertical="center" wrapText="1"/>
    </x:xf>
    <x:xf numFmtId="0" fontId="15" fillId="31" borderId="12" xfId="0" applyNumberFormat="1" applyFont="1" applyFill="1" applyBorder="1" applyAlignment="1">
      <x:alignment horizontal="center" vertical="center" wrapText="1"/>
    </x:xf>
    <x:xf numFmtId="0" fontId="15" fillId="32" borderId="10" xfId="0" applyNumberFormat="1" applyFont="1" applyFill="1" applyBorder="1" applyAlignment="1">
      <x:alignment horizontal="center" vertical="center" wrapText="1"/>
    </x:xf>
    <x:xf numFmtId="0" fontId="15" fillId="32" borderId="11" xfId="0" applyNumberFormat="1" applyFont="1" applyFill="1" applyBorder="1" applyAlignment="1">
      <x:alignment horizontal="center" vertical="center" wrapText="1"/>
    </x:xf>
    <x:xf numFmtId="0" fontId="15" fillId="33" borderId="11" xfId="0" applyNumberFormat="1" applyFont="1" applyFill="1" applyBorder="1" applyAlignment="1">
      <x:alignment horizontal="center" vertical="center" wrapText="1"/>
    </x:xf>
    <x:xf numFmtId="0" fontId="15" fillId="33" borderId="12" xfId="0" applyNumberFormat="1" applyFont="1" applyFill="1" applyBorder="1" applyAlignment="1">
      <x:alignment horizontal="center" vertical="center" wrapText="1"/>
    </x:xf>
    <x:xf numFmtId="0" fontId="10" fillId="20" borderId="10" xfId="0" applyNumberFormat="1" applyFont="1" applyFill="1" applyBorder="1" applyAlignment="1">
      <x:alignment horizontal="center" vertical="center" wrapText="1"/>
    </x:xf>
    <x:xf numFmtId="0" fontId="10" fillId="20" borderId="11" xfId="0" applyNumberFormat="1" applyFont="1" applyFill="1" applyBorder="1" applyAlignment="1">
      <x:alignment horizontal="center" vertical="center" wrapText="1"/>
    </x:xf>
    <x:xf numFmtId="0" fontId="10" fillId="20" borderId="12" xfId="0" applyNumberFormat="1" applyFont="1" applyFill="1" applyBorder="1" applyAlignment="1">
      <x:alignment horizontal="center" vertical="center" wrapText="1"/>
    </x:xf>
    <x:xf numFmtId="0" fontId="15" fillId="20" borderId="10" xfId="0" applyNumberFormat="1" applyFont="1" applyFill="1" applyBorder="1" applyAlignment="1">
      <x:alignment horizontal="center" vertical="center" wrapText="1"/>
    </x:xf>
    <x:xf numFmtId="0" fontId="15" fillId="20" borderId="11" xfId="0" applyNumberFormat="1" applyFont="1" applyFill="1" applyBorder="1" applyAlignment="1">
      <x:alignment horizontal="center" vertical="center" wrapText="1"/>
    </x:xf>
    <x:xf numFmtId="0" fontId="15" fillId="20" borderId="12" xfId="0" applyNumberFormat="1" applyFont="1" applyFill="1" applyBorder="1" applyAlignment="1">
      <x:alignment horizontal="center" vertical="center" wrapText="1"/>
    </x:xf>
    <x:xf numFmtId="0" fontId="11" fillId="34" borderId="16" xfId="0" applyNumberFormat="1" applyFont="1" applyFill="1" applyBorder="1" applyAlignment="1">
      <x:alignment horizontal="center" vertical="center" wrapText="1"/>
    </x:xf>
    <x:xf numFmtId="0" fontId="12" fillId="34" borderId="17" xfId="0" applyNumberFormat="1" applyFont="1" applyFill="1" applyBorder="1" applyAlignment="1">
      <x:alignment horizontal="center" vertical="center" wrapText="1"/>
    </x:xf>
    <x:xf numFmtId="0" fontId="11" fillId="34" borderId="17" xfId="0" applyNumberFormat="1" applyFont="1" applyFill="1" applyBorder="1" applyAlignment="1">
      <x:alignment vertical="center" wrapText="1"/>
    </x:xf>
    <x:xf numFmtId="0" fontId="11" fillId="34" borderId="17" xfId="0" applyNumberFormat="1" applyFont="1" applyFill="1" applyBorder="1" applyAlignment="1">
      <x:alignment horizontal="center" vertical="center" wrapText="1"/>
    </x:xf>
    <x:xf numFmtId="0" fontId="13" fillId="34" borderId="32" xfId="0" applyNumberFormat="1" applyFont="1" applyFill="1" applyBorder="1" applyAlignment="1">
      <x:alignment horizontal="center" vertical="center" wrapText="1"/>
    </x:xf>
    <x:xf numFmtId="0" fontId="11" fillId="34" borderId="19" xfId="0" applyNumberFormat="1" applyFont="1" applyFill="1" applyBorder="1" applyAlignment="1">
      <x:alignment horizontal="center" vertical="center" wrapText="1"/>
    </x:xf>
    <x:xf numFmtId="0" fontId="12" fillId="34" borderId="0" xfId="0" applyNumberFormat="1" applyFont="1" applyFill="1" applyBorder="1" applyAlignment="1">
      <x:alignment horizontal="center" vertical="center" wrapText="1"/>
    </x:xf>
    <x:xf numFmtId="0" fontId="11" fillId="34" borderId="0" xfId="0" applyNumberFormat="1" applyFont="1" applyFill="1" applyBorder="1" applyAlignment="1">
      <x:alignment vertical="center" wrapText="1"/>
    </x:xf>
    <x:xf numFmtId="0" fontId="11" fillId="34" borderId="0" xfId="0" applyNumberFormat="1" applyFont="1" applyFill="1" applyBorder="1" applyAlignment="1">
      <x:alignment horizontal="center" vertical="center" wrapText="1"/>
    </x:xf>
    <x:xf numFmtId="0" fontId="18" fillId="34" borderId="16" xfId="0" applyNumberFormat="1" applyFont="1" applyFill="1" applyBorder="1" applyAlignment="1">
      <x:alignment horizontal="center" vertical="center" wrapText="1"/>
    </x:xf>
    <x:xf numFmtId="0" fontId="19" fillId="34" borderId="17" xfId="0" applyNumberFormat="1" applyFont="1" applyFill="1" applyBorder="1" applyAlignment="1">
      <x:alignment horizontal="center" vertical="center" wrapText="1"/>
    </x:xf>
    <x:xf numFmtId="0" fontId="18" fillId="34" borderId="17" xfId="0" applyNumberFormat="1" applyFont="1" applyFill="1" applyBorder="1" applyAlignment="1">
      <x:alignment vertical="center" wrapText="1"/>
    </x:xf>
    <x:xf numFmtId="0" fontId="18" fillId="34" borderId="17" xfId="0" applyNumberFormat="1" applyFont="1" applyFill="1" applyBorder="1" applyAlignment="1">
      <x:alignment horizontal="center" vertical="center" wrapText="1"/>
    </x:xf>
    <x:xf numFmtId="0" fontId="19" fillId="34" borderId="32" xfId="0" applyNumberFormat="1" applyFont="1" applyFill="1" applyBorder="1" applyAlignment="1">
      <x:alignment horizontal="center" vertical="center" wrapText="1"/>
    </x:xf>
    <x:xf numFmtId="0" fontId="18" fillId="34" borderId="19" xfId="0" applyNumberFormat="1" applyFont="1" applyFill="1" applyBorder="1" applyAlignment="1">
      <x:alignment horizontal="center" vertical="center" wrapText="1"/>
    </x:xf>
    <x:xf numFmtId="0" fontId="19" fillId="34" borderId="0" xfId="0" applyNumberFormat="1" applyFont="1" applyFill="1" applyBorder="1" applyAlignment="1">
      <x:alignment horizontal="center" vertical="center" wrapText="1"/>
    </x:xf>
    <x:xf numFmtId="0" fontId="18" fillId="34" borderId="0" xfId="0" applyNumberFormat="1" applyFont="1" applyFill="1" applyBorder="1" applyAlignment="1">
      <x:alignment vertical="center" wrapText="1"/>
    </x:xf>
    <x:xf numFmtId="0" fontId="18" fillId="34" borderId="0" xfId="0" applyNumberFormat="1" applyFont="1" applyFill="1" applyBorder="1" applyAlignment="1">
      <x:alignment horizontal="center" vertical="center" wrapText="1"/>
    </x:xf>
    <x:xf numFmtId="0" fontId="19" fillId="23" borderId="17" xfId="0" applyNumberFormat="1" applyFont="1" applyFill="1" applyBorder="1" applyAlignment="1">
      <x:alignment horizontal="center" vertical="center" wrapText="1"/>
    </x:xf>
    <x:xf numFmtId="0" fontId="19" fillId="23" borderId="32" xfId="0" applyNumberFormat="1" applyFont="1" applyFill="1" applyBorder="1" applyAlignment="1">
      <x:alignment horizontal="center" vertical="center" wrapText="1"/>
    </x:xf>
    <x:xf numFmtId="0" fontId="18" fillId="23" borderId="17" xfId="0" applyNumberFormat="1" applyFont="1" applyFill="1" applyBorder="1" applyAlignment="1">
      <x:alignment horizontal="center" vertical="center" wrapText="1"/>
    </x:xf>
    <x:xf numFmtId="0" fontId="19" fillId="23" borderId="0" xfId="0" applyNumberFormat="1" applyFont="1" applyFill="1" applyBorder="1" applyAlignment="1">
      <x:alignment horizontal="center" vertical="center" wrapText="1"/>
    </x:xf>
    <x:xf numFmtId="0" fontId="18" fillId="23" borderId="0" xfId="0" applyNumberFormat="1" applyFont="1" applyFill="1" applyBorder="1" applyAlignment="1">
      <x:alignment horizontal="center" vertical="center" wrapText="1"/>
    </x:xf>
    <x:xf numFmtId="0" fontId="19" fillId="24" borderId="0" xfId="0" applyNumberFormat="1" applyFont="1" applyFill="1" applyBorder="1" applyAlignment="1">
      <x:alignment horizontal="center" vertical="center" wrapText="1"/>
    </x:xf>
    <x:xf numFmtId="0" fontId="18" fillId="24" borderId="0" xfId="0" applyNumberFormat="1" applyFont="1" applyFill="1" applyBorder="1" applyAlignment="1">
      <x:alignment horizontal="center" vertical="center" wrapText="1"/>
    </x:xf>
    <x:xf numFmtId="0" fontId="19" fillId="24" borderId="32" xfId="0" applyNumberFormat="1" applyFont="1" applyFill="1" applyBorder="1" applyAlignment="1">
      <x:alignment horizontal="center" vertical="center" wrapText="1"/>
    </x:xf>
    <x:xf numFmtId="0" fontId="19" fillId="25" borderId="0" xfId="0" applyNumberFormat="1" applyFont="1" applyFill="1" applyBorder="1" applyAlignment="1">
      <x:alignment horizontal="center" vertical="center" wrapText="1"/>
    </x:xf>
    <x:xf numFmtId="0" fontId="18" fillId="25" borderId="0" xfId="0" applyNumberFormat="1" applyFont="1" applyFill="1" applyBorder="1" applyAlignment="1">
      <x:alignment horizontal="center" vertical="center" wrapText="1"/>
    </x:xf>
    <x:xf numFmtId="0" fontId="19" fillId="22" borderId="0" xfId="0" applyNumberFormat="1" applyFont="1" applyFill="1" applyBorder="1" applyAlignment="1">
      <x:alignment horizontal="center" vertical="center" wrapText="1"/>
    </x:xf>
    <x:xf numFmtId="0" fontId="18" fillId="22" borderId="0" xfId="0" applyNumberFormat="1" applyFont="1" applyFill="1" applyBorder="1" applyAlignment="1">
      <x:alignment horizontal="center" vertical="center" wrapText="1"/>
    </x:xf>
    <x:xf numFmtId="0" fontId="19" fillId="26" borderId="0" xfId="0" applyNumberFormat="1" applyFont="1" applyFill="1" applyBorder="1" applyAlignment="1">
      <x:alignment horizontal="center" vertical="center" wrapText="1"/>
    </x:xf>
    <x:xf numFmtId="0" fontId="18" fillId="26" borderId="0" xfId="0" applyNumberFormat="1" applyFont="1" applyFill="1" applyBorder="1" applyAlignment="1">
      <x:alignment horizontal="center" vertical="center" wrapText="1"/>
    </x:xf>
    <x:xf numFmtId="0" fontId="13" fillId="23" borderId="32" xfId="0" applyNumberFormat="1" applyFont="1" applyFill="1" applyBorder="1" applyAlignment="1">
      <x:alignment horizontal="center" vertical="center" wrapText="1"/>
    </x:xf>
    <x:xf numFmtId="0" fontId="13" fillId="23" borderId="17" xfId="0" applyNumberFormat="1" applyFont="1" applyFill="1" applyBorder="1" applyAlignment="1">
      <x:alignment horizontal="center" vertical="center" wrapText="1"/>
    </x:xf>
    <x:xf numFmtId="0" fontId="13" fillId="34" borderId="17" xfId="0" applyNumberFormat="1" applyFont="1" applyFill="1" applyBorder="1" applyAlignment="1">
      <x:alignment horizontal="center" vertical="center" wrapText="1"/>
    </x:xf>
    <x:xf numFmtId="0" fontId="13" fillId="23" borderId="0" xfId="0" applyNumberFormat="1" applyFont="1" applyFill="1" applyBorder="1" applyAlignment="1">
      <x:alignment horizontal="center" vertical="center" wrapText="1"/>
    </x:xf>
    <x:xf numFmtId="0" fontId="13" fillId="34" borderId="0" xfId="0" applyNumberFormat="1" applyFont="1" applyFill="1" applyBorder="1" applyAlignment="1">
      <x:alignment horizontal="center" vertical="center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0" fontId="13" fillId="24" borderId="32" xfId="0" applyNumberFormat="1" applyFont="1" applyFill="1" applyBorder="1" applyAlignment="1">
      <x:alignment horizontal="center" vertical="center" wrapText="1"/>
    </x:xf>
    <x:xf numFmtId="0" fontId="13" fillId="25" borderId="0" xfId="0" applyNumberFormat="1" applyFont="1" applyFill="1" applyBorder="1" applyAlignment="1">
      <x:alignment horizontal="center" vertical="center" wrapText="1"/>
    </x:xf>
    <x:xf numFmtId="0" fontId="13" fillId="22" borderId="0" xfId="0" applyNumberFormat="1" applyFont="1" applyFill="1" applyBorder="1" applyAlignment="1">
      <x:alignment horizontal="center" vertical="center" wrapText="1"/>
    </x:xf>
    <x:xf numFmtId="0" fontId="13" fillId="26" borderId="0" xfId="0" applyNumberFormat="1" applyFont="1" applyFill="1" applyBorder="1" applyAlignment="1">
      <x:alignment horizontal="center" vertical="center" wrapText="1"/>
    </x:xf>
    <x:xf numFmtId="0" fontId="15" fillId="20" borderId="34" xfId="0" applyNumberFormat="1" applyFont="1" applyFill="1" applyBorder="1" applyAlignment="1">
      <x:alignment horizontal="center" vertical="center" wrapText="1"/>
    </x:xf>
    <x:xf numFmtId="0" fontId="15" fillId="20" borderId="35" xfId="0" applyNumberFormat="1" applyFont="1" applyFill="1" applyBorder="1" applyAlignment="1">
      <x:alignment horizontal="center" vertical="center" wrapText="1"/>
    </x:xf>
    <x:xf numFmtId="0" fontId="15" fillId="20" borderId="36" xfId="0" applyNumberFormat="1" applyFont="1" applyFill="1" applyBorder="1" applyAlignment="1">
      <x:alignment horizontal="center" vertical="center" wrapText="1"/>
    </x:xf>
    <x:xf numFmtId="0" fontId="18" fillId="34" borderId="37" xfId="0" applyNumberFormat="1" applyFont="1" applyFill="1" applyBorder="1" applyAlignment="1">
      <x:alignment horizontal="center" vertical="center" wrapText="1"/>
    </x:xf>
    <x:xf numFmtId="0" fontId="13" fillId="34" borderId="38" xfId="0" applyNumberFormat="1" applyFont="1" applyFill="1" applyBorder="1" applyAlignment="1">
      <x:alignment horizontal="center" vertical="center" wrapText="1"/>
    </x:xf>
    <x:xf numFmtId="0" fontId="18" fillId="34" borderId="39" xfId="0" applyNumberFormat="1" applyFont="1" applyFill="1" applyBorder="1" applyAlignment="1">
      <x:alignment horizontal="center" vertical="center" wrapText="1"/>
    </x:xf>
    <x:xf numFmtId="0" fontId="19" fillId="23" xfId="0" applyNumberFormat="1" applyFont="1" applyFill="1" applyBorder="0" applyAlignment="1">
      <x:alignment horizontal="center" vertical="center" wrapText="1"/>
    </x:xf>
    <x:xf numFmtId="0" fontId="18" fillId="34" xfId="0" applyNumberFormat="1" applyFont="1" applyFill="1" applyBorder="0" applyAlignment="1">
      <x:alignment vertical="center" wrapText="1"/>
    </x:xf>
    <x:xf numFmtId="0" fontId="18" fillId="34" xfId="0" applyNumberFormat="1" applyFont="1" applyFill="1" applyBorder="0" applyAlignment="1">
      <x:alignment horizontal="center" vertical="center" wrapText="1"/>
    </x:xf>
    <x:xf numFmtId="0" fontId="13" fillId="23" xfId="0" applyNumberFormat="1" applyFont="1" applyFill="1" applyBorder="0" applyAlignment="1">
      <x:alignment horizontal="center" vertical="center" wrapText="1"/>
    </x:xf>
    <x:xf numFmtId="0" fontId="13" fillId="34" xfId="0" applyNumberFormat="1" applyFont="1" applyFill="1" applyBorder="0" applyAlignment="1">
      <x:alignment horizontal="center" vertical="center" wrapText="1"/>
    </x:xf>
    <x:xf numFmtId="0" fontId="13" fillId="34" borderId="40" xfId="0" applyNumberFormat="1" applyFont="1" applyFill="1" applyBorder="1" applyAlignment="1">
      <x:alignment horizontal="center" vertical="center" wrapText="1"/>
    </x:xf>
    <x:xf numFmtId="0" fontId="19" fillId="24" xfId="0" applyNumberFormat="1" applyFont="1" applyFill="1" applyBorder="0" applyAlignment="1">
      <x:alignment horizontal="center" vertical="center" wrapText="1"/>
    </x:xf>
    <x:xf numFmtId="0" fontId="13" fillId="24" xfId="0" applyNumberFormat="1" applyFont="1" applyFill="1" applyBorder="0" applyAlignment="1">
      <x:alignment horizontal="center" vertical="center" wrapText="1"/>
    </x:xf>
    <x:xf numFmtId="0" fontId="19" fillId="25" xfId="0" applyNumberFormat="1" applyFont="1" applyFill="1" applyBorder="0" applyAlignment="1">
      <x:alignment horizontal="center" vertical="center" wrapText="1"/>
    </x:xf>
    <x:xf numFmtId="0" fontId="13" fillId="25" xfId="0" applyNumberFormat="1" applyFont="1" applyFill="1" applyBorder="0" applyAlignment="1">
      <x:alignment horizontal="center" vertical="center" wrapText="1"/>
    </x:xf>
    <x:xf numFmtId="0" fontId="19" fillId="22" xfId="0" applyNumberFormat="1" applyFont="1" applyFill="1" applyBorder="0" applyAlignment="1">
      <x:alignment horizontal="center" vertical="center" wrapText="1"/>
    </x:xf>
    <x:xf numFmtId="0" fontId="13" fillId="22" xfId="0" applyNumberFormat="1" applyFont="1" applyFill="1" applyBorder="0" applyAlignment="1">
      <x:alignment horizontal="center" vertical="center" wrapText="1"/>
    </x:xf>
    <x:xf numFmtId="0" fontId="19" fillId="26" xfId="0" applyNumberFormat="1" applyFont="1" applyFill="1" applyBorder="0" applyAlignment="1">
      <x:alignment horizontal="center" vertical="center" wrapText="1"/>
    </x:xf>
    <x:xf numFmtId="0" fontId="13" fillId="26" xfId="0" applyNumberFormat="1" applyFont="1" applyFill="1" applyBorder="0" applyAlignment="1">
      <x:alignment horizontal="center" vertical="center" wrapText="1"/>
    </x:xf>
    <x:xf numFmtId="0" fontId="13" fillId="26" borderId="40" xfId="0" applyNumberFormat="1" applyFont="1" applyFill="1" applyBorder="1" applyAlignment="1">
      <x:alignment horizontal="center" vertical="center" wrapText="1"/>
    </x:xf>
    <x:xf numFmtId="0" fontId="18" fillId="34" borderId="41" xfId="0" applyNumberFormat="1" applyFont="1" applyFill="1" applyBorder="1" applyAlignment="1">
      <x:alignment horizontal="center" vertical="center" wrapText="1"/>
    </x:xf>
    <x:xf numFmtId="0" fontId="19" fillId="26" borderId="42" xfId="0" applyNumberFormat="1" applyFont="1" applyFill="1" applyBorder="1" applyAlignment="1">
      <x:alignment horizontal="center" vertical="center" wrapText="1"/>
    </x:xf>
    <x:xf numFmtId="0" fontId="18" fillId="34" borderId="42" xfId="0" applyNumberFormat="1" applyFont="1" applyFill="1" applyBorder="1" applyAlignment="1">
      <x:alignment vertical="center" wrapText="1"/>
    </x:xf>
    <x:xf numFmtId="0" fontId="18" fillId="34" borderId="42" xfId="0" applyNumberFormat="1" applyFont="1" applyFill="1" applyBorder="1" applyAlignment="1">
      <x:alignment horizontal="center" vertical="center" wrapText="1"/>
    </x:xf>
    <x:xf numFmtId="0" fontId="13" fillId="34" borderId="42" xfId="0" applyNumberFormat="1" applyFont="1" applyFill="1" applyBorder="1" applyAlignment="1">
      <x:alignment horizontal="center" vertical="center" wrapText="1"/>
    </x:xf>
    <x:xf numFmtId="0" fontId="13" fillId="34" borderId="43" xfId="0" applyNumberFormat="1" applyFont="1" applyFill="1" applyBorder="1" applyAlignment="1">
      <x:alignment horizontal="center" vertical="center" wrapText="1"/>
    </x:xf>
    <x:xf numFmtId="0" fontId="13" fillId="26" borderId="42" xfId="0" applyNumberFormat="1" applyFont="1" applyFill="1" applyBorder="1" applyAlignment="1">
      <x:alignment horizontal="center" vertical="center" wrapText="1"/>
    </x:xf>
    <x:xf numFmtId="0" fontId="13" fillId="26" borderId="44" xfId="0" applyNumberFormat="1" applyFont="1" applyFill="1" applyBorder="1" applyAlignment="1">
      <x:alignment horizontal="center" vertical="center" wrapText="1"/>
    </x:xf>
    <x:xf numFmtId="0" fontId="11" fillId="35" borderId="19" xfId="0" applyNumberFormat="1" applyFont="1" applyFill="1" applyBorder="1" applyAlignment="1">
      <x:alignment horizontal="center" vertical="center" wrapText="1"/>
    </x:xf>
    <x:xf numFmtId="0" fontId="12" fillId="35" borderId="0" xfId="0" applyNumberFormat="1" applyFont="1" applyFill="1" applyBorder="1" applyAlignment="1">
      <x:alignment horizontal="center" vertical="center" wrapText="1"/>
    </x:xf>
    <x:xf numFmtId="0" fontId="11" fillId="35" borderId="0" xfId="0" applyNumberFormat="1" applyFont="1" applyFill="1" applyBorder="1" applyAlignment="1">
      <x:alignment vertical="center" wrapText="1"/>
    </x:xf>
    <x:xf numFmtId="0" fontId="11" fillId="35" borderId="0" xfId="0" applyNumberFormat="1" applyFont="1" applyFill="1" applyBorder="1" applyAlignment="1">
      <x:alignment horizontal="center" vertical="center" wrapText="1"/>
    </x:xf>
    <x:xf numFmtId="0" fontId="13" fillId="35" borderId="32" xfId="0" applyNumberFormat="1" applyFont="1" applyFill="1" applyBorder="1" applyAlignment="1">
      <x:alignment horizontal="center" vertical="center" wrapText="1"/>
    </x:xf>
    <x:xf numFmtId="0" fontId="11" fillId="35" borderId="20" xfId="0" applyNumberFormat="1" applyFont="1" applyFill="1" applyBorder="1" applyAlignment="1">
      <x:alignment horizontal="center" vertical="center" wrapText="1"/>
    </x:xf>
    <x:xf numFmtId="0" fontId="20" fillId="35" borderId="19" xfId="0" applyNumberFormat="1" applyFont="1" applyFill="1" applyBorder="1" applyAlignment="1">
      <x:alignment horizontal="center" vertical="center" wrapText="1"/>
    </x:xf>
    <x:xf numFmtId="0" fontId="21" fillId="35" borderId="0" xfId="0" applyNumberFormat="1" applyFont="1" applyFill="1" applyBorder="1" applyAlignment="1">
      <x:alignment horizontal="center" vertical="center" wrapText="1"/>
    </x:xf>
    <x:xf numFmtId="0" fontId="20" fillId="35" borderId="0" xfId="0" applyNumberFormat="1" applyFont="1" applyFill="1" applyBorder="1" applyAlignment="1">
      <x:alignment vertical="center" wrapText="1"/>
    </x:xf>
    <x:xf numFmtId="0" fontId="20" fillId="35" borderId="0" xfId="0" applyNumberFormat="1" applyFont="1" applyFill="1" applyBorder="1" applyAlignment="1">
      <x:alignment horizontal="center" vertical="center" wrapText="1"/>
    </x:xf>
    <x:xf numFmtId="0" fontId="21" fillId="35" borderId="32" xfId="0" applyNumberFormat="1" applyFont="1" applyFill="1" applyBorder="1" applyAlignment="1">
      <x:alignment horizontal="center" vertical="center" wrapText="1"/>
    </x:xf>
    <x:xf numFmtId="0" fontId="20" fillId="35" borderId="2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5" fillId="20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200" fontId="0" fillId="34" borderId="0" xfId="0" applyNumberFormat="1" applyFont="1" applyFill="1" applyBorder="1"/>
    <x:xf numFmtId="0" fontId="18" fillId="34" borderId="0" xfId="0" applyNumberFormat="1" applyFont="1" applyFill="1" applyBorder="1"/>
    <x:xf numFmtId="200" fontId="18" fillId="34" borderId="0" xfId="0" applyNumberFormat="1" applyFont="1" applyFill="1" applyBorder="1"/>
    <x:xf numFmtId="0" fontId="18" fillId="34" borderId="0" xfId="0" applyNumberFormat="1" applyFont="1" applyFill="1" applyBorder="1" applyAlignment="1">
      <x:alignment vertical="center"/>
    </x:xf>
    <x:xf numFmtId="200" fontId="18" fillId="34" borderId="0" xfId="0" applyNumberFormat="1" applyFont="1" applyFill="1" applyBorder="1" applyAlignment="1">
      <x:alignment vertical="center"/>
    </x:xf>
    <x:xf numFmtId="200" fontId="18" fillId="34" borderId="0" xfId="0" applyNumberFormat="1" applyFont="1" applyFill="1" applyBorder="1" applyAlignment="1">
      <x:alignment vertical="center" wrapText="1"/>
    </x:xf>
    <x:xf numFmtId="0" fontId="18" fillId="34" borderId="45" xfId="0" applyNumberFormat="1" applyFont="1" applyFill="1" applyBorder="1" applyAlignment="1">
      <x:alignment vertical="center" wrapText="1"/>
    </x:xf>
    <x:xf numFmtId="200" fontId="18" fillId="34" borderId="46" xfId="0" applyNumberFormat="1" applyFont="1" applyFill="1" applyBorder="1" applyAlignment="1">
      <x:alignment vertical="center" wrapText="1"/>
    </x:xf>
    <x:xf numFmtId="0" fontId="18" fillId="34" borderId="47" xfId="0" applyNumberFormat="1" applyFont="1" applyFill="1" applyBorder="1" applyAlignment="1">
      <x:alignment vertical="center" wrapText="1"/>
    </x:xf>
    <x:xf numFmtId="0" fontId="18" fillId="34" borderId="39" xfId="0" applyNumberFormat="1" applyFont="1" applyFill="1" applyBorder="1" applyAlignment="1">
      <x:alignment vertical="center" wrapText="1"/>
    </x:xf>
    <x:xf numFmtId="200" fontId="18" fillId="34" xfId="0" applyNumberFormat="1" applyFont="1" applyFill="1" applyBorder="0" applyAlignment="1">
      <x:alignment vertical="center" wrapText="1"/>
    </x:xf>
    <x:xf numFmtId="0" fontId="18" fillId="34" borderId="40" xfId="0" applyNumberFormat="1" applyFont="1" applyFill="1" applyBorder="1" applyAlignment="1">
      <x:alignment vertical="center" wrapText="1"/>
    </x:xf>
    <x:xf numFmtId="0" fontId="18" fillId="34" borderId="41" xfId="0" applyNumberFormat="1" applyFont="1" applyFill="1" applyBorder="1" applyAlignment="1">
      <x:alignment vertical="center" wrapText="1"/>
    </x:xf>
    <x:xf numFmtId="200" fontId="18" fillId="34" borderId="42" xfId="0" applyNumberFormat="1" applyFont="1" applyFill="1" applyBorder="1" applyAlignment="1">
      <x:alignment vertical="center" wrapText="1"/>
    </x:xf>
    <x:xf numFmtId="0" fontId="18" fillId="34" borderId="44" xfId="0" applyNumberFormat="1" applyFont="1" applyFill="1" applyBorder="1" applyAlignment="1">
      <x:alignment vertical="center" wrapText="1"/>
    </x:xf>
    <x:xf numFmtId="200" fontId="18" fillId="34" borderId="46" xfId="0" applyNumberFormat="1" applyFont="1" applyFill="1" applyBorder="1" applyAlignment="1">
      <x:alignment horizontal="center" vertical="center" wrapText="1"/>
    </x:xf>
    <x:xf numFmtId="200" fontId="18" fillId="34" xfId="0" applyNumberFormat="1" applyFont="1" applyFill="1" applyBorder="0" applyAlignment="1">
      <x:alignment horizontal="center" vertical="center" wrapText="1"/>
    </x:xf>
    <x:xf numFmtId="200" fontId="18" fillId="34" borderId="42" xfId="0" applyNumberFormat="1" applyFont="1" applyFill="1" applyBorder="1" applyAlignment="1">
      <x:alignment horizontal="center" vertical="center" wrapText="1"/>
    </x:xf>
    <x:xf numFmtId="0" fontId="17" fillId="36" borderId="0" xfId="0" applyNumberFormat="1" applyFont="1" applyFill="1" applyBorder="1" applyAlignment="1">
      <x:alignment vertical="center" wrapText="1"/>
    </x:xf>
    <x:xf numFmtId="0" fontId="17" fillId="36" borderId="0" xfId="0" applyNumberFormat="1" applyFont="1" applyFill="1" applyBorder="1" applyAlignment="1">
      <x:alignment vertical="center" wrapText="0"/>
    </x:xf>
    <x:xf numFmtId="0" fontId="0" fillId="35" borderId="0" xfId="0" applyNumberFormat="1" applyFont="1" applyFill="1" applyBorder="1"/>
    <x:xf numFmtId="0" fontId="20" fillId="35" borderId="0" xfId="0" applyNumberFormat="1" applyFont="1" applyFill="1" applyBorder="1"/>
    <x:xf numFmtId="0" fontId="20" fillId="35" borderId="0" xfId="0" applyNumberFormat="1" applyFont="1" applyFill="1" applyBorder="1" applyAlignment="1">
      <x:alignment vertical="center"/>
    </x:xf>
    <x:xf numFmtId="0" fontId="16" fillId="5" borderId="0" xfId="0" applyNumberFormat="1" applyFont="1" applyFill="1" applyBorder="1" applyAlignment="1">
      <x:alignment horizontal="left" vertical="center"/>
    </x:xf>
    <x:xf numFmtId="0" fontId="0" fillId="15" borderId="0" xfId="0" applyNumberFormat="1" applyFont="1" applyFill="1" applyBorder="1"/>
    <x:xf numFmtId="0" fontId="8" fillId="15" borderId="4" xfId="0" applyNumberFormat="1" applyFont="1" applyFill="1" applyBorder="1" applyAlignment="1">
      <x:alignment horizontal="center" vertical="center" wrapText="1"/>
    </x:xf>
    <x:xf numFmtId="0" fontId="8" fillId="15" borderId="5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/>
    <x:xf numFmtId="0" fontId="12" fillId="15" borderId="4" xfId="0" applyNumberFormat="1" applyFont="1" applyFill="1" applyBorder="1" applyAlignment="1">
      <x:alignment horizontal="center" vertical="center" wrapText="1"/>
    </x:xf>
    <x:xf numFmtId="0" fontId="12" fillId="15" borderId="5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/>
    </x:xf>
    <x:xf numFmtId="0" fontId="12" fillId="15" borderId="0" xfId="0" applyNumberFormat="1" applyFont="1" applyFill="1" applyBorder="1" applyAlignment="1">
      <x:alignment horizontal="center" vertical="center"/>
    </x:xf>
    <x:xf numFmtId="0" fontId="12" fillId="7" borderId="6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4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9" borderId="5" xfId="0" applyNumberFormat="1" applyFont="1" applyFill="1" applyBorder="1" applyAlignment="1">
      <x:alignment horizontal="center" vertical="center" wrapText="1"/>
    </x:xf>
    <x:xf numFmtId="0" fontId="12" fillId="9" borderId="6" xfId="0" applyNumberFormat="1" applyFont="1" applyFill="1" applyBorder="1" applyAlignment="1">
      <x:alignment horizontal="center" vertical="center" wrapText="1"/>
    </x:xf>
    <x:xf numFmtId="0" fontId="12" fillId="10" borderId="5" xfId="0" applyNumberFormat="1" applyFont="1" applyFill="1" applyBorder="1" applyAlignment="1">
      <x:alignment horizontal="center" vertical="center" wrapText="1"/>
    </x:xf>
    <x:xf numFmtId="0" fontId="12" fillId="10" borderId="6" xfId="0" applyNumberFormat="1" applyFont="1" applyFill="1" applyBorder="1" applyAlignment="1">
      <x:alignment horizontal="center" vertical="center" wrapText="1"/>
    </x:xf>
    <x:xf numFmtId="0" fontId="15" fillId="5" borderId="10" xfId="0" applyNumberFormat="1" applyFont="1" applyFill="1" applyBorder="1" applyAlignment="1">
      <x:alignment horizontal="center" vertical="center" wrapText="1"/>
    </x:xf>
    <x:xf numFmtId="0" fontId="15" fillId="5" borderId="11" xfId="0" applyNumberFormat="1" applyFont="1" applyFill="1" applyBorder="1" applyAlignment="1">
      <x:alignment horizontal="center" vertical="center" wrapText="1"/>
    </x:xf>
    <x:xf numFmtId="0" fontId="15" fillId="5" borderId="12" xfId="0" applyNumberFormat="1" applyFont="1" applyFill="1" applyBorder="1" applyAlignment="1">
      <x:alignment horizontal="center" vertical="center" wrapText="1"/>
    </x:xf>
    <x:xf numFmtId="0" fontId="19" fillId="15" borderId="17" xfId="0" applyNumberFormat="1" applyFont="1" applyFill="1" applyBorder="1" applyAlignment="1">
      <x:alignment horizontal="center" vertical="center" wrapText="1"/>
    </x:xf>
    <x:xf numFmtId="0" fontId="19" fillId="15" borderId="32" xfId="0" applyNumberFormat="1" applyFont="1" applyFill="1" applyBorder="1" applyAlignment="1">
      <x:alignment horizontal="center" vertical="center" wrapText="1"/>
    </x:xf>
    <x:xf numFmtId="0" fontId="18" fillId="15" borderId="17" xfId="0" applyNumberFormat="1" applyFont="1" applyFill="1" applyBorder="1" applyAlignment="1">
      <x:alignment horizontal="center" vertical="center" wrapText="1"/>
    </x:xf>
    <x:xf numFmtId="0" fontId="19" fillId="15" borderId="0" xfId="0" applyNumberFormat="1" applyFont="1" applyFill="1" applyBorder="1" applyAlignment="1">
      <x:alignment horizontal="center" vertical="center" wrapText="1"/>
    </x:xf>
    <x:xf numFmtId="0" fontId="18" fillId="15" borderId="0" xfId="0" applyNumberFormat="1" applyFont="1" applyFill="1" applyBorder="1" applyAlignment="1">
      <x:alignment horizontal="center" vertical="center" wrapText="1"/>
    </x:xf>
    <x:xf numFmtId="0" fontId="19" fillId="7" borderId="0" xfId="0" applyNumberFormat="1" applyFont="1" applyFill="1" applyBorder="1" applyAlignment="1">
      <x:alignment horizontal="center" vertical="center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19" fillId="7" borderId="32" xfId="0" applyNumberFormat="1" applyFont="1" applyFill="1" applyBorder="1" applyAlignment="1">
      <x:alignment horizontal="center" vertical="center" wrapText="1"/>
    </x:xf>
    <x:xf numFmtId="0" fontId="19" fillId="9" borderId="0" xfId="0" applyNumberFormat="1" applyFont="1" applyFill="1" applyBorder="1" applyAlignment="1">
      <x:alignment horizontal="center" vertical="center" wrapText="1"/>
    </x:xf>
    <x:xf numFmtId="0" fontId="18" fillId="9" borderId="0" xfId="0" applyNumberFormat="1" applyFont="1" applyFill="1" applyBorder="1" applyAlignment="1">
      <x:alignment horizontal="center" vertical="center" wrapText="1"/>
    </x:xf>
    <x:xf numFmtId="0" fontId="13" fillId="15" borderId="32" xfId="0" applyNumberFormat="1" applyFont="1" applyFill="1" applyBorder="1" applyAlignment="1">
      <x:alignment horizontal="center" vertical="center" wrapText="1"/>
    </x:xf>
    <x:xf numFmtId="0" fontId="13" fillId="15" borderId="17" xfId="0" applyNumberFormat="1" applyFont="1" applyFill="1" applyBorder="1" applyAlignment="1">
      <x:alignment horizontal="center" vertical="center" wrapText="1"/>
    </x:xf>
    <x:xf numFmtId="0" fontId="13" fillId="15" borderId="0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32" xfId="0" applyNumberFormat="1" applyFont="1" applyFill="1" applyBorder="1" applyAlignment="1">
      <x:alignment horizontal="center" vertical="center" wrapText="1"/>
    </x:xf>
    <x:xf numFmtId="0" fontId="13" fillId="9" borderId="0" xfId="0" applyNumberFormat="1" applyFont="1" applyFill="1" applyBorder="1" applyAlignment="1">
      <x:alignment horizontal="center" vertical="center" wrapText="1"/>
    </x:xf>
    <x:xf numFmtId="0" fontId="15" fillId="5" borderId="34" xfId="0" applyNumberFormat="1" applyFont="1" applyFill="1" applyBorder="1" applyAlignment="1">
      <x:alignment horizontal="center" vertical="center" wrapText="1"/>
    </x:xf>
    <x:xf numFmtId="0" fontId="15" fillId="5" borderId="35" xfId="0" applyNumberFormat="1" applyFont="1" applyFill="1" applyBorder="1" applyAlignment="1">
      <x:alignment horizontal="center" vertical="center" wrapText="1"/>
    </x:xf>
    <x:xf numFmtId="0" fontId="15" fillId="5" borderId="36" xfId="0" applyNumberFormat="1" applyFont="1" applyFill="1" applyBorder="1" applyAlignment="1">
      <x:alignment horizontal="center" vertical="center" wrapText="1"/>
    </x:xf>
    <x:xf numFmtId="0" fontId="19" fillId="15" xfId="0" applyNumberFormat="1" applyFont="1" applyFill="1" applyBorder="0" applyAlignment="1">
      <x:alignment horizontal="center" vertical="center" wrapText="1"/>
    </x:xf>
    <x:xf numFmtId="0" fontId="13" fillId="15" xfId="0" applyNumberFormat="1" applyFont="1" applyFill="1" applyBorder="0" applyAlignment="1">
      <x:alignment horizontal="center" vertical="center" wrapText="1"/>
    </x:xf>
    <x:xf numFmtId="0" fontId="19" fillId="7" xfId="0" applyNumberFormat="1" applyFont="1" applyFill="1" applyBorder="0" applyAlignment="1">
      <x:alignment horizontal="center" vertical="center" wrapText="1"/>
    </x:xf>
    <x:xf numFmtId="0" fontId="13" fillId="7" xfId="0" applyNumberFormat="1" applyFont="1" applyFill="1" applyBorder="0" applyAlignment="1">
      <x:alignment horizontal="center" vertical="center" wrapText="1"/>
    </x:xf>
    <x:xf numFmtId="0" fontId="19" fillId="9" xfId="0" applyNumberFormat="1" applyFont="1" applyFill="1" applyBorder="0" applyAlignment="1">
      <x:alignment horizontal="center" vertical="center" wrapText="1"/>
    </x:xf>
    <x:xf numFmtId="0" fontId="13" fillId="9" xfId="0" applyNumberFormat="1" applyFont="1" applyFill="1" applyBorder="0" applyAlignment="1">
      <x:alignment horizontal="center" vertical="center" wrapText="1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horizontal="center"/>
    </x:xf>
    <x:xf numFmtId="0" fontId="15" fillId="5" borderId="0" xfId="0" applyNumberFormat="1" applyFont="1" applyFill="1" applyBorder="1" applyAlignment="1">
      <x:alignment horizontal="center" vertical="center"/>
    </x:xf>
    <x:xf numFmtId="0" fontId="15" fillId="5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16" fillId="37" borderId="0" xfId="0" applyNumberFormat="1" applyFont="1" applyFill="1" applyBorder="1"/>
    <x:xf numFmtId="0" fontId="16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22" fillId="38" borderId="0" xfId="0" applyNumberFormat="1" applyFont="1" applyFill="1" applyBorder="1"/>
    <x:xf numFmtId="0" fontId="2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48" xfId="0" applyNumberFormat="1" applyFont="1" applyFill="1" applyBorder="1"/>
    <x:xf numFmtId="0" fontId="23" fillId="39" borderId="49" xfId="0" applyNumberFormat="1" applyFont="1" applyFill="1" applyBorder="1"/>
    <x:xf numFmtId="0" fontId="23" fillId="39" borderId="50" xfId="0" applyNumberFormat="1" applyFont="1" applyFill="1" applyBorder="1"/>
    <x:xf numFmtId="0" fontId="23" fillId="39" borderId="48" xfId="0" applyNumberFormat="1" applyFont="1" applyFill="1" applyBorder="1" applyAlignment="1">
      <x:alignment wrapText="1"/>
    </x:xf>
    <x:xf numFmtId="0" fontId="23" fillId="39" borderId="49" xfId="0" applyNumberFormat="1" applyFont="1" applyFill="1" applyBorder="1" applyAlignment="1">
      <x:alignment wrapText="1"/>
    </x:xf>
    <x:xf numFmtId="0" fontId="23" fillId="39" borderId="50" xfId="0" applyNumberFormat="1" applyFont="1" applyFill="1" applyBorder="1" applyAlignment="1">
      <x:alignment wrapText="1"/>
    </x:xf>
    <x:xf numFmtId="0" fontId="23" fillId="39" borderId="48" xfId="0" applyNumberFormat="1" applyFont="1" applyFill="1" applyBorder="1" applyAlignment="1">
      <x:alignment horizontal="center" wrapText="1"/>
    </x:xf>
    <x:xf numFmtId="0" fontId="23" fillId="39" borderId="49" xfId="0" applyNumberFormat="1" applyFont="1" applyFill="1" applyBorder="1" applyAlignment="1">
      <x:alignment horizontal="center" wrapText="1"/>
    </x:xf>
    <x:xf numFmtId="0" fontId="23" fillId="39" borderId="50" xfId="0" applyNumberFormat="1" applyFont="1" applyFill="1" applyBorder="1" applyAlignment="1">
      <x:alignment horizontal="center" wrapText="1"/>
    </x:xf>
    <x:xf numFmtId="0" fontId="23" fillId="39" borderId="48" xfId="0" applyNumberFormat="1" applyFont="1" applyFill="1" applyBorder="1" applyAlignment="1">
      <x:alignment horizontal="center" vertical="center" wrapText="1"/>
    </x:xf>
    <x:xf numFmtId="0" fontId="23" fillId="39" borderId="49" xfId="0" applyNumberFormat="1" applyFont="1" applyFill="1" applyBorder="1" applyAlignment="1">
      <x:alignment horizontal="center" vertical="center" wrapText="1"/>
    </x:xf>
    <x:xf numFmtId="0" fontId="23" fillId="39" borderId="5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200" fontId="0" fillId="40" borderId="0" xfId="0" applyNumberFormat="1" applyFont="1" applyFill="1" applyBorder="1"/>
    <x:xf numFmtId="0" fontId="24" fillId="40" borderId="0" xfId="0" applyNumberFormat="1" applyFont="1" applyFill="1" applyBorder="1"/>
    <x:xf numFmtId="200" fontId="24" fillId="40" borderId="0" xfId="0" applyNumberFormat="1" applyFont="1" applyFill="1" applyBorder="1"/>
    <x:xf numFmtId="0" fontId="24" fillId="40" borderId="51" xfId="0" applyNumberFormat="1" applyFont="1" applyFill="1" applyBorder="1"/>
    <x:xf numFmtId="0" fontId="24" fillId="40" borderId="52" xfId="0" applyNumberFormat="1" applyFont="1" applyFill="1" applyBorder="1"/>
    <x:xf numFmtId="200" fontId="24" fillId="40" borderId="52" xfId="0" applyNumberFormat="1" applyFont="1" applyFill="1" applyBorder="1"/>
    <x:xf numFmtId="0" fontId="24" fillId="40" borderId="53" xfId="0" applyNumberFormat="1" applyFont="1" applyFill="1" applyBorder="1"/>
    <x:xf numFmtId="0" fontId="24" fillId="40" borderId="54" xfId="0" applyNumberFormat="1" applyFont="1" applyFill="1" applyBorder="1"/>
    <x:xf numFmtId="0" fontId="24" fillId="40" xfId="0" applyNumberFormat="1" applyFont="1" applyFill="1" applyBorder="0"/>
    <x:xf numFmtId="200" fontId="24" fillId="40" xfId="0" applyNumberFormat="1" applyFont="1" applyFill="1" applyBorder="0"/>
    <x:xf numFmtId="0" fontId="24" fillId="40" borderId="55" xfId="0" applyNumberFormat="1" applyFont="1" applyFill="1" applyBorder="1"/>
    <x:xf numFmtId="0" fontId="24" fillId="40" borderId="56" xfId="0" applyNumberFormat="1" applyFont="1" applyFill="1" applyBorder="1"/>
    <x:xf numFmtId="0" fontId="24" fillId="40" borderId="57" xfId="0" applyNumberFormat="1" applyFont="1" applyFill="1" applyBorder="1"/>
    <x:xf numFmtId="200" fontId="24" fillId="40" borderId="57" xfId="0" applyNumberFormat="1" applyFont="1" applyFill="1" applyBorder="1"/>
    <x:xf numFmtId="0" fontId="24" fillId="40" borderId="58" xfId="0" applyNumberFormat="1" applyFont="1" applyFill="1" applyBorder="1"/>
    <x:xf numFmtId="0" fontId="24" fillId="40" borderId="51" xfId="0" applyNumberFormat="1" applyFont="1" applyFill="1" applyBorder="1" applyAlignment="1">
      <x:alignment wrapText="1"/>
    </x:xf>
    <x:xf numFmtId="0" fontId="24" fillId="40" borderId="52" xfId="0" applyNumberFormat="1" applyFont="1" applyFill="1" applyBorder="1" applyAlignment="1">
      <x:alignment wrapText="1"/>
    </x:xf>
    <x:xf numFmtId="200" fontId="24" fillId="40" borderId="52" xfId="0" applyNumberFormat="1" applyFont="1" applyFill="1" applyBorder="1" applyAlignment="1">
      <x:alignment wrapText="1"/>
    </x:xf>
    <x:xf numFmtId="0" fontId="24" fillId="40" borderId="53" xfId="0" applyNumberFormat="1" applyFont="1" applyFill="1" applyBorder="1" applyAlignment="1">
      <x:alignment wrapText="1"/>
    </x:xf>
    <x:xf numFmtId="0" fontId="24" fillId="40" borderId="54" xfId="0" applyNumberFormat="1" applyFont="1" applyFill="1" applyBorder="1" applyAlignment="1">
      <x:alignment wrapText="1"/>
    </x:xf>
    <x:xf numFmtId="0" fontId="24" fillId="40" xfId="0" applyNumberFormat="1" applyFont="1" applyFill="1" applyBorder="0" applyAlignment="1">
      <x:alignment wrapText="1"/>
    </x:xf>
    <x:xf numFmtId="200" fontId="24" fillId="40" xfId="0" applyNumberFormat="1" applyFont="1" applyFill="1" applyBorder="0" applyAlignment="1">
      <x:alignment wrapText="1"/>
    </x:xf>
    <x:xf numFmtId="0" fontId="24" fillId="40" borderId="55" xfId="0" applyNumberFormat="1" applyFont="1" applyFill="1" applyBorder="1" applyAlignment="1">
      <x:alignment wrapText="1"/>
    </x:xf>
    <x:xf numFmtId="0" fontId="24" fillId="40" borderId="56" xfId="0" applyNumberFormat="1" applyFont="1" applyFill="1" applyBorder="1" applyAlignment="1">
      <x:alignment wrapText="1"/>
    </x:xf>
    <x:xf numFmtId="0" fontId="24" fillId="40" borderId="57" xfId="0" applyNumberFormat="1" applyFont="1" applyFill="1" applyBorder="1" applyAlignment="1">
      <x:alignment wrapText="1"/>
    </x:xf>
    <x:xf numFmtId="200" fontId="24" fillId="40" borderId="57" xfId="0" applyNumberFormat="1" applyFont="1" applyFill="1" applyBorder="1" applyAlignment="1">
      <x:alignment wrapText="1"/>
    </x:xf>
    <x:xf numFmtId="0" fontId="24" fillId="40" borderId="58" xfId="0" applyNumberFormat="1" applyFont="1" applyFill="1" applyBorder="1" applyAlignment="1">
      <x:alignment wrapText="1"/>
    </x:xf>
    <x:xf numFmtId="0" fontId="24" fillId="40" borderId="51" xfId="0" applyNumberFormat="1" applyFont="1" applyFill="1" applyBorder="1" applyAlignment="1">
      <x:alignment vertical="top" wrapText="1"/>
    </x:xf>
    <x:xf numFmtId="0" fontId="24" fillId="40" borderId="52" xfId="0" applyNumberFormat="1" applyFont="1" applyFill="1" applyBorder="1" applyAlignment="1">
      <x:alignment vertical="top" wrapText="1"/>
    </x:xf>
    <x:xf numFmtId="200" fontId="24" fillId="40" borderId="52" xfId="0" applyNumberFormat="1" applyFont="1" applyFill="1" applyBorder="1" applyAlignment="1">
      <x:alignment vertical="top" wrapText="1"/>
    </x:xf>
    <x:xf numFmtId="0" fontId="24" fillId="40" borderId="53" xfId="0" applyNumberFormat="1" applyFont="1" applyFill="1" applyBorder="1" applyAlignment="1">
      <x:alignment vertical="top" wrapText="1"/>
    </x:xf>
    <x:xf numFmtId="0" fontId="24" fillId="40" borderId="54" xfId="0" applyNumberFormat="1" applyFont="1" applyFill="1" applyBorder="1" applyAlignment="1">
      <x:alignment vertical="top" wrapText="1"/>
    </x:xf>
    <x:xf numFmtId="0" fontId="24" fillId="40" xfId="0" applyNumberFormat="1" applyFont="1" applyFill="1" applyBorder="0" applyAlignment="1">
      <x:alignment vertical="top" wrapText="1"/>
    </x:xf>
    <x:xf numFmtId="200" fontId="24" fillId="40" xfId="0" applyNumberFormat="1" applyFont="1" applyFill="1" applyBorder="0" applyAlignment="1">
      <x:alignment vertical="top" wrapText="1"/>
    </x:xf>
    <x:xf numFmtId="0" fontId="24" fillId="40" borderId="55" xfId="0" applyNumberFormat="1" applyFont="1" applyFill="1" applyBorder="1" applyAlignment="1">
      <x:alignment vertical="top" wrapText="1"/>
    </x:xf>
    <x:xf numFmtId="0" fontId="24" fillId="40" borderId="56" xfId="0" applyNumberFormat="1" applyFont="1" applyFill="1" applyBorder="1" applyAlignment="1">
      <x:alignment vertical="top" wrapText="1"/>
    </x:xf>
    <x:xf numFmtId="0" fontId="24" fillId="40" borderId="57" xfId="0" applyNumberFormat="1" applyFont="1" applyFill="1" applyBorder="1" applyAlignment="1">
      <x:alignment vertical="top" wrapText="1"/>
    </x:xf>
    <x:xf numFmtId="200" fontId="24" fillId="40" borderId="57" xfId="0" applyNumberFormat="1" applyFont="1" applyFill="1" applyBorder="1" applyAlignment="1">
      <x:alignment vertical="top" wrapText="1"/>
    </x:xf>
    <x:xf numFmtId="0" fontId="24" fillId="40" borderId="58" xfId="0" applyNumberFormat="1" applyFont="1" applyFill="1" applyBorder="1" applyAlignment="1">
      <x:alignment vertical="top" wrapText="1"/>
    </x:xf>
    <x:xf numFmtId="0" fontId="24" fillId="41" borderId="51" xfId="0" applyNumberFormat="1" applyFont="1" applyFill="1" applyBorder="1" applyAlignment="1">
      <x:alignment vertical="top" wrapText="1"/>
    </x:xf>
    <x:xf numFmtId="0" fontId="24" fillId="41" borderId="52" xfId="0" applyNumberFormat="1" applyFont="1" applyFill="1" applyBorder="1" applyAlignment="1">
      <x:alignment vertical="top" wrapText="1"/>
    </x:xf>
    <x:xf numFmtId="200" fontId="24" fillId="41" borderId="52" xfId="0" applyNumberFormat="1" applyFont="1" applyFill="1" applyBorder="1" applyAlignment="1">
      <x:alignment vertical="top" wrapText="1"/>
    </x:xf>
    <x:xf numFmtId="0" fontId="24" fillId="41" borderId="53" xfId="0" applyNumberFormat="1" applyFont="1" applyFill="1" applyBorder="1" applyAlignment="1">
      <x:alignment vertical="top" wrapText="1"/>
    </x:xf>
    <x:xf numFmtId="0" fontId="24" fillId="41" borderId="54" xfId="0" applyNumberFormat="1" applyFont="1" applyFill="1" applyBorder="1" applyAlignment="1">
      <x:alignment vertical="top" wrapText="1"/>
    </x:xf>
    <x:xf numFmtId="0" fontId="24" fillId="41" xfId="0" applyNumberFormat="1" applyFont="1" applyFill="1" applyBorder="0" applyAlignment="1">
      <x:alignment vertical="top" wrapText="1"/>
    </x:xf>
    <x:xf numFmtId="200" fontId="24" fillId="41" xfId="0" applyNumberFormat="1" applyFont="1" applyFill="1" applyBorder="0" applyAlignment="1">
      <x:alignment vertical="top" wrapText="1"/>
    </x:xf>
    <x:xf numFmtId="0" fontId="24" fillId="41" borderId="55" xfId="0" applyNumberFormat="1" applyFont="1" applyFill="1" applyBorder="1" applyAlignment="1">
      <x:alignment vertical="top" wrapText="1"/>
    </x:xf>
    <x:xf numFmtId="0" fontId="24" fillId="42" borderId="54" xfId="0" applyNumberFormat="1" applyFont="1" applyFill="1" applyBorder="1" applyAlignment="1">
      <x:alignment vertical="top" wrapText="1"/>
    </x:xf>
    <x:xf numFmtId="0" fontId="24" fillId="42" xfId="0" applyNumberFormat="1" applyFont="1" applyFill="1" applyBorder="0" applyAlignment="1">
      <x:alignment vertical="top" wrapText="1"/>
    </x:xf>
    <x:xf numFmtId="200" fontId="24" fillId="42" xfId="0" applyNumberFormat="1" applyFont="1" applyFill="1" applyBorder="0" applyAlignment="1">
      <x:alignment vertical="top" wrapText="1"/>
    </x:xf>
    <x:xf numFmtId="0" fontId="24" fillId="42" borderId="55" xfId="0" applyNumberFormat="1" applyFont="1" applyFill="1" applyBorder="1" applyAlignment="1">
      <x:alignment vertical="top" wrapText="1"/>
    </x:xf>
    <x:xf numFmtId="0" fontId="24" fillId="43" borderId="54" xfId="0" applyNumberFormat="1" applyFont="1" applyFill="1" applyBorder="1" applyAlignment="1">
      <x:alignment vertical="top" wrapText="1"/>
    </x:xf>
    <x:xf numFmtId="0" fontId="24" fillId="43" xfId="0" applyNumberFormat="1" applyFont="1" applyFill="1" applyBorder="0" applyAlignment="1">
      <x:alignment vertical="top" wrapText="1"/>
    </x:xf>
    <x:xf numFmtId="200" fontId="24" fillId="43" xfId="0" applyNumberFormat="1" applyFont="1" applyFill="1" applyBorder="0" applyAlignment="1">
      <x:alignment vertical="top" wrapText="1"/>
    </x:xf>
    <x:xf numFmtId="0" fontId="24" fillId="43" borderId="55" xfId="0" applyNumberFormat="1" applyFont="1" applyFill="1" applyBorder="1" applyAlignment="1">
      <x:alignment vertical="top" wrapText="1"/>
    </x:xf>
    <x:xf numFmtId="0" fontId="24" fillId="38" borderId="55" xfId="0" applyNumberFormat="1" applyFont="1" applyFill="1" applyBorder="1" applyAlignment="1">
      <x:alignment vertical="top" wrapText="1"/>
    </x:xf>
    <x:xf numFmtId="0" fontId="25" fillId="38" borderId="55" xfId="0" applyNumberFormat="1" applyFont="1" applyFill="1" applyBorder="1" applyAlignment="1">
      <x:alignment vertical="top" wrapText="1"/>
    </x:xf>
    <x:xf numFmtId="0" fontId="24" fillId="44" borderId="54" xfId="0" applyNumberFormat="1" applyFont="1" applyFill="1" applyBorder="1" applyAlignment="1">
      <x:alignment vertical="top" wrapText="1"/>
    </x:xf>
    <x:xf numFmtId="0" fontId="24" fillId="44" xfId="0" applyNumberFormat="1" applyFont="1" applyFill="1" applyBorder="0" applyAlignment="1">
      <x:alignment vertical="top" wrapText="1"/>
    </x:xf>
    <x:xf numFmtId="200" fontId="24" fillId="44" xfId="0" applyNumberFormat="1" applyFont="1" applyFill="1" applyBorder="0" applyAlignment="1">
      <x:alignment vertical="top" wrapText="1"/>
    </x:xf>
    <x:xf numFmtId="0" fontId="24" fillId="44" borderId="55" xfId="0" applyNumberFormat="1" applyFont="1" applyFill="1" applyBorder="1" applyAlignment="1">
      <x:alignment vertical="top" wrapText="1"/>
    </x:xf>
    <x:xf numFmtId="0" fontId="24" fillId="45" borderId="54" xfId="0" applyNumberFormat="1" applyFont="1" applyFill="1" applyBorder="1" applyAlignment="1">
      <x:alignment vertical="top" wrapText="1"/>
    </x:xf>
    <x:xf numFmtId="0" fontId="24" fillId="45" xfId="0" applyNumberFormat="1" applyFont="1" applyFill="1" applyBorder="0" applyAlignment="1">
      <x:alignment vertical="top" wrapText="1"/>
    </x:xf>
    <x:xf numFmtId="200" fontId="24" fillId="45" xfId="0" applyNumberFormat="1" applyFont="1" applyFill="1" applyBorder="0" applyAlignment="1">
      <x:alignment vertical="top" wrapText="1"/>
    </x:xf>
    <x:xf numFmtId="0" fontId="24" fillId="45" borderId="55" xfId="0" applyNumberFormat="1" applyFont="1" applyFill="1" applyBorder="1" applyAlignment="1">
      <x:alignment vertical="top" wrapText="1"/>
    </x:xf>
    <x:xf numFmtId="0" fontId="24" fillId="46" borderId="54" xfId="0" applyNumberFormat="1" applyFont="1" applyFill="1" applyBorder="1" applyAlignment="1">
      <x:alignment vertical="top" wrapText="1"/>
    </x:xf>
    <x:xf numFmtId="0" fontId="24" fillId="46" xfId="0" applyNumberFormat="1" applyFont="1" applyFill="1" applyBorder="0" applyAlignment="1">
      <x:alignment vertical="top" wrapText="1"/>
    </x:xf>
    <x:xf numFmtId="200" fontId="24" fillId="46" xfId="0" applyNumberFormat="1" applyFont="1" applyFill="1" applyBorder="0" applyAlignment="1">
      <x:alignment vertical="top" wrapText="1"/>
    </x:xf>
    <x:xf numFmtId="0" fontId="24" fillId="46" borderId="55" xfId="0" applyNumberFormat="1" applyFont="1" applyFill="1" applyBorder="1" applyAlignment="1">
      <x:alignment vertical="top" wrapText="1"/>
    </x:xf>
    <x:xf numFmtId="0" fontId="24" fillId="43" borderId="56" xfId="0" applyNumberFormat="1" applyFont="1" applyFill="1" applyBorder="1" applyAlignment="1">
      <x:alignment vertical="top" wrapText="1"/>
    </x:xf>
    <x:xf numFmtId="0" fontId="24" fillId="43" borderId="57" xfId="0" applyNumberFormat="1" applyFont="1" applyFill="1" applyBorder="1" applyAlignment="1">
      <x:alignment vertical="top" wrapText="1"/>
    </x:xf>
    <x:xf numFmtId="200" fontId="24" fillId="43" borderId="57" xfId="0" applyNumberFormat="1" applyFont="1" applyFill="1" applyBorder="1" applyAlignment="1">
      <x:alignment vertical="top" wrapText="1"/>
    </x:xf>
    <x:xf numFmtId="0" fontId="24" fillId="43" borderId="58" xfId="0" applyNumberFormat="1" applyFont="1" applyFill="1" applyBorder="1" applyAlignment="1">
      <x:alignment vertical="top" wrapText="1"/>
    </x:xf>
    <x:xf numFmtId="0" fontId="24" fillId="41" borderId="51" xfId="0" applyNumberFormat="1" applyFont="1" applyFill="1" applyBorder="1" applyAlignment="1">
      <x:alignment horizontal="center" vertical="top" wrapText="1"/>
    </x:xf>
    <x:xf numFmtId="0" fontId="24" fillId="41" borderId="54" xfId="0" applyNumberFormat="1" applyFont="1" applyFill="1" applyBorder="1" applyAlignment="1">
      <x:alignment horizontal="center" vertical="top" wrapText="1"/>
    </x:xf>
    <x:xf numFmtId="0" fontId="24" fillId="42" borderId="54" xfId="0" applyNumberFormat="1" applyFont="1" applyFill="1" applyBorder="1" applyAlignment="1">
      <x:alignment horizontal="center" vertical="top" wrapText="1"/>
    </x:xf>
    <x:xf numFmtId="0" fontId="24" fillId="43" borderId="54" xfId="0" applyNumberFormat="1" applyFont="1" applyFill="1" applyBorder="1" applyAlignment="1">
      <x:alignment horizontal="center" vertical="top" wrapText="1"/>
    </x:xf>
    <x:xf numFmtId="0" fontId="24" fillId="44" borderId="54" xfId="0" applyNumberFormat="1" applyFont="1" applyFill="1" applyBorder="1" applyAlignment="1">
      <x:alignment horizontal="center" vertical="top" wrapText="1"/>
    </x:xf>
    <x:xf numFmtId="0" fontId="24" fillId="45" borderId="54" xfId="0" applyNumberFormat="1" applyFont="1" applyFill="1" applyBorder="1" applyAlignment="1">
      <x:alignment horizontal="center" vertical="top" wrapText="1"/>
    </x:xf>
    <x:xf numFmtId="0" fontId="24" fillId="46" borderId="54" xfId="0" applyNumberFormat="1" applyFont="1" applyFill="1" applyBorder="1" applyAlignment="1">
      <x:alignment horizontal="center" vertical="top" wrapText="1"/>
    </x:xf>
    <x:xf numFmtId="0" fontId="24" fillId="43" borderId="56" xfId="0" applyNumberFormat="1" applyFont="1" applyFill="1" applyBorder="1" applyAlignment="1">
      <x:alignment horizontal="center" vertical="top" wrapText="1"/>
    </x:xf>
    <x:xf numFmtId="200" fontId="24" fillId="41" borderId="52" xfId="0" applyNumberFormat="1" applyFont="1" applyFill="1" applyBorder="1" applyAlignment="1">
      <x:alignment horizontal="center" vertical="top" wrapText="1"/>
    </x:xf>
    <x:xf numFmtId="200" fontId="24" fillId="41" xfId="0" applyNumberFormat="1" applyFont="1" applyFill="1" applyBorder="0" applyAlignment="1">
      <x:alignment horizontal="center" vertical="top" wrapText="1"/>
    </x:xf>
    <x:xf numFmtId="200" fontId="24" fillId="42" xfId="0" applyNumberFormat="1" applyFont="1" applyFill="1" applyBorder="0" applyAlignment="1">
      <x:alignment horizontal="center" vertical="top" wrapText="1"/>
    </x:xf>
    <x:xf numFmtId="200" fontId="24" fillId="43" xfId="0" applyNumberFormat="1" applyFont="1" applyFill="1" applyBorder="0" applyAlignment="1">
      <x:alignment horizontal="center" vertical="top" wrapText="1"/>
    </x:xf>
    <x:xf numFmtId="200" fontId="24" fillId="44" xfId="0" applyNumberFormat="1" applyFont="1" applyFill="1" applyBorder="0" applyAlignment="1">
      <x:alignment horizontal="center" vertical="top" wrapText="1"/>
    </x:xf>
    <x:xf numFmtId="200" fontId="24" fillId="45" xfId="0" applyNumberFormat="1" applyFont="1" applyFill="1" applyBorder="0" applyAlignment="1">
      <x:alignment horizontal="center" vertical="top" wrapText="1"/>
    </x:xf>
    <x:xf numFmtId="200" fontId="24" fillId="46" xfId="0" applyNumberFormat="1" applyFont="1" applyFill="1" applyBorder="0" applyAlignment="1">
      <x:alignment horizontal="center" vertical="top" wrapText="1"/>
    </x:xf>
    <x:xf numFmtId="200" fontId="24" fillId="43" borderId="57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vertical="center"/>
    </x:xf>
    <x:xf numFmtId="0" fontId="24" fillId="7" borderId="54" xfId="0" applyNumberFormat="1" applyFont="1" applyFill="1" applyBorder="1" applyAlignment="1">
      <x:alignment vertical="top" wrapText="1"/>
    </x:xf>
    <x:xf numFmtId="0" fontId="24" fillId="7" xfId="0" applyNumberFormat="1" applyFont="1" applyFill="1" applyBorder="0" applyAlignment="1">
      <x:alignment vertical="top" wrapText="1"/>
    </x:xf>
    <x:xf numFmtId="200" fontId="24" fillId="7" xfId="0" applyNumberFormat="1" applyFont="1" applyFill="1" applyBorder="0" applyAlignment="1">
      <x:alignment vertical="top" wrapText="1"/>
    </x:xf>
    <x:xf numFmtId="0" fontId="24" fillId="7" borderId="55" xfId="0" applyNumberFormat="1" applyFont="1" applyFill="1" applyBorder="1" applyAlignment="1">
      <x:alignment vertical="top" wrapText="1"/>
    </x:xf>
    <x:xf numFmtId="0" fontId="24" fillId="9" borderId="54" xfId="0" applyNumberFormat="1" applyFont="1" applyFill="1" applyBorder="1" applyAlignment="1">
      <x:alignment vertical="top" wrapText="1"/>
    </x:xf>
    <x:xf numFmtId="0" fontId="24" fillId="9" xfId="0" applyNumberFormat="1" applyFont="1" applyFill="1" applyBorder="0" applyAlignment="1">
      <x:alignment vertical="top" wrapText="1"/>
    </x:xf>
    <x:xf numFmtId="200" fontId="24" fillId="9" xfId="0" applyNumberFormat="1" applyFont="1" applyFill="1" applyBorder="0" applyAlignment="1">
      <x:alignment vertical="top" wrapText="1"/>
    </x:xf>
    <x:xf numFmtId="0" fontId="24" fillId="9" borderId="55" xfId="0" applyNumberFormat="1" applyFont="1" applyFill="1" applyBorder="1" applyAlignment="1">
      <x:alignment vertical="top" wrapText="1"/>
    </x:xf>
    <x:xf numFmtId="0" fontId="24" fillId="10" borderId="54" xfId="0" applyNumberFormat="1" applyFont="1" applyFill="1" applyBorder="1" applyAlignment="1">
      <x:alignment vertical="top" wrapText="1"/>
    </x:xf>
    <x:xf numFmtId="0" fontId="24" fillId="10" xfId="0" applyNumberFormat="1" applyFont="1" applyFill="1" applyBorder="0" applyAlignment="1">
      <x:alignment vertical="top" wrapText="1"/>
    </x:xf>
    <x:xf numFmtId="200" fontId="24" fillId="10" xfId="0" applyNumberFormat="1" applyFont="1" applyFill="1" applyBorder="0" applyAlignment="1">
      <x:alignment vertical="top" wrapText="1"/>
    </x:xf>
    <x:xf numFmtId="0" fontId="24" fillId="10" borderId="55" xfId="0" applyNumberFormat="1" applyFont="1" applyFill="1" applyBorder="1" applyAlignment="1">
      <x:alignment vertical="top" wrapText="1"/>
    </x:xf>
    <x:xf numFmtId="0" fontId="24" fillId="7" borderId="56" xfId="0" applyNumberFormat="1" applyFont="1" applyFill="1" applyBorder="1" applyAlignment="1">
      <x:alignment vertical="top" wrapText="1"/>
    </x:xf>
    <x:xf numFmtId="0" fontId="24" fillId="7" borderId="57" xfId="0" applyNumberFormat="1" applyFont="1" applyFill="1" applyBorder="1" applyAlignment="1">
      <x:alignment vertical="top" wrapText="1"/>
    </x:xf>
    <x:xf numFmtId="200" fontId="24" fillId="7" borderId="57" xfId="0" applyNumberFormat="1" applyFont="1" applyFill="1" applyBorder="1" applyAlignment="1">
      <x:alignment vertical="top" wrapText="1"/>
    </x:xf>
    <x:xf numFmtId="0" fontId="24" fillId="7" borderId="58" xfId="0" applyNumberFormat="1" applyFont="1" applyFill="1" applyBorder="1" applyAlignment="1">
      <x:alignment vertical="top" wrapText="1"/>
    </x:xf>
    <x:xf numFmtId="0" fontId="24" fillId="7" borderId="54" xfId="0" applyNumberFormat="1" applyFont="1" applyFill="1" applyBorder="1" applyAlignment="1">
      <x:alignment horizontal="center" vertical="top" wrapText="1"/>
    </x:xf>
    <x:xf numFmtId="0" fontId="24" fillId="9" borderId="54" xfId="0" applyNumberFormat="1" applyFont="1" applyFill="1" applyBorder="1" applyAlignment="1">
      <x:alignment horizontal="center" vertical="top" wrapText="1"/>
    </x:xf>
    <x:xf numFmtId="0" fontId="24" fillId="10" borderId="54" xfId="0" applyNumberFormat="1" applyFont="1" applyFill="1" applyBorder="1" applyAlignment="1">
      <x:alignment horizontal="center" vertical="top" wrapText="1"/>
    </x:xf>
    <x:xf numFmtId="0" fontId="24" fillId="7" borderId="56" xfId="0" applyNumberFormat="1" applyFont="1" applyFill="1" applyBorder="1" applyAlignment="1">
      <x:alignment horizontal="center" vertical="top" wrapText="1"/>
    </x:xf>
    <x:xf numFmtId="200" fontId="24" fillId="7" xfId="0" applyNumberFormat="1" applyFont="1" applyFill="1" applyBorder="0" applyAlignment="1">
      <x:alignment horizontal="center" vertical="top" wrapText="1"/>
    </x:xf>
    <x:xf numFmtId="200" fontId="24" fillId="9" xfId="0" applyNumberFormat="1" applyFont="1" applyFill="1" applyBorder="0" applyAlignment="1">
      <x:alignment horizontal="center" vertical="top" wrapText="1"/>
    </x:xf>
    <x:xf numFmtId="200" fontId="24" fillId="10" xfId="0" applyNumberFormat="1" applyFont="1" applyFill="1" applyBorder="0" applyAlignment="1">
      <x:alignment horizontal="center" vertical="top" wrapText="1"/>
    </x:xf>
    <x:xf numFmtId="200" fontId="24" fillId="7" borderId="57" xfId="0" applyNumberFormat="1" applyFont="1" applyFill="1" applyBorder="1" applyAlignment="1">
      <x:alignment horizontal="center" vertical="top" wrapText="1"/>
    </x:xf>
    <x:xf numFmtId="0" fontId="0" fillId="47" borderId="0" xfId="0" applyNumberFormat="1" applyFont="1" applyFill="1" applyBorder="1"/>
    <x:xf numFmtId="0" fontId="16" fillId="47" borderId="0" xfId="0" applyNumberFormat="1" applyFont="1" applyFill="1" applyBorder="1"/>
    <x:xf numFmtId="0" fontId="16" fillId="47" borderId="0" xfId="0" applyNumberFormat="1" applyFont="1" applyFill="1" applyBorder="1" applyAlignment="1">
      <x:alignment vertical="center"/>
    </x:xf>
    <x:xf numFmtId="0" fontId="0" fillId="48" borderId="0" xfId="0" applyNumberFormat="1" applyFont="1" applyFill="1" applyBorder="1"/>
    <x:xf numFmtId="0" fontId="22" fillId="48" borderId="0" xfId="0" applyNumberFormat="1" applyFont="1" applyFill="1" applyBorder="1"/>
    <x:xf numFmtId="0" fontId="22" fillId="48" borderId="0" xfId="0" applyNumberFormat="1" applyFont="1" applyFill="1" applyBorder="1" applyAlignment="1">
      <x:alignment wrapText="1"/>
    </x:xf>
    <x:xf numFmtId="0" fontId="22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/>
    <x:xf numFmtId="0" fontId="26" fillId="49" borderId="0" xfId="0" applyNumberFormat="1" applyFont="1" applyFill="1" applyBorder="1"/>
    <x:xf numFmtId="0" fontId="26" fillId="49" borderId="48" xfId="0" applyNumberFormat="1" applyFont="1" applyFill="1" applyBorder="1"/>
    <x:xf numFmtId="0" fontId="26" fillId="49" borderId="49" xfId="0" applyNumberFormat="1" applyFont="1" applyFill="1" applyBorder="1"/>
    <x:xf numFmtId="0" fontId="26" fillId="49" borderId="50" xfId="0" applyNumberFormat="1" applyFont="1" applyFill="1" applyBorder="1"/>
    <x:xf numFmtId="0" fontId="26" fillId="49" borderId="48" xfId="0" applyNumberFormat="1" applyFont="1" applyFill="1" applyBorder="1" applyAlignment="1">
      <x:alignment wrapText="1"/>
    </x:xf>
    <x:xf numFmtId="0" fontId="26" fillId="49" borderId="49" xfId="0" applyNumberFormat="1" applyFont="1" applyFill="1" applyBorder="1" applyAlignment="1">
      <x:alignment wrapText="1"/>
    </x:xf>
    <x:xf numFmtId="0" fontId="26" fillId="49" borderId="50" xfId="0" applyNumberFormat="1" applyFont="1" applyFill="1" applyBorder="1" applyAlignment="1">
      <x:alignment wrapText="1"/>
    </x:xf>
    <x:xf numFmtId="0" fontId="26" fillId="49" borderId="48" xfId="0" applyNumberFormat="1" applyFont="1" applyFill="1" applyBorder="1" applyAlignment="1">
      <x:alignment horizontal="center" wrapText="1"/>
    </x:xf>
    <x:xf numFmtId="0" fontId="26" fillId="49" borderId="49" xfId="0" applyNumberFormat="1" applyFont="1" applyFill="1" applyBorder="1" applyAlignment="1">
      <x:alignment horizontal="center" wrapText="1"/>
    </x:xf>
    <x:xf numFmtId="0" fontId="26" fillId="49" borderId="50" xfId="0" applyNumberFormat="1" applyFont="1" applyFill="1" applyBorder="1" applyAlignment="1">
      <x:alignment horizontal="center" wrapText="1"/>
    </x:xf>
    <x:xf numFmtId="0" fontId="26" fillId="49" borderId="48" xfId="0" applyNumberFormat="1" applyFont="1" applyFill="1" applyBorder="1" applyAlignment="1">
      <x:alignment horizontal="center" vertical="center" wrapText="1"/>
    </x:xf>
    <x:xf numFmtId="0" fontId="26" fillId="49" borderId="49" xfId="0" applyNumberFormat="1" applyFont="1" applyFill="1" applyBorder="1" applyAlignment="1">
      <x:alignment horizontal="center" vertical="center" wrapText="1"/>
    </x:xf>
    <x:xf numFmtId="0" fontId="26" fillId="49" borderId="50" xfId="0" applyNumberFormat="1" applyFont="1" applyFill="1" applyBorder="1" applyAlignment="1">
      <x:alignment horizontal="center" vertical="center" wrapText="1"/>
    </x:xf>
    <x:xf numFmtId="0" fontId="0" fillId="50" borderId="0" xfId="0" applyNumberFormat="1" applyFont="1" applyFill="1" applyBorder="1"/>
    <x:xf numFmtId="200" fontId="0" fillId="50" borderId="0" xfId="0" applyNumberFormat="1" applyFont="1" applyFill="1" applyBorder="1"/>
    <x:xf numFmtId="0" fontId="27" fillId="50" borderId="0" xfId="0" applyNumberFormat="1" applyFont="1" applyFill="1" applyBorder="1"/>
    <x:xf numFmtId="200" fontId="27" fillId="50" borderId="0" xfId="0" applyNumberFormat="1" applyFont="1" applyFill="1" applyBorder="1"/>
    <x:xf numFmtId="0" fontId="27" fillId="50" borderId="51" xfId="0" applyNumberFormat="1" applyFont="1" applyFill="1" applyBorder="1"/>
    <x:xf numFmtId="0" fontId="27" fillId="50" borderId="52" xfId="0" applyNumberFormat="1" applyFont="1" applyFill="1" applyBorder="1"/>
    <x:xf numFmtId="200" fontId="27" fillId="50" borderId="52" xfId="0" applyNumberFormat="1" applyFont="1" applyFill="1" applyBorder="1"/>
    <x:xf numFmtId="0" fontId="27" fillId="50" borderId="53" xfId="0" applyNumberFormat="1" applyFont="1" applyFill="1" applyBorder="1"/>
    <x:xf numFmtId="0" fontId="27" fillId="50" borderId="54" xfId="0" applyNumberFormat="1" applyFont="1" applyFill="1" applyBorder="1"/>
    <x:xf numFmtId="0" fontId="27" fillId="50" xfId="0" applyNumberFormat="1" applyFont="1" applyFill="1" applyBorder="0"/>
    <x:xf numFmtId="200" fontId="27" fillId="50" xfId="0" applyNumberFormat="1" applyFont="1" applyFill="1" applyBorder="0"/>
    <x:xf numFmtId="0" fontId="27" fillId="50" borderId="55" xfId="0" applyNumberFormat="1" applyFont="1" applyFill="1" applyBorder="1"/>
    <x:xf numFmtId="0" fontId="27" fillId="50" borderId="56" xfId="0" applyNumberFormat="1" applyFont="1" applyFill="1" applyBorder="1"/>
    <x:xf numFmtId="0" fontId="27" fillId="50" borderId="57" xfId="0" applyNumberFormat="1" applyFont="1" applyFill="1" applyBorder="1"/>
    <x:xf numFmtId="200" fontId="27" fillId="50" borderId="57" xfId="0" applyNumberFormat="1" applyFont="1" applyFill="1" applyBorder="1"/>
    <x:xf numFmtId="0" fontId="27" fillId="50" borderId="58" xfId="0" applyNumberFormat="1" applyFont="1" applyFill="1" applyBorder="1"/>
    <x:xf numFmtId="0" fontId="27" fillId="50" borderId="51" xfId="0" applyNumberFormat="1" applyFont="1" applyFill="1" applyBorder="1" applyAlignment="1">
      <x:alignment wrapText="1"/>
    </x:xf>
    <x:xf numFmtId="0" fontId="27" fillId="50" borderId="52" xfId="0" applyNumberFormat="1" applyFont="1" applyFill="1" applyBorder="1" applyAlignment="1">
      <x:alignment wrapText="1"/>
    </x:xf>
    <x:xf numFmtId="200" fontId="27" fillId="50" borderId="52" xfId="0" applyNumberFormat="1" applyFont="1" applyFill="1" applyBorder="1" applyAlignment="1">
      <x:alignment wrapText="1"/>
    </x:xf>
    <x:xf numFmtId="0" fontId="27" fillId="50" borderId="53" xfId="0" applyNumberFormat="1" applyFont="1" applyFill="1" applyBorder="1" applyAlignment="1">
      <x:alignment wrapText="1"/>
    </x:xf>
    <x:xf numFmtId="0" fontId="27" fillId="50" borderId="54" xfId="0" applyNumberFormat="1" applyFont="1" applyFill="1" applyBorder="1" applyAlignment="1">
      <x:alignment wrapText="1"/>
    </x:xf>
    <x:xf numFmtId="0" fontId="27" fillId="50" xfId="0" applyNumberFormat="1" applyFont="1" applyFill="1" applyBorder="0" applyAlignment="1">
      <x:alignment wrapText="1"/>
    </x:xf>
    <x:xf numFmtId="200" fontId="27" fillId="50" xfId="0" applyNumberFormat="1" applyFont="1" applyFill="1" applyBorder="0" applyAlignment="1">
      <x:alignment wrapText="1"/>
    </x:xf>
    <x:xf numFmtId="0" fontId="27" fillId="50" borderId="55" xfId="0" applyNumberFormat="1" applyFont="1" applyFill="1" applyBorder="1" applyAlignment="1">
      <x:alignment wrapText="1"/>
    </x:xf>
    <x:xf numFmtId="0" fontId="27" fillId="50" borderId="56" xfId="0" applyNumberFormat="1" applyFont="1" applyFill="1" applyBorder="1" applyAlignment="1">
      <x:alignment wrapText="1"/>
    </x:xf>
    <x:xf numFmtId="0" fontId="27" fillId="50" borderId="57" xfId="0" applyNumberFormat="1" applyFont="1" applyFill="1" applyBorder="1" applyAlignment="1">
      <x:alignment wrapText="1"/>
    </x:xf>
    <x:xf numFmtId="200" fontId="27" fillId="50" borderId="57" xfId="0" applyNumberFormat="1" applyFont="1" applyFill="1" applyBorder="1" applyAlignment="1">
      <x:alignment wrapText="1"/>
    </x:xf>
    <x:xf numFmtId="0" fontId="27" fillId="50" borderId="58" xfId="0" applyNumberFormat="1" applyFont="1" applyFill="1" applyBorder="1" applyAlignment="1">
      <x:alignment wrapText="1"/>
    </x:xf>
    <x:xf numFmtId="0" fontId="27" fillId="50" borderId="51" xfId="0" applyNumberFormat="1" applyFont="1" applyFill="1" applyBorder="1" applyAlignment="1">
      <x:alignment vertical="top" wrapText="1"/>
    </x:xf>
    <x:xf numFmtId="0" fontId="27" fillId="50" borderId="52" xfId="0" applyNumberFormat="1" applyFont="1" applyFill="1" applyBorder="1" applyAlignment="1">
      <x:alignment vertical="top" wrapText="1"/>
    </x:xf>
    <x:xf numFmtId="200" fontId="27" fillId="50" borderId="52" xfId="0" applyNumberFormat="1" applyFont="1" applyFill="1" applyBorder="1" applyAlignment="1">
      <x:alignment vertical="top" wrapText="1"/>
    </x:xf>
    <x:xf numFmtId="0" fontId="27" fillId="50" borderId="53" xfId="0" applyNumberFormat="1" applyFont="1" applyFill="1" applyBorder="1" applyAlignment="1">
      <x:alignment vertical="top" wrapText="1"/>
    </x:xf>
    <x:xf numFmtId="0" fontId="27" fillId="50" borderId="54" xfId="0" applyNumberFormat="1" applyFont="1" applyFill="1" applyBorder="1" applyAlignment="1">
      <x:alignment vertical="top" wrapText="1"/>
    </x:xf>
    <x:xf numFmtId="0" fontId="27" fillId="50" xfId="0" applyNumberFormat="1" applyFont="1" applyFill="1" applyBorder="0" applyAlignment="1">
      <x:alignment vertical="top" wrapText="1"/>
    </x:xf>
    <x:xf numFmtId="200" fontId="27" fillId="50" xfId="0" applyNumberFormat="1" applyFont="1" applyFill="1" applyBorder="0" applyAlignment="1">
      <x:alignment vertical="top" wrapText="1"/>
    </x:xf>
    <x:xf numFmtId="0" fontId="27" fillId="50" borderId="55" xfId="0" applyNumberFormat="1" applyFont="1" applyFill="1" applyBorder="1" applyAlignment="1">
      <x:alignment vertical="top" wrapText="1"/>
    </x:xf>
    <x:xf numFmtId="0" fontId="27" fillId="50" borderId="56" xfId="0" applyNumberFormat="1" applyFont="1" applyFill="1" applyBorder="1" applyAlignment="1">
      <x:alignment vertical="top" wrapText="1"/>
    </x:xf>
    <x:xf numFmtId="0" fontId="27" fillId="50" borderId="57" xfId="0" applyNumberFormat="1" applyFont="1" applyFill="1" applyBorder="1" applyAlignment="1">
      <x:alignment vertical="top" wrapText="1"/>
    </x:xf>
    <x:xf numFmtId="200" fontId="27" fillId="50" borderId="57" xfId="0" applyNumberFormat="1" applyFont="1" applyFill="1" applyBorder="1" applyAlignment="1">
      <x:alignment vertical="top" wrapText="1"/>
    </x:xf>
    <x:xf numFmtId="0" fontId="27" fillId="50" borderId="58" xfId="0" applyNumberFormat="1" applyFont="1" applyFill="1" applyBorder="1" applyAlignment="1">
      <x:alignment vertical="top" wrapText="1"/>
    </x:xf>
    <x:xf numFmtId="0" fontId="27" fillId="51" borderId="54" xfId="0" applyNumberFormat="1" applyFont="1" applyFill="1" applyBorder="1" applyAlignment="1">
      <x:alignment vertical="top" wrapText="1"/>
    </x:xf>
    <x:xf numFmtId="0" fontId="27" fillId="51" xfId="0" applyNumberFormat="1" applyFont="1" applyFill="1" applyBorder="0" applyAlignment="1">
      <x:alignment vertical="top" wrapText="1"/>
    </x:xf>
    <x:xf numFmtId="200" fontId="27" fillId="51" xfId="0" applyNumberFormat="1" applyFont="1" applyFill="1" applyBorder="0" applyAlignment="1">
      <x:alignment vertical="top" wrapText="1"/>
    </x:xf>
    <x:xf numFmtId="0" fontId="27" fillId="51" borderId="55" xfId="0" applyNumberFormat="1" applyFont="1" applyFill="1" applyBorder="1" applyAlignment="1">
      <x:alignment vertical="top" wrapText="1"/>
    </x:xf>
    <x:xf numFmtId="0" fontId="27" fillId="51" borderId="56" xfId="0" applyNumberFormat="1" applyFont="1" applyFill="1" applyBorder="1" applyAlignment="1">
      <x:alignment vertical="top" wrapText="1"/>
    </x:xf>
    <x:xf numFmtId="0" fontId="27" fillId="51" borderId="57" xfId="0" applyNumberFormat="1" applyFont="1" applyFill="1" applyBorder="1" applyAlignment="1">
      <x:alignment vertical="top" wrapText="1"/>
    </x:xf>
    <x:xf numFmtId="200" fontId="27" fillId="51" borderId="57" xfId="0" applyNumberFormat="1" applyFont="1" applyFill="1" applyBorder="1" applyAlignment="1">
      <x:alignment vertical="top" wrapText="1"/>
    </x:xf>
    <x:xf numFmtId="0" fontId="27" fillId="51" borderId="58" xfId="0" applyNumberFormat="1" applyFont="1" applyFill="1" applyBorder="1" applyAlignment="1">
      <x:alignment vertical="top" wrapText="1"/>
    </x:xf>
    <x:xf numFmtId="0" fontId="27" fillId="52" borderId="54" xfId="0" applyNumberFormat="1" applyFont="1" applyFill="1" applyBorder="1" applyAlignment="1">
      <x:alignment vertical="top" wrapText="1"/>
    </x:xf>
    <x:xf numFmtId="0" fontId="27" fillId="52" xfId="0" applyNumberFormat="1" applyFont="1" applyFill="1" applyBorder="0" applyAlignment="1">
      <x:alignment vertical="top" wrapText="1"/>
    </x:xf>
    <x:xf numFmtId="200" fontId="27" fillId="52" xfId="0" applyNumberFormat="1" applyFont="1" applyFill="1" applyBorder="0" applyAlignment="1">
      <x:alignment vertical="top" wrapText="1"/>
    </x:xf>
    <x:xf numFmtId="0" fontId="27" fillId="52" borderId="55" xfId="0" applyNumberFormat="1" applyFont="1" applyFill="1" applyBorder="1" applyAlignment="1">
      <x:alignment vertical="top" wrapText="1"/>
    </x:xf>
    <x:xf numFmtId="0" fontId="27" fillId="52" borderId="56" xfId="0" applyNumberFormat="1" applyFont="1" applyFill="1" applyBorder="1" applyAlignment="1">
      <x:alignment vertical="top" wrapText="1"/>
    </x:xf>
    <x:xf numFmtId="0" fontId="27" fillId="52" borderId="57" xfId="0" applyNumberFormat="1" applyFont="1" applyFill="1" applyBorder="1" applyAlignment="1">
      <x:alignment vertical="top" wrapText="1"/>
    </x:xf>
    <x:xf numFmtId="200" fontId="27" fillId="52" borderId="57" xfId="0" applyNumberFormat="1" applyFont="1" applyFill="1" applyBorder="1" applyAlignment="1">
      <x:alignment vertical="top" wrapText="1"/>
    </x:xf>
    <x:xf numFmtId="0" fontId="27" fillId="52" borderId="58" xfId="0" applyNumberFormat="1" applyFont="1" applyFill="1" applyBorder="1" applyAlignment="1">
      <x:alignment vertical="top" wrapText="1"/>
    </x:xf>
    <x:xf numFmtId="0" fontId="23" fillId="49" borderId="0" xfId="0" applyNumberFormat="1" applyFont="1" applyFill="1" applyBorder="1"/>
    <x:xf numFmtId="0" fontId="23" fillId="49" borderId="0" xfId="0" applyNumberFormat="1" applyFont="1" applyFill="1" applyBorder="1" applyAlignment="1">
      <x:alignment wrapText="1"/>
    </x:xf>
    <x:xf numFmtId="0" fontId="23" fillId="49" borderId="0" xfId="0" applyNumberFormat="1" applyFont="1" applyFill="1" applyBorder="1" applyAlignment="1">
      <x:alignment horizontal="center" wrapText="1"/>
    </x:xf>
    <x:xf numFmtId="0" fontId="23" fillId="49" borderId="0" xfId="0" applyNumberFormat="1" applyFont="1" applyFill="1" applyBorder="1" applyAlignment="1">
      <x:alignment horizontal="center" vertical="center" wrapText="1"/>
    </x:xf>
    <x:xf numFmtId="0" fontId="24" fillId="50" borderId="0" xfId="0" applyNumberFormat="1" applyFont="1" applyFill="1" applyBorder="1"/>
    <x:xf numFmtId="0" fontId="24" fillId="50" xfId="0" applyNumberFormat="1" applyFont="1" applyFill="1" applyBorder="0"/>
    <x:xf numFmtId="0" fontId="24" fillId="50" borderId="57" xfId="0" applyNumberFormat="1" applyFont="1" applyFill="1" applyBorder="1"/>
    <x:xf numFmtId="0" fontId="24" fillId="50" xfId="0" applyNumberFormat="1" applyFont="1" applyFill="1" applyBorder="0" applyAlignment="1">
      <x:alignment wrapText="1"/>
    </x:xf>
    <x:xf numFmtId="0" fontId="24" fillId="50" borderId="57" xfId="0" applyNumberFormat="1" applyFont="1" applyFill="1" applyBorder="1" applyAlignment="1">
      <x:alignment wrapText="1"/>
    </x:xf>
    <x:xf numFmtId="0" fontId="24" fillId="50" xfId="0" applyNumberFormat="1" applyFont="1" applyFill="1" applyBorder="0" applyAlignment="1">
      <x:alignment vertical="top" wrapText="1"/>
    </x:xf>
    <x:xf numFmtId="0" fontId="24" fillId="50" borderId="57" xfId="0" applyNumberFormat="1" applyFont="1" applyFill="1" applyBorder="1" applyAlignment="1">
      <x:alignment vertical="top" wrapText="1"/>
    </x:xf>
    <x:xf numFmtId="0" fontId="26" fillId="49" borderId="0" xfId="0" applyNumberFormat="1" applyFont="1" applyFill="1" applyBorder="1" applyAlignment="1">
      <x:alignment wrapText="1"/>
    </x:xf>
    <x:xf numFmtId="0" fontId="26" fillId="49" borderId="0" xfId="0" applyNumberFormat="1" applyFont="1" applyFill="1" applyBorder="1" applyAlignment="1">
      <x:alignment horizontal="center" wrapText="1"/>
    </x:xf>
    <x:xf numFmtId="0" fontId="26" fillId="49" borderId="0" xfId="0" applyNumberFormat="1" applyFont="1" applyFill="1" applyBorder="1" applyAlignment="1">
      <x:alignment horizontal="center" vertical="center" wrapText="1"/>
    </x:xf>
    <x:xf numFmtId="200" fontId="27" fillId="50" borderId="53" xfId="0" applyNumberFormat="1" applyFont="1" applyFill="1" applyBorder="1"/>
    <x:xf numFmtId="200" fontId="27" fillId="50" borderId="55" xfId="0" applyNumberFormat="1" applyFont="1" applyFill="1" applyBorder="1"/>
    <x:xf numFmtId="200" fontId="27" fillId="50" borderId="58" xfId="0" applyNumberFormat="1" applyFont="1" applyFill="1" applyBorder="1"/>
    <x:xf numFmtId="200" fontId="27" fillId="50" borderId="53" xfId="0" applyNumberFormat="1" applyFont="1" applyFill="1" applyBorder="1" applyAlignment="1">
      <x:alignment wrapText="1"/>
    </x:xf>
    <x:xf numFmtId="200" fontId="27" fillId="50" borderId="55" xfId="0" applyNumberFormat="1" applyFont="1" applyFill="1" applyBorder="1" applyAlignment="1">
      <x:alignment wrapText="1"/>
    </x:xf>
    <x:xf numFmtId="200" fontId="27" fillId="50" borderId="58" xfId="0" applyNumberFormat="1" applyFont="1" applyFill="1" applyBorder="1" applyAlignment="1">
      <x:alignment wrapText="1"/>
    </x:xf>
    <x:xf numFmtId="200" fontId="27" fillId="50" borderId="53" xfId="0" applyNumberFormat="1" applyFont="1" applyFill="1" applyBorder="1" applyAlignment="1">
      <x:alignment vertical="top" wrapText="1"/>
    </x:xf>
    <x:xf numFmtId="200" fontId="27" fillId="50" borderId="55" xfId="0" applyNumberFormat="1" applyFont="1" applyFill="1" applyBorder="1" applyAlignment="1">
      <x:alignment vertical="top" wrapText="1"/>
    </x:xf>
    <x:xf numFmtId="200" fontId="27" fillId="50" borderId="58" xfId="0" applyNumberFormat="1" applyFont="1" applyFill="1" applyBorder="1" applyAlignment="1">
      <x:alignment vertical="top" wrapText="1"/>
    </x:xf>
    <x:xf numFmtId="200" fontId="27" fillId="52" borderId="55" xfId="0" applyNumberFormat="1" applyFont="1" applyFill="1" applyBorder="1" applyAlignment="1">
      <x:alignment vertical="top" wrapText="1"/>
    </x:xf>
    <x:xf numFmtId="200" fontId="27" fillId="52" borderId="58" xfId="0" applyNumberFormat="1" applyFont="1" applyFill="1" applyBorder="1" applyAlignment="1">
      <x:alignment vertical="top" wrapText="1"/>
    </x:xf>
  </x:cellXfs>
  <x:cellStyles count="1">
    <x:cellStyle name="Normal" xfId="0"/>
  </x:cellStyles>
  <x:dxfs count="17"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1E7B34"/>
        <x:name val="Arial"/>
      </x:font>
      <x:fill>
        <x:patternFill>
          <x:bgColor rgb="FFE4F2E4"/>
        </x:patternFill>
      </x:fill>
    </x:dxf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C0392B"/>
        <x:name val="Arial"/>
      </x:font>
      <x:fill>
        <x:patternFill>
          <x:bgColor rgb="FFFBDDDC"/>
        </x:patternFill>
      </x:fill>
    </x:dxf>
    <x:dxf>
      <x:font>
        <x:b/>
        <x:sz val="9"/>
        <x:color rgb="FF1E7B34"/>
        <x:name val="Arial"/>
      </x:font>
      <x:fill>
        <x:patternFill>
          <x:bgColor rgb="FFE4F2E4"/>
        </x:patternFill>
      </x:fill>
    </x:dxf>
    <x:dxf>
      <x:fill>
        <x:patternFill>
          <x:bgColor rgb="FFE8EDF5"/>
        </x:patternFill>
      </x:fill>
    </x:dxf>
    <x:dxf>
      <x:fill>
        <x:patternFill>
          <x:bgColor rgb="FFD6E4F7"/>
        </x:patternFill>
      </x:fill>
    </x:dxf>
    <x:dxf>
      <x:font>
        <x:b/>
        <x:sz val="9"/>
        <x:color rgb="FFFFFFFF"/>
        <x:name val="Arial"/>
      </x:font>
      <x:fill>
        <x:patternFill>
          <x:bgColor rgb="FF12294D"/>
        </x:patternFill>
      </x:fill>
    </x:dxf>
    <x:dxf>
      <x:fill>
        <x:patternFill>
          <x:bgColor rgb="FFFBDDD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E7B34"/>
      <x:rgbColor rgb="FF000080"/>
      <x:rgbColor rgb="FFB98600"/>
      <x:rgbColor rgb="FF800080"/>
      <x:rgbColor rgb="FF008080"/>
      <x:rgbColor rgb="FFD6E4F7"/>
      <x:rgbColor rgb="FF808080"/>
      <x:rgbColor rgb="FF9999FF"/>
      <x:rgbColor rgb="FF993366"/>
      <x:rgbColor rgb="FFFFF6DC"/>
      <x:rgbColor rgb="FFE8EDF5"/>
      <x:rgbColor rgb="FF660066"/>
      <x:rgbColor rgb="FFFF8080"/>
      <x:rgbColor rgb="FF0066CC"/>
      <x:rgbColor rgb="FFC9D3E4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EF2F8"/>
      <x:rgbColor rgb="FFE4F2E4"/>
      <x:rgbColor rgb="FFF4F6FA"/>
      <x:rgbColor rgb="FF99CCFF"/>
      <x:rgbColor rgb="FFFF99CC"/>
      <x:rgbColor rgb="FFCC99FF"/>
      <x:rgbColor rgb="FFFBDDDC"/>
      <x:rgbColor rgb="FF3366FF"/>
      <x:rgbColor rgb="FF33CCCC"/>
      <x:rgbColor rgb="FF99CC00"/>
      <x:rgbColor rgb="FFFFC000"/>
      <x:rgbColor rgb="FFFF9900"/>
      <x:rgbColor rgb="FFFF6600"/>
      <x:rgbColor rgb="FF5A6472"/>
      <x:rgbColor rgb="FF969696"/>
      <x:rgbColor rgb="FF12294D"/>
      <x:rgbColor rgb="FF339966"/>
      <x:rgbColor rgb="FF003300"/>
      <x:rgbColor rgb="FF333300"/>
      <x:rgbColor rgb="FFC0392B"/>
      <x:rgbColor rgb="FF993366"/>
      <x:rgbColor rgb="FF1F3A66"/>
      <x:rgbColor rgb="FF1C1C1C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0f7a644724ebc" /><Relationship Type="http://schemas.openxmlformats.org/officeDocument/2006/relationships/theme" Target="/xl/theme/theme1.xml" Id="Rdff9e71b419649f0" /><Relationship Type="http://schemas.openxmlformats.org/officeDocument/2006/relationships/sharedStrings" Target="/xl/sharedStrings.xml" Id="R4dce6a645dd84776" /><Relationship Type="http://schemas.openxmlformats.org/officeDocument/2006/relationships/worksheet" Target="/xl/worksheets/sheet1.xml" Id="R24d089b2f94b49b3" /><Relationship Type="http://schemas.openxmlformats.org/officeDocument/2006/relationships/worksheet" Target="/xl/worksheets/sheet2.xml" Id="R40fbee73bfa94a82" /><Relationship Type="http://schemas.openxmlformats.org/officeDocument/2006/relationships/worksheet" Target="/xl/worksheets/sheet3.xml" Id="R7e84575eadb448c8" /><Relationship Type="http://schemas.openxmlformats.org/officeDocument/2006/relationships/worksheet" Target="/xl/worksheets/sheet4.xml" Id="R87876f1c35ee475d" /><Relationship Type="http://schemas.openxmlformats.org/officeDocument/2006/relationships/worksheet" Target="/xl/worksheets/sheet5.xml" Id="R5cbe2025729c4140" /><Relationship Type="http://schemas.openxmlformats.org/officeDocument/2006/relationships/worksheet" Target="/xl/worksheets/sheet6.xml" Id="R66984b67753b411d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10" hidden="0" customWidth="1"/>
    <x:col min="2" max="2" width="25" hidden="0" customWidth="1"/>
    <x:col min="3" max="3" width="55" hidden="0" customWidth="1"/>
    <x:col min="4" max="4" width="12" hidden="0" customWidth="1"/>
    <x:col min="5" max="5" width="35" hidden="0" customWidth="1"/>
    <x:col min="6" max="6" width="45" hidden="0" customWidth="1"/>
    <x:col min="7" max="7" width="20" hidden="0" customWidth="1"/>
  </x:cols>
  <x:sheetData>
    <x:row r="1" ht="30" customHeight="1">
      <x:c r="A1" s="828" t="str">
        <x:v>INTERESADOS DEL PROYECTO HUATA</x:v>
      </x:c>
      <x:c r="B1" s="828"/>
      <x:c r="C1" s="828"/>
      <x:c r="D1" s="828"/>
      <x:c r="E1" s="828"/>
      <x:c r="F1" s="828"/>
      <x:c r="G1" s="828"/>
    </x:row>
    <x:row r="2" ht="18" customHeight="1">
      <x:c r="A2" s="831" t="str">
        <x:v>Actores y grupos relacionados con las Historias de Usuario y actividades EDT del cronograma oficial.</x:v>
      </x:c>
      <x:c r="B2" s="831"/>
      <x:c r="C2" s="831"/>
      <x:c r="D2" s="831"/>
      <x:c r="E2" s="831"/>
      <x:c r="F2" s="831"/>
      <x:c r="G2" s="831"/>
    </x:row>
    <x:row r="3">
      <x:c r="A3"/>
      <x:c r="B3"/>
      <x:c r="C3"/>
      <x:c r="D3"/>
      <x:c r="E3"/>
      <x:c r="F3"/>
    </x:row>
    <x:row r="4" ht="27.75" customHeight="1">
      <x:c r="A4" s="907" t="str">
        <x:v>ID</x:v>
      </x:c>
      <x:c r="B4" s="907" t="str">
        <x:v>Interesado / Rol</x:v>
      </x:c>
      <x:c r="C4" s="907" t="str">
        <x:v>Necesidad principal</x:v>
      </x:c>
      <x:c r="D4" s="907" t="str">
        <x:v>Influencia</x:v>
      </x:c>
      <x:c r="E4" s="907" t="str">
        <x:v>HU relacionadas</x:v>
      </x:c>
      <x:c r="F4" s="907" t="str">
        <x:v>EDT relacionadas</x:v>
      </x:c>
      <x:c r="G4" s="907" t="str">
        <x:v>Periodo principal</x:v>
      </x:c>
    </x:row>
    <x:row r="5" ht="45" customHeight="1">
      <x:c r="A5" s="913" t="str">
        <x:v>INT-01</x:v>
      </x:c>
      <x:c r="B5" s="913" t="str">
        <x:v>Usuario del sistema</x:v>
      </x:c>
      <x:c r="C5" s="913" t="str">
        <x:v>Acceder de forma segura y mantener una sesión utilizable.</x:v>
      </x:c>
      <x:c r="D5" s="913" t="str">
        <x:v>Alta</x:v>
      </x:c>
      <x:c r="E5" s="913" t="str">
        <x:v>HU01–HU03</x:v>
      </x:c>
      <x:c r="F5" s="913" t="str">
        <x:v>3.4.1–3.4.3</x:v>
      </x:c>
      <x:c r="G5" s="913" t="str">
        <x:v>Sprint 3</x:v>
      </x:c>
    </x:row>
    <x:row r="6" ht="45" customHeight="1">
      <x:c r="A6" s="913" t="str">
        <x:v>INT-02</x:v>
      </x:c>
      <x:c r="B6" s="913" t="str">
        <x:v>Administrador</x:v>
      </x:c>
      <x:c r="C6" s="913" t="str">
        <x:v>Gestionar productores, rutas, centros, liquidaciones, reportes, usuarios y dashboard.</x:v>
      </x:c>
      <x:c r="D6" s="913" t="str">
        <x:v>Alta</x:v>
      </x:c>
      <x:c r="E6" s="913" t="str">
        <x:v>HU04–HU08, HU12, HU15, HU19–HU22, HU25</x:v>
      </x:c>
      <x:c r="F6" s="913" t="str">
        <x:v>4.2.1–4.2.5 / 5.2.2 / 5.3.3 / 6.2.1–6.2.4 / 8.5.2</x:v>
      </x:c>
      <x:c r="G6" s="913" t="str">
        <x:v>Sprint 4–6 / 8</x:v>
      </x:c>
    </x:row>
    <x:row r="7" ht="45" customHeight="1">
      <x:c r="A7" s="913" t="str">
        <x:v>INT-03</x:v>
      </x:c>
      <x:c r="B7" s="913" t="str">
        <x:v>Acopiador</x:v>
      </x:c>
      <x:c r="C7" s="913" t="str">
        <x:v>Consultar su ruta, registrar recojos y calidad, operar offline, recibir notificaciones y consultar historial.</x:v>
      </x:c>
      <x:c r="D7" s="913" t="str">
        <x:v>Alta</x:v>
      </x:c>
      <x:c r="E7" s="913" t="str">
        <x:v>HU09–HU11, HU13–HU18, HU23–HU24, HU26</x:v>
      </x:c>
      <x:c r="F7" s="913" t="str">
        <x:v>4.2.6–4.2.7 / 5.2.1 / 5.3.1–5.3.6 / 6.2.5–6.2.6 / 8.5.3</x:v>
      </x:c>
      <x:c r="G7" s="913" t="str">
        <x:v>Sprint 4–6 / 8</x:v>
      </x:c>
    </x:row>
    <x:row r="8" ht="45" customHeight="1">
      <x:c r="A8" s="913" t="str">
        <x:v>INT-04</x:v>
      </x:c>
      <x:c r="B8" s="913" t="str">
        <x:v>Productor de leche</x:v>
      </x:c>
      <x:c r="C8" s="913" t="str">
        <x:v>Que sus recojos y liquidaciones queden registrados y puedan ser consultados por la operación.</x:v>
      </x:c>
      <x:c r="D8" s="913" t="str">
        <x:v>Media</x:v>
      </x:c>
      <x:c r="E8" s="913" t="str">
        <x:v>Relacionado con HU04, HU11–HU15</x:v>
      </x:c>
      <x:c r="F8" s="913" t="str">
        <x:v>4.2.1 / 5.2.1–5.3.3</x:v>
      </x:c>
      <x:c r="G8" s="913" t="str">
        <x:v>Sprint 4–5</x:v>
      </x:c>
    </x:row>
    <x:row r="9" ht="45" customHeight="1">
      <x:c r="A9" s="913" t="str">
        <x:v>INT-05</x:v>
      </x:c>
      <x:c r="B9" s="913" t="str">
        <x:v>Cliente / Patrocinador</x:v>
      </x:c>
      <x:c r="C9" s="913" t="str">
        <x:v>Validar requerimientos, prototipos, entregables y conformidad final.</x:v>
      </x:c>
      <x:c r="D9" s="913" t="str">
        <x:v>Alta</x:v>
      </x:c>
      <x:c r="E9" s="913" t="str">
        <x:v>Validación del proyecto</x:v>
      </x:c>
      <x:c r="F9" s="913" t="str">
        <x:v>2.1.2–2.1.4 / 2.2.6 / 9.1.2–9.1.3</x:v>
      </x:c>
      <x:c r="G9" s="913" t="str">
        <x:v>Sprint 2 / Cierre</x:v>
      </x:c>
    </x:row>
    <x:row r="10" ht="45" customHeight="1">
      <x:c r="A10" s="913" t="str">
        <x:v>INT-06</x:v>
      </x:c>
      <x:c r="B10" s="913" t="str">
        <x:v>Equipo de desarrollo</x:v>
      </x:c>
      <x:c r="C10" s="913" t="str">
        <x:v>Diseñar, desarrollar, probar, desplegar y documentar la solución web, móvil y backend.</x:v>
      </x:c>
      <x:c r="D10" s="913" t="str">
        <x:v>Alta</x:v>
      </x:c>
      <x:c r="E10" s="913" t="str">
        <x:v>Ejecución técnica del cronograma</x:v>
      </x:c>
      <x:c r="F10" s="913" t="str">
        <x:v>3.3.1–8.4.1 / 7.3.1–7.3.2 / 9.2.1</x:v>
      </x:c>
      <x:c r="G10" s="913" t="str">
        <x:v>Sprint 3–8 / Cierre</x:v>
      </x:c>
    </x:row>
    <x:row r="11" ht="45" customHeight="1">
      <x:c r="A11" s="914" t="str">
        <x:v>INT-07</x:v>
      </x:c>
      <x:c r="B11" s="914" t="str">
        <x:v>Usuarios finales</x:v>
      </x:c>
      <x:c r="C11" s="914" t="str">
        <x:v>Contar con capacitación y soporte inicial después del despliegue.</x:v>
      </x:c>
      <x:c r="D11" s="914" t="str">
        <x:v>Media</x:v>
      </x:c>
      <x:c r="E11" s="914" t="str">
        <x:v>HU25–HU27</x:v>
      </x:c>
      <x:c r="F11" s="914" t="str">
        <x:v>8.5.2–8.5.4</x:v>
      </x:c>
      <x:c r="G11" s="914" t="str">
        <x:v>Sprint 8</x:v>
      </x:c>
    </x:row>
    <x:row r="12" ht="25.5" customHeight="1">
      <x:c r="A12"/>
      <x:c r="B12"/>
      <x:c r="C12"/>
      <x:c r="D12"/>
      <x:c r="E12"/>
    </x:row>
    <x:row r="13" ht="25.5" customHeight="1">
      <x:c r="A13"/>
      <x:c r="B13"/>
      <x:c r="C13"/>
      <x:c r="D13"/>
      <x:c r="E13"/>
    </x:row>
    <x:row r="14" ht="25.5" customHeight="1">
      <x:c r="A14"/>
      <x:c r="B14"/>
      <x:c r="C14"/>
      <x:c r="D14"/>
      <x:c r="E14"/>
    </x:row>
    <x:row r="15" ht="25.5" customHeight="1">
      <x:c r="A15"/>
      <x:c r="B15"/>
      <x:c r="C15"/>
      <x:c r="D15"/>
      <x:c r="E15"/>
    </x:row>
    <x:row r="16" ht="25.5" customHeight="1">
      <x:c r="A16"/>
      <x:c r="B16"/>
      <x:c r="C16"/>
      <x:c r="D16"/>
      <x:c r="E16"/>
    </x:row>
    <x:row r="17" ht="25.5" customHeight="1">
      <x:c r="A17"/>
      <x:c r="B17"/>
      <x:c r="C17"/>
      <x:c r="D17"/>
      <x:c r="E17"/>
    </x:row>
    <x:row r="18" ht="25.5" customHeight="1">
      <x:c r="A18"/>
      <x:c r="B18"/>
      <x:c r="C18"/>
      <x:c r="D18"/>
      <x:c r="E18"/>
    </x:row>
    <x:row r="19" ht="25.5" customHeight="1">
      <x:c r="A19"/>
      <x:c r="B19"/>
      <x:c r="C19"/>
      <x:c r="D19"/>
      <x:c r="E19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10" hidden="0" customWidth="1"/>
    <x:col min="2" max="2" width="28" hidden="0" customWidth="1"/>
    <x:col min="3" max="3" width="60" hidden="0" customWidth="1"/>
    <x:col min="4" max="4" width="17" hidden="0" customWidth="1"/>
    <x:col min="5" max="5" width="43" hidden="0" customWidth="1"/>
    <x:col min="6" max="6" width="30" hidden="0" customWidth="1"/>
    <x:col min="7" max="7" width="25" hidden="0" customWidth="1"/>
  </x:cols>
  <x:sheetData>
    <x:row r="1" ht="30" customHeight="1">
      <x:c r="A1" s="828" t="str">
        <x:v>REGLAS, RESTRICCIONES Y CONDICIONES DEL PROYECTO</x:v>
      </x:c>
      <x:c r="B1" s="828"/>
      <x:c r="C1" s="828"/>
      <x:c r="D1" s="828"/>
      <x:c r="E1" s="828"/>
      <x:c r="F1" s="828"/>
      <x:c r="G1" s="828"/>
    </x:row>
    <x:row r="2" ht="18" customHeight="1">
      <x:c r="A2" s="831" t="str">
        <x:v>Reglas alineadas a los requerimientos, Historias de Usuario y actividades EDT del cronograma oficial.</x:v>
      </x:c>
      <x:c r="B2" s="831"/>
      <x:c r="C2" s="831"/>
      <x:c r="D2" s="831"/>
      <x:c r="E2" s="831"/>
      <x:c r="F2" s="831"/>
      <x:c r="G2" s="831"/>
    </x:row>
    <x:row r="3">
      <x:c r="A3"/>
      <x:c r="B3"/>
      <x:c r="C3"/>
      <x:c r="D3"/>
      <x:c r="E3"/>
      <x:c r="F3"/>
    </x:row>
    <x:row r="4" ht="27.75" customHeight="1">
      <x:c r="A4" s="907" t="str">
        <x:v>ID</x:v>
      </x:c>
      <x:c r="B4" s="907" t="str">
        <x:v>Nombre</x:v>
      </x:c>
      <x:c r="C4" s="907" t="str">
        <x:v>Regla / condición</x:v>
      </x:c>
      <x:c r="D4" s="907" t="str">
        <x:v>Tipo</x:v>
      </x:c>
      <x:c r="E4" s="907" t="str">
        <x:v>Fuente EDT / proyecto</x:v>
      </x:c>
      <x:c r="F4" s="907" t="str">
        <x:v>Requisitos relacionados</x:v>
      </x:c>
      <x:c r="G4" s="907" t="str">
        <x:v>HU relacionadas</x:v>
      </x:c>
    </x:row>
    <x:row r="5" ht="42" customHeight="1">
      <x:c r="A5" s="913" t="str">
        <x:v>RN-01</x:v>
      </x:c>
      <x:c r="B5" s="913" t="str">
        <x:v>Recojo trazable</x:v>
      </x:c>
      <x:c r="C5" s="913" t="str">
        <x:v>Cada recojo debe conservar productor, cantidad y fecha para permitir su consulta posterior.</x:v>
      </x:c>
      <x:c r="D5" s="913" t="str">
        <x:v>Proceso</x:v>
      </x:c>
      <x:c r="E5" s="913" t="str">
        <x:v>Cronograma EDT 5.2.1 / 5.3.3 / 5.3.4</x:v>
      </x:c>
      <x:c r="F5" s="913" t="str">
        <x:v>RF-11, RF-15, RF-16</x:v>
      </x:c>
      <x:c r="G5" s="913" t="str">
        <x:v>HU11, HU15, HU16</x:v>
      </x:c>
    </x:row>
    <x:row r="6" ht="42" customHeight="1">
      <x:c r="A6" s="913" t="str">
        <x:v>RN-02</x:v>
      </x:c>
      <x:c r="B6" s="913" t="str">
        <x:v>Control de calidad</x:v>
      </x:c>
      <x:c r="C6" s="913" t="str">
        <x:v>El registro de calidad debe contemplar densidad, acidez y temperatura asociados al recojo.</x:v>
      </x:c>
      <x:c r="D6" s="913" t="str">
        <x:v>Calidad</x:v>
      </x:c>
      <x:c r="E6" s="913" t="str">
        <x:v>Cronograma EDT 5.3.1</x:v>
      </x:c>
      <x:c r="F6" s="913" t="str">
        <x:v>RF-13</x:v>
      </x:c>
      <x:c r="G6" s="913" t="str">
        <x:v>HU13</x:v>
      </x:c>
    </x:row>
    <x:row r="7" ht="42" customHeight="1">
      <x:c r="A7" s="913" t="str">
        <x:v>RN-03</x:v>
      </x:c>
      <x:c r="B7" s="913" t="str">
        <x:v>Liquidación por litros recolectados</x:v>
      </x:c>
      <x:c r="C7" s="913" t="str">
        <x:v>El cálculo de pago o liquidación debe basarse en los litros registrados del productor.</x:v>
      </x:c>
      <x:c r="D7" s="913" t="str">
        <x:v>Liquidación</x:v>
      </x:c>
      <x:c r="E7" s="913" t="str">
        <x:v>Cronograma EDT 5.3.2</x:v>
      </x:c>
      <x:c r="F7" s="913" t="str">
        <x:v>RF-14</x:v>
      </x:c>
      <x:c r="G7" s="913" t="str">
        <x:v>HU14</x:v>
      </x:c>
    </x:row>
    <x:row r="8" ht="42" customHeight="1">
      <x:c r="A8" s="913" t="str">
        <x:v>RN-04</x:v>
      </x:c>
      <x:c r="B8" s="913" t="str">
        <x:v>Operación offline-first</x:v>
      </x:c>
      <x:c r="C8" s="913" t="str">
        <x:v>La app móvil debe permitir registrar recojos sin conexión y sincronizarlos al recuperar Internet.</x:v>
      </x:c>
      <x:c r="D8" s="913" t="str">
        <x:v>Móvil / Datos</x:v>
      </x:c>
      <x:c r="E8" s="913" t="str">
        <x:v>Cronograma EDT 5.3.4–5.3.5</x:v>
      </x:c>
      <x:c r="F8" s="913" t="str">
        <x:v>RF-16, RF-17</x:v>
      </x:c>
      <x:c r="G8" s="913" t="str">
        <x:v>HU16, HU17</x:v>
      </x:c>
    </x:row>
    <x:row r="9" ht="42" customHeight="1">
      <x:c r="A9" s="913" t="str">
        <x:v>RN-05</x:v>
      </x:c>
      <x:c r="B9" s="913" t="str">
        <x:v>Evidencia de recojo</x:v>
      </x:c>
      <x:c r="C9" s="913" t="str">
        <x:v>La evidencia capturada mediante fotografía o firma digital debe quedar asociada al recojo correspondiente.</x:v>
      </x:c>
      <x:c r="D9" s="913" t="str">
        <x:v>Trazabilidad</x:v>
      </x:c>
      <x:c r="E9" s="913" t="str">
        <x:v>Cronograma EDT 5.3.6</x:v>
      </x:c>
      <x:c r="F9" s="913" t="str">
        <x:v>RF-18</x:v>
      </x:c>
      <x:c r="G9" s="913" t="str">
        <x:v>HU18</x:v>
      </x:c>
    </x:row>
    <x:row r="10" ht="42" customHeight="1">
      <x:c r="A10" s="913" t="str">
        <x:v>RN-06</x:v>
      </x:c>
      <x:c r="B10" s="913" t="str">
        <x:v>Reportes operativos</x:v>
      </x:c>
      <x:c r="C10" s="913" t="str">
        <x:v>Los reportes deben cubrir producción total, por ruta y por productor según lo previsto en el módulo gerencial.</x:v>
      </x:c>
      <x:c r="D10" s="913" t="str">
        <x:v>Reportes</x:v>
      </x:c>
      <x:c r="E10" s="913" t="str">
        <x:v>Cronograma EDT 6.2.1 / 6.2.3</x:v>
      </x:c>
      <x:c r="F10" s="913" t="str">
        <x:v>RF-19, RF-21</x:v>
      </x:c>
      <x:c r="G10" s="913" t="str">
        <x:v>HU19, HU21</x:v>
      </x:c>
    </x:row>
    <x:row r="11" ht="42" customHeight="1">
      <x:c r="A11" s="913" t="str">
        <x:v>RN-07</x:v>
      </x:c>
      <x:c r="B11" s="913" t="str">
        <x:v>Seguridad y roles</x:v>
      </x:c>
      <x:c r="C11" s="913" t="str">
        <x:v>El acceso debe estar autenticado y las funciones administrativas deben respetar los roles configurados.</x:v>
      </x:c>
      <x:c r="D11" s="913" t="str">
        <x:v>Seguridad</x:v>
      </x:c>
      <x:c r="E11" s="913" t="str">
        <x:v>Cronograma EDT 3.3.8 / 3.4.3 / 6.2.4</x:v>
      </x:c>
      <x:c r="F11" s="913" t="str">
        <x:v>RF-03, RF-22, RNF-02</x:v>
      </x:c>
      <x:c r="G11" s="913" t="str">
        <x:v>HU03, HU22</x:v>
      </x:c>
    </x:row>
    <x:row r="12" ht="42" customHeight="1">
      <x:c r="A12" s="913" t="str">
        <x:v>RN-08</x:v>
      </x:c>
      <x:c r="B12" s="913" t="str">
        <x:v>Sin pasarela financiera</x:v>
      </x:c>
      <x:c r="C12" s="913" t="str">
        <x:v>La versión descrita calcula y consulta liquidaciones, pero no se convierte en una pasarela de pago externa.</x:v>
      </x:c>
      <x:c r="D12" s="913" t="str">
        <x:v>Exclusión</x:v>
      </x:c>
      <x:c r="E12" s="913" t="str">
        <x:v>Project Charter / alcance previo del proyecto</x:v>
      </x:c>
      <x:c r="F12" s="913" t="str">
        <x:v>RF-12, RF-14</x:v>
      </x:c>
      <x:c r="G12" s="913" t="str">
        <x:v>HU12, HU14</x:v>
      </x:c>
    </x:row>
    <x:row r="13" ht="42" customHeight="1">
      <x:c r="A13" s="913" t="str">
        <x:v>RN-09</x:v>
      </x:c>
      <x:c r="B13" s="913" t="str">
        <x:v>Capacitación antes de cierre</x:v>
      </x:c>
      <x:c r="C13" s="913" t="str">
        <x:v>Administradores y acopiadores deben recibir la capacitación planificada antes del cierre formal.</x:v>
      </x:c>
      <x:c r="D13" s="913" t="str">
        <x:v>Implementación</x:v>
      </x:c>
      <x:c r="E13" s="913" t="str">
        <x:v>Cronograma EDT 8.5.2–8.5.3</x:v>
      </x:c>
      <x:c r="F13" s="913" t="str">
        <x:v>RI-01, RI-02</x:v>
      </x:c>
      <x:c r="G13" s="913" t="str">
        <x:v>HU25, HU26</x:v>
      </x:c>
    </x:row>
    <x:row r="14" ht="42" customHeight="1">
      <x:c r="A14" s="913" t="str">
        <x:v>RN-10</x:v>
      </x:c>
      <x:c r="B14" s="913" t="str">
        <x:v>Soporte post-implementación</x:v>
      </x:c>
      <x:c r="C14" s="913" t="str">
        <x:v>Se debe brindar hipercare inicial para atender dudas o incidencias después del despliegue.</x:v>
      </x:c>
      <x:c r="D14" s="913" t="str">
        <x:v>Servicio</x:v>
      </x:c>
      <x:c r="E14" s="913" t="str">
        <x:v>Cronograma EDT 8.5.4</x:v>
      </x:c>
      <x:c r="F14" s="913" t="str">
        <x:v>RS-01</x:v>
      </x:c>
      <x:c r="G14" s="913" t="str">
        <x:v>HU27</x:v>
      </x:c>
    </x:row>
    <x:row r="15" ht="42" customHeight="1">
      <x:c r="A15" s="914" t="str">
        <x:v>RN-11</x:v>
      </x:c>
      <x:c r="B15" s="914" t="str">
        <x:v>Documentación obligatoria</x:v>
      </x:c>
      <x:c r="C15" s="914" t="str">
        <x:v>La entrega debe incluir documentación técnica de API, manual de usuario, manual técnico y documentación final.</x:v>
      </x:c>
      <x:c r="D15" s="914" t="str">
        <x:v>Entrega</x:v>
      </x:c>
      <x:c r="E15" s="914" t="str">
        <x:v>Cronograma EDT 4.3.1 / 7.3.1–7.3.2 / 9.2.1</x:v>
      </x:c>
      <x:c r="F15" s="914" t="str">
        <x:v>RNF-09</x:v>
      </x:c>
      <x:c r="G15" s="914" t="str">
        <x:v>—</x:v>
      </x:c>
    </x:row>
    <x:row r="16" ht="25.5" customHeight="1">
      <x:c r="A16"/>
      <x:c r="B16"/>
      <x:c r="C16"/>
      <x:c r="D16"/>
    </x:row>
    <x:row r="17" ht="25.5" customHeight="1">
      <x:c r="A17"/>
      <x:c r="B17"/>
      <x:c r="C17"/>
      <x:c r="D17"/>
    </x:row>
    <x:row r="18" ht="25.5" customHeight="1">
      <x:c r="A18"/>
      <x:c r="B18"/>
      <x:c r="C18"/>
      <x:c r="D18"/>
    </x:row>
    <x:row r="19" ht="25.5" customHeight="1">
      <x:c r="A19"/>
      <x:c r="B19"/>
      <x:c r="C19"/>
      <x:c r="D19"/>
    </x:row>
    <x:row r="20" ht="25.5" customHeight="1">
      <x:c r="A20"/>
      <x:c r="B20"/>
      <x:c r="C20"/>
      <x:c r="D20"/>
    </x:row>
    <x:row r="21" ht="25.5" customHeight="1">
      <x:c r="A21"/>
      <x:c r="B21"/>
      <x:c r="C21"/>
      <x:c r="D21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C000"/>
  </x:sheetPr>
  <x:sheetViews>
    <x:sheetView showGridLines="0" workbookViewId="0"/>
  </x:sheetViews>
  <x:sheetFormatPr defaultColWidth="8.7109375" defaultRowHeight="15"/>
  <x:cols>
    <x:col min="1" max="1" width="10" hidden="0" customWidth="1"/>
    <x:col min="2" max="2" width="8" hidden="0" customWidth="1"/>
    <x:col min="3" max="3" width="17" hidden="0" customWidth="1"/>
    <x:col min="4" max="4" width="29" hidden="0" customWidth="1"/>
    <x:col min="5" max="5" width="58" hidden="0" customWidth="1"/>
    <x:col min="6" max="6" width="16" hidden="0" customWidth="1"/>
    <x:col min="7" max="7" width="20" hidden="0" customWidth="1"/>
    <x:col min="8" max="8" width="20" hidden="0" customWidth="1"/>
    <x:col min="9" max="9" width="62" hidden="0" customWidth="1"/>
    <x:col min="10" max="10" width="11" hidden="0" customWidth="1"/>
    <x:col min="11" max="11" width="46" hidden="0" customWidth="1"/>
    <x:col min="12" max="13" width="14" customWidth="1"/>
    <x:col min="12" max="12" width="25" hidden="0" customWidth="1"/>
    <x:col min="13" max="13" width="21" hidden="0" customWidth="1"/>
    <x:col min="14" max="14" width="13" hidden="0" customWidth="1"/>
    <x:col min="15" max="15" width="20" hidden="0" customWidth="1"/>
    <x:col min="16" max="16" width="13" hidden="0" customWidth="1"/>
    <x:col min="17" max="17" width="13" hidden="0" customWidth="1"/>
    <x:col min="18" max="18" width="40" hidden="0" customWidth="1"/>
  </x:cols>
  <x:sheetData>
    <x:row r="1" ht="26" customHeight="1">
      <x:c r="A1" s="829" t="str">
        <x:v>MATRIZ DE REQUERIMIENTOS - HUATA LÁCTEOS</x:v>
      </x:c>
      <x:c r="B1" s="829"/>
      <x:c r="C1" s="829"/>
      <x:c r="D1" s="829"/>
      <x:c r="E1" s="829"/>
      <x:c r="F1" s="829"/>
      <x:c r="G1" s="829"/>
      <x:c r="H1" s="829"/>
      <x:c r="I1" s="829"/>
      <x:c r="J1" s="829"/>
      <x:c r="K1" s="829"/>
      <x:c r="L1" s="829"/>
      <x:c r="M1" s="829"/>
      <x:c r="N1" s="829"/>
      <x:c r="O1" s="829"/>
      <x:c r="P1" s="829"/>
      <x:c r="Q1" s="829"/>
      <x:c r="R1" s="829"/>
    </x:row>
    <x:row r="2" ht="30" customHeight="1">
      <x:c r="A2" s="833" t="str">
        <x:v>Alineada a la estructura EDT: HU01–HU24 = funciones del sistema; HU25–HU26 = implementación/capacitación; HU27 = soporte; RNF vinculados a EDT aplicables.</x:v>
      </x:c>
      <x:c r="B2" s="833"/>
      <x:c r="C2" s="833"/>
      <x:c r="D2" s="833"/>
      <x:c r="E2" s="833"/>
      <x:c r="F2" s="833"/>
      <x:c r="G2" s="833"/>
      <x:c r="H2" s="833"/>
      <x:c r="I2" s="833"/>
      <x:c r="J2" s="833"/>
      <x:c r="K2" s="833"/>
      <x:c r="L2" s="833"/>
      <x:c r="M2" s="833"/>
      <x:c r="N2" s="833"/>
      <x:c r="O2" s="833"/>
      <x:c r="P2" s="833"/>
      <x:c r="Q2" s="833"/>
      <x:c r="R2" s="83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</x:row>
    <x:row r="4" ht="34" customHeight="1">
      <x:c r="A4" s="845" t="str">
        <x:v>ID</x:v>
      </x:c>
      <x:c r="B4" s="846" t="str">
        <x:v>HU</x:v>
      </x:c>
      <x:c r="C4" s="846" t="str">
        <x:v>EDT</x:v>
      </x:c>
      <x:c r="D4" s="846" t="str">
        <x:v>Nombre</x:v>
      </x:c>
      <x:c r="E4" s="846" t="str">
        <x:v>Descripción (El sistema/proyecto deberá...)</x:v>
      </x:c>
      <x:c r="F4" s="846" t="str">
        <x:v>Tipo</x:v>
      </x:c>
      <x:c r="G4" s="846" t="str">
        <x:v>Actor</x:v>
      </x:c>
      <x:c r="H4" s="846" t="str">
        <x:v>Origen</x:v>
      </x:c>
      <x:c r="I4" s="846" t="str">
        <x:v>Historia de Usuario / referencia</x:v>
      </x:c>
      <x:c r="J4" s="846" t="str">
        <x:v>Prioridad</x:v>
      </x:c>
      <x:c r="K4" s="846" t="str">
        <x:v>Criterio de aceptación</x:v>
      </x:c>
      <x:c r="L4" s="846" t="str">
        <x:v>Componente</x:v>
      </x:c>
      <x:c r="M4" s="846" t="str">
        <x:v>Dependencias</x:v>
      </x:c>
      <x:c r="N4" s="846" t="str">
        <x:v>Estado</x:v>
      </x:c>
      <x:c r="O4" s="846" t="str">
        <x:v>Sprint / periodo</x:v>
      </x:c>
      <x:c r="P4" s="846" t="str">
        <x:v>Fecha inicio</x:v>
      </x:c>
      <x:c r="Q4" s="846" t="str">
        <x:v>Fecha fin</x:v>
      </x:c>
      <x:c r="R4" s="847" t="str">
        <x:v>Entregable / tarea EDT</x:v>
      </x:c>
    </x:row>
    <x:row r="5" ht="58" customHeight="1">
      <x:c r="A5" s="876" t="str">
        <x:v>RF-01</x:v>
      </x:c>
      <x:c r="B5" s="877" t="str">
        <x:v>HU01</x:v>
      </x:c>
      <x:c r="C5" s="877" t="str">
        <x:v>3.4.1</x:v>
      </x:c>
      <x:c r="D5" s="877" t="str">
        <x:v>Inicio de sesión web</x:v>
      </x:c>
      <x:c r="E5" s="877" t="str">
        <x:v>El sistema deberá permitir el inicio de sesión desde la plataforma web para que el usuario del sistema pueda acceder a su cuenta de forma segura, cumpliendo la validación de correo y contraseña.</x:v>
      </x:c>
      <x:c r="F5" s="877" t="str">
        <x:v>Funcional</x:v>
      </x:c>
      <x:c r="G5" s="877" t="str">
        <x:v>Usuario del sistema</x:v>
      </x:c>
      <x:c r="H5" s="877" t="str">
        <x:v>Cronograma EDT</x:v>
      </x:c>
      <x:c r="I5" s="877" t="str">
        <x:v>HU01: Como usuario del sistema, quiero iniciar sesión con mi correo y contraseña para acceder a mi cuenta de forma segura.</x:v>
      </x:c>
      <x:c r="J5" s="877" t="str">
        <x:v>Must</x:v>
      </x:c>
      <x:c r="K5" s="877" t="str">
        <x:v>Con credenciales válidas el usuario accede a la web; con credenciales inválidas el acceso es rechazado.</x:v>
      </x:c>
      <x:c r="L5" s="877" t="str">
        <x:v>Web / Autenticación</x:v>
      </x:c>
      <x:c r="M5" s="877" t="str">
        <x:v>HU03</x:v>
      </x:c>
      <x:c r="N5" s="877" t="str">
        <x:v>Planificado</x:v>
      </x:c>
      <x:c r="O5" s="877" t="str">
        <x:v>Sprint 3</x:v>
      </x:c>
      <x:c r="P5" s="878" t="n">
        <x:v>46271</x:v>
      </x:c>
      <x:c r="Q5" s="878" t="n">
        <x:v>46271</x:v>
      </x:c>
      <x:c r="R5" s="879" t="str">
        <x:v>HU01: Desarrollo Web: Pantalla de Login (Angular)</x:v>
      </x:c>
    </x:row>
    <x:row r="6" ht="58" customHeight="1">
      <x:c r="A6" s="888" t="str">
        <x:v>RF-02</x:v>
      </x:c>
      <x:c r="B6" s="889" t="str">
        <x:v>HU02</x:v>
      </x:c>
      <x:c r="C6" s="889" t="str">
        <x:v>3.4.2</x:v>
      </x:c>
      <x:c r="D6" s="889" t="str">
        <x:v>Inicio de sesión móvil</x:v>
      </x:c>
      <x:c r="E6" s="889" t="str">
        <x:v>El sistema deberá permitir el inicio de sesión desde la aplicación móvil para que el usuario del sistema pueda acceder a su cuenta desde el dispositivo móvil, cumpliendo el control de acceso definido.</x:v>
      </x:c>
      <x:c r="F6" s="889" t="str">
        <x:v>Funcional</x:v>
      </x:c>
      <x:c r="G6" s="889" t="str">
        <x:v>Usuario del sistema</x:v>
      </x:c>
      <x:c r="H6" s="889" t="str">
        <x:v>Cronograma EDT</x:v>
      </x:c>
      <x:c r="I6" s="889" t="str">
        <x:v>HU02: Como usuario del sistema, quiero iniciar sesión desde mi dispositivo móvil para acceder a mi cuenta de forma segura.</x:v>
      </x:c>
      <x:c r="J6" s="889" t="str">
        <x:v>Must</x:v>
      </x:c>
      <x:c r="K6" s="889" t="str">
        <x:v>Con credenciales válidas el usuario accede desde la app móvil; con credenciales inválidas el acceso es rechazado.</x:v>
      </x:c>
      <x:c r="L6" s="889" t="str">
        <x:v>Móvil / Autenticación</x:v>
      </x:c>
      <x:c r="M6" s="889" t="str">
        <x:v>HU03</x:v>
      </x:c>
      <x:c r="N6" s="889" t="str">
        <x:v>Planificado</x:v>
      </x:c>
      <x:c r="O6" s="889" t="str">
        <x:v>Sprint 3</x:v>
      </x:c>
      <x:c r="P6" s="890" t="n">
        <x:v>46271</x:v>
      </x:c>
      <x:c r="Q6" s="890" t="n">
        <x:v>46271</x:v>
      </x:c>
      <x:c r="R6" s="891" t="str">
        <x:v>HU02: Desarrollo Móvil: Pantalla de Login (Flutter)</x:v>
      </x:c>
    </x:row>
    <x:row r="7" ht="58" customHeight="1">
      <x:c r="A7" s="880" t="str">
        <x:v>RF-03</x:v>
      </x:c>
      <x:c r="B7" s="881" t="str">
        <x:v>HU03</x:v>
      </x:c>
      <x:c r="C7" s="881" t="str">
        <x:v>3.4.3</x:v>
      </x:c>
      <x:c r="D7" s="881" t="str">
        <x:v>Autenticación y sesión segura</x:v>
      </x:c>
      <x:c r="E7" s="881" t="str">
        <x:v>El sistema deberá autenticar usuarios y mantener la sesión activa para que el usuario del sistema pueda utilizar la aplicación sin reingresar credenciales en cada operación, cumpliendo la seguridad del módulo de autenticación.</x:v>
      </x:c>
      <x:c r="F7" s="881" t="str">
        <x:v>Funcional</x:v>
      </x:c>
      <x:c r="G7" s="881" t="str">
        <x:v>Usuario del sistema</x:v>
      </x:c>
      <x:c r="H7" s="881" t="str">
        <x:v>Cronograma EDT</x:v>
      </x:c>
      <x:c r="I7" s="881" t="str">
        <x:v>HU03: Como usuario del sistema, quiero que mi sesión se mantenga activa para no tener que escribir mis credenciales cada vez que uso la aplicación.</x:v>
      </x:c>
      <x:c r="J7" s="881" t="str">
        <x:v>Must</x:v>
      </x:c>
      <x:c r="K7" s="881" t="str">
        <x:v>La autenticación válida crea una sesión utilizable y la sesión permanece activa durante el uso previsto.</x:v>
      </x:c>
      <x:c r="L7" s="881" t="str">
        <x:v>Backend / Seguridad</x:v>
      </x:c>
      <x:c r="M7" s="881" t="str">
        <x:v>—</x:v>
      </x:c>
      <x:c r="N7" s="881" t="str">
        <x:v>Planificado</x:v>
      </x:c>
      <x:c r="O7" s="881" t="str">
        <x:v>Sprint 3</x:v>
      </x:c>
      <x:c r="P7" s="882" t="n">
        <x:v>46270</x:v>
      </x:c>
      <x:c r="Q7" s="882" t="n">
        <x:v>46271</x:v>
      </x:c>
      <x:c r="R7" s="883" t="str">
        <x:v>HU03: Desarrollo Backend: Módulo de Autenticación</x:v>
      </x:c>
    </x:row>
    <x:row r="8" ht="58" customHeight="1">
      <x:c r="A8" s="888" t="str">
        <x:v>RF-04</x:v>
      </x:c>
      <x:c r="B8" s="889" t="str">
        <x:v>HU04</x:v>
      </x:c>
      <x:c r="C8" s="889" t="str">
        <x:v>4.2.1</x:v>
      </x:c>
      <x:c r="D8" s="889" t="str">
        <x:v>Administrar productores vía API</x:v>
      </x:c>
      <x:c r="E8" s="889" t="str">
        <x:v>El sistema deberá registrar, listar, editar y eliminar productores mediante la API REST para que el administrador pueda mantener actualizada la base de datos de proveedores, cumpliendo las operaciones CRUD definidas.</x:v>
      </x:c>
      <x:c r="F8" s="889" t="str">
        <x:v>Funcional</x:v>
      </x:c>
      <x:c r="G8" s="889" t="str">
        <x:v>Administrador</x:v>
      </x:c>
      <x:c r="H8" s="889" t="str">
        <x:v>Cronograma EDT</x:v>
      </x:c>
      <x:c r="I8" s="889" t="str">
        <x:v>HU04: Como administrador, quiero registrar, listar, editar y eliminar productores de leche para mantener actualizada la base de datos de proveedores.</x:v>
      </x:c>
      <x:c r="J8" s="889" t="str">
        <x:v>Must</x:v>
      </x:c>
      <x:c r="K8" s="889" t="str">
        <x:v>La API permite crear, consultar, actualizar y eliminar productores sin perder consistencia de datos.</x:v>
      </x:c>
      <x:c r="L8" s="889" t="str">
        <x:v>Backend / Productores</x:v>
      </x:c>
      <x:c r="M8" s="889" t="str">
        <x:v>—</x:v>
      </x:c>
      <x:c r="N8" s="889" t="str">
        <x:v>Planificado</x:v>
      </x:c>
      <x:c r="O8" s="889" t="str">
        <x:v>Sprint 4</x:v>
      </x:c>
      <x:c r="P8" s="890" t="n">
        <x:v>46274</x:v>
      </x:c>
      <x:c r="Q8" s="890" t="n">
        <x:v>46275</x:v>
      </x:c>
      <x:c r="R8" s="891" t="str">
        <x:v>HU04: Backend: CRUD de Productores (API REST)</x:v>
      </x:c>
    </x:row>
    <x:row r="9" ht="58" customHeight="1">
      <x:c r="A9" s="880" t="str">
        <x:v>RF-05</x:v>
      </x:c>
      <x:c r="B9" s="881" t="str">
        <x:v>HU05</x:v>
      </x:c>
      <x:c r="C9" s="881" t="str">
        <x:v>4.2.2</x:v>
      </x:c>
      <x:c r="D9" s="881" t="str">
        <x:v>Administrar acopiadores y rutas vía API</x:v>
      </x:c>
      <x:c r="E9" s="881" t="str">
        <x:v>El sistema deberá registrar, listar, editar y eliminar acopiadores y rutas mediante la API REST para que el administrador pueda gestionar el personal y la logística de recolección, cumpliendo las operaciones CRUD definidas.</x:v>
      </x:c>
      <x:c r="F9" s="881" t="str">
        <x:v>Funcional</x:v>
      </x:c>
      <x:c r="G9" s="881" t="str">
        <x:v>Administrador</x:v>
      </x:c>
      <x:c r="H9" s="881" t="str">
        <x:v>Cronograma EDT</x:v>
      </x:c>
      <x:c r="I9" s="881" t="str">
        <x:v>HU05: Como administrador, quiero registrar, listar, editar y eliminar acopiadores para gestionar el personal que recolecta la leche en campo.</x:v>
      </x:c>
      <x:c r="J9" s="881" t="str">
        <x:v>Must</x:v>
      </x:c>
      <x:c r="K9" s="881" t="str">
        <x:v>La API permite crear, consultar, actualizar y eliminar acopiadores y rutas.</x:v>
      </x:c>
      <x:c r="L9" s="881" t="str">
        <x:v>Backend / Acopiadores y Rutas</x:v>
      </x:c>
      <x:c r="M9" s="881" t="str">
        <x:v>—</x:v>
      </x:c>
      <x:c r="N9" s="881" t="str">
        <x:v>Planificado</x:v>
      </x:c>
      <x:c r="O9" s="881" t="str">
        <x:v>Sprint 4</x:v>
      </x:c>
      <x:c r="P9" s="882" t="n">
        <x:v>46275</x:v>
      </x:c>
      <x:c r="Q9" s="882" t="n">
        <x:v>46276</x:v>
      </x:c>
      <x:c r="R9" s="883" t="str">
        <x:v>HU05: Backend: CRUD de Acopiadores y Rutas</x:v>
      </x:c>
    </x:row>
    <x:row r="10" ht="58" customHeight="1">
      <x:c r="A10" s="888" t="str">
        <x:v>RF-06</x:v>
      </x:c>
      <x:c r="B10" s="889" t="str">
        <x:v>HU06</x:v>
      </x:c>
      <x:c r="C10" s="889" t="str">
        <x:v>4.2.3</x:v>
      </x:c>
      <x:c r="D10" s="889" t="str">
        <x:v>Administrar centros de acopio vía API</x:v>
      </x:c>
      <x:c r="E10" s="889" t="str">
        <x:v>El sistema deberá registrar, listar, editar y eliminar centros de acopio mediante la API REST para que el administrador pueda controlar los puntos de recepción de leche, cumpliendo las operaciones CRUD definidas.</x:v>
      </x:c>
      <x:c r="F10" s="889" t="str">
        <x:v>Funcional</x:v>
      </x:c>
      <x:c r="G10" s="889" t="str">
        <x:v>Administrador</x:v>
      </x:c>
      <x:c r="H10" s="889" t="str">
        <x:v>Cronograma EDT</x:v>
      </x:c>
      <x:c r="I10" s="889" t="str">
        <x:v>HU06: Como administrador, quiero registrar, listar, editar y eliminar centros de acopio para tener control de los puntos de recepción de leche.</x:v>
      </x:c>
      <x:c r="J10" s="889" t="str">
        <x:v>Must</x:v>
      </x:c>
      <x:c r="K10" s="889" t="str">
        <x:v>La API permite crear, consultar, actualizar y eliminar centros de acopio.</x:v>
      </x:c>
      <x:c r="L10" s="889" t="str">
        <x:v>Backend / Centros de Acopio</x:v>
      </x:c>
      <x:c r="M10" s="889" t="str">
        <x:v>—</x:v>
      </x:c>
      <x:c r="N10" s="889" t="str">
        <x:v>Planificado</x:v>
      </x:c>
      <x:c r="O10" s="889" t="str">
        <x:v>Sprint 4</x:v>
      </x:c>
      <x:c r="P10" s="890" t="n">
        <x:v>46276</x:v>
      </x:c>
      <x:c r="Q10" s="890" t="n">
        <x:v>46276</x:v>
      </x:c>
      <x:c r="R10" s="891" t="str">
        <x:v>HU06: Backend: CRUD de Centros de Acopio</x:v>
      </x:c>
    </x:row>
    <x:row r="11" ht="58" customHeight="1">
      <x:c r="A11" s="880" t="str">
        <x:v>RF-07</x:v>
      </x:c>
      <x:c r="B11" s="881" t="str">
        <x:v>HU07</x:v>
      </x:c>
      <x:c r="C11" s="881" t="str">
        <x:v>4.2.4</x:v>
      </x:c>
      <x:c r="D11" s="881" t="str">
        <x:v>Gestionar productores desde la web</x:v>
      </x:c>
      <x:c r="E11" s="881" t="str">
        <x:v>El sistema deberá permitir gestionar productores desde la plataforma web para que el administrador pueda mantener actualizada la información de proveedores, cumpliendo las funciones de listar, crear, editar y eliminar.</x:v>
      </x:c>
      <x:c r="F11" s="881" t="str">
        <x:v>Funcional</x:v>
      </x:c>
      <x:c r="G11" s="881" t="str">
        <x:v>Administrador</x:v>
      </x:c>
      <x:c r="H11" s="881" t="str">
        <x:v>Cronograma EDT</x:v>
      </x:c>
      <x:c r="I11" s="881" t="str">
        <x:v>HU07: Como administrador, quiero gestionar los productores desde la web para mantener actualizada la base de datos de proveedores.</x:v>
      </x:c>
      <x:c r="J11" s="881" t="str">
        <x:v>Must</x:v>
      </x:c>
      <x:c r="K11" s="881" t="str">
        <x:v>Desde la web se puede listar, crear, editar y eliminar productores.</x:v>
      </x:c>
      <x:c r="L11" s="881" t="str">
        <x:v>Web / Productores</x:v>
      </x:c>
      <x:c r="M11" s="881" t="str">
        <x:v>HU04</x:v>
      </x:c>
      <x:c r="N11" s="881" t="str">
        <x:v>Planificado</x:v>
      </x:c>
      <x:c r="O11" s="881" t="str">
        <x:v>Sprint 4</x:v>
      </x:c>
      <x:c r="P11" s="882" t="n">
        <x:v>46276</x:v>
      </x:c>
      <x:c r="Q11" s="882" t="n">
        <x:v>46277</x:v>
      </x:c>
      <x:c r="R11" s="883" t="str">
        <x:v>HU07: Web: Módulo de gestión de Productores</x:v>
      </x:c>
    </x:row>
    <x:row r="12" ht="58" customHeight="1">
      <x:c r="A12" s="888" t="str">
        <x:v>RF-08</x:v>
      </x:c>
      <x:c r="B12" s="889" t="str">
        <x:v>HU08</x:v>
      </x:c>
      <x:c r="C12" s="889" t="str">
        <x:v>4.2.5</x:v>
      </x:c>
      <x:c r="D12" s="889" t="str">
        <x:v>Gestionar rutas y centros desde la web</x:v>
      </x:c>
      <x:c r="E12" s="889" t="str">
        <x:v>El sistema deberá permitir gestionar rutas y centros de acopio desde la plataforma web para que el administrador pueda organizar la logística de recolección, cumpliendo la información definida para rutas y centros.</x:v>
      </x:c>
      <x:c r="F12" s="889" t="str">
        <x:v>Funcional</x:v>
      </x:c>
      <x:c r="G12" s="889" t="str">
        <x:v>Administrador</x:v>
      </x:c>
      <x:c r="H12" s="889" t="str">
        <x:v>Cronograma EDT</x:v>
      </x:c>
      <x:c r="I12" s="889" t="str">
        <x:v>HU08: Como administrador, quiero gestionar las rutas y centros de acopio desde la web para organizar la logística de recolección.</x:v>
      </x:c>
      <x:c r="J12" s="889" t="str">
        <x:v>Must</x:v>
      </x:c>
      <x:c r="K12" s="889" t="str">
        <x:v>Desde la web se pueden gestionar rutas y centros de acopio y consultar los cambios guardados.</x:v>
      </x:c>
      <x:c r="L12" s="889" t="str">
        <x:v>Web / Rutas y Centros</x:v>
      </x:c>
      <x:c r="M12" s="889" t="str">
        <x:v>HU05, HU06</x:v>
      </x:c>
      <x:c r="N12" s="889" t="str">
        <x:v>Planificado</x:v>
      </x:c>
      <x:c r="O12" s="889" t="str">
        <x:v>Sprint 4</x:v>
      </x:c>
      <x:c r="P12" s="890" t="n">
        <x:v>46277</x:v>
      </x:c>
      <x:c r="Q12" s="890" t="n">
        <x:v>46278</x:v>
      </x:c>
      <x:c r="R12" s="891" t="str">
        <x:v>HU08: Web: Módulo de gestión de Rutas y Centros de Acopio</x:v>
      </x:c>
    </x:row>
    <x:row r="13" ht="58" customHeight="1">
      <x:c r="A13" s="880" t="str">
        <x:v>RF-09</x:v>
      </x:c>
      <x:c r="B13" s="881" t="str">
        <x:v>HU09</x:v>
      </x:c>
      <x:c r="C13" s="881" t="str">
        <x:v>4.2.6</x:v>
      </x:c>
      <x:c r="D13" s="881" t="str">
        <x:v>Consultar productores asignados</x:v>
      </x:c>
      <x:c r="E13" s="881" t="str">
        <x:v>El sistema deberá mostrar en la aplicación móvil los productores asignados para que el acopiador pueda identificar a quiénes debe visitar, cumpliendo la asignación vigente de su ruta.</x:v>
      </x:c>
      <x:c r="F13" s="881" t="str">
        <x:v>Funcional</x:v>
      </x:c>
      <x:c r="G13" s="881" t="str">
        <x:v>Acopiador</x:v>
      </x:c>
      <x:c r="H13" s="881" t="str">
        <x:v>Cronograma EDT</x:v>
      </x:c>
      <x:c r="I13" s="881" t="str">
        <x:v>HU09: Como acopiador, quiero consultar los productores que tengo asignados en mi ruta para saber a quiénes debo visitar durante el día.</x:v>
      </x:c>
      <x:c r="J13" s="881" t="str">
        <x:v>Must</x:v>
      </x:c>
      <x:c r="K13" s="881" t="str">
        <x:v>El acopiador visualiza únicamente los productores asignados a su operación.</x:v>
      </x:c>
      <x:c r="L13" s="881" t="str">
        <x:v>Móvil / Productores</x:v>
      </x:c>
      <x:c r="M13" s="881" t="str">
        <x:v>HU04, HU05</x:v>
      </x:c>
      <x:c r="N13" s="881" t="str">
        <x:v>Planificado</x:v>
      </x:c>
      <x:c r="O13" s="881" t="str">
        <x:v>Sprint 4</x:v>
      </x:c>
      <x:c r="P13" s="882" t="n">
        <x:v>46276</x:v>
      </x:c>
      <x:c r="Q13" s="882" t="n">
        <x:v>46277</x:v>
      </x:c>
      <x:c r="R13" s="883" t="str">
        <x:v>HU09: Móvil: Módulo de consulta de productores asignados</x:v>
      </x:c>
    </x:row>
    <x:row r="14" ht="58" customHeight="1">
      <x:c r="A14" s="888" t="str">
        <x:v>RF-10</x:v>
      </x:c>
      <x:c r="B14" s="889" t="str">
        <x:v>HU10</x:v>
      </x:c>
      <x:c r="C14" s="889" t="str">
        <x:v>4.2.7</x:v>
      </x:c>
      <x:c r="D14" s="889" t="str">
        <x:v>Consultar ruta del día</x:v>
      </x:c>
      <x:c r="E14" s="889" t="str">
        <x:v>El sistema deberá mostrar la ruta del día en la aplicación móvil para que el acopiador pueda organizar su recorrido, cumpliendo los productores y centros de acopio asignados.</x:v>
      </x:c>
      <x:c r="F14" s="889" t="str">
        <x:v>Funcional</x:v>
      </x:c>
      <x:c r="G14" s="889" t="str">
        <x:v>Acopiador</x:v>
      </x:c>
      <x:c r="H14" s="889" t="str">
        <x:v>Cronograma EDT</x:v>
      </x:c>
      <x:c r="I14" s="889" t="str">
        <x:v>HU10: Como acopiador, quiero ver mi ruta del día con los productores y centros de acopio asignados para organizar mi recorrido de forma eficiente.</x:v>
      </x:c>
      <x:c r="J14" s="889" t="str">
        <x:v>Must</x:v>
      </x:c>
      <x:c r="K14" s="889" t="str">
        <x:v>La app muestra la ruta del día con los productores y centros asignados.</x:v>
      </x:c>
      <x:c r="L14" s="889" t="str">
        <x:v>Móvil / Rutas</x:v>
      </x:c>
      <x:c r="M14" s="889" t="str">
        <x:v>HU05, HU06</x:v>
      </x:c>
      <x:c r="N14" s="889" t="str">
        <x:v>Planificado</x:v>
      </x:c>
      <x:c r="O14" s="889" t="str">
        <x:v>Sprint 4</x:v>
      </x:c>
      <x:c r="P14" s="890" t="n">
        <x:v>46277</x:v>
      </x:c>
      <x:c r="Q14" s="890" t="n">
        <x:v>46278</x:v>
      </x:c>
      <x:c r="R14" s="891" t="str">
        <x:v>HU10: Móvil: Módulo de gestión de ruta del día</x:v>
      </x:c>
    </x:row>
    <x:row r="15" ht="58" customHeight="1">
      <x:c r="A15" s="880" t="str">
        <x:v>RF-11</x:v>
      </x:c>
      <x:c r="B15" s="881" t="str">
        <x:v>HU11</x:v>
      </x:c>
      <x:c r="C15" s="881" t="str">
        <x:v>5.2.1</x:v>
      </x:c>
      <x:c r="D15" s="881" t="str">
        <x:v>Registrar recojo de leche</x:v>
      </x:c>
      <x:c r="E15" s="881" t="str">
        <x:v>El sistema deberá registrar la cantidad de leche recolectada por productor para que el acopiador pueda llevar un control preciso de la producción diaria, cumpliendo el registro de cantidad, productor y fecha.</x:v>
      </x:c>
      <x:c r="F15" s="881" t="str">
        <x:v>Funcional</x:v>
      </x:c>
      <x:c r="G15" s="881" t="str">
        <x:v>Acopiador</x:v>
      </x:c>
      <x:c r="H15" s="881" t="str">
        <x:v>Cronograma EDT</x:v>
      </x:c>
      <x:c r="I15" s="881" t="str">
        <x:v>HU11: Como acopiador, quiero registrar la cantidad de leche recolectada de cada productor para llevar un control preciso de la producción diaria.</x:v>
      </x:c>
      <x:c r="J15" s="881" t="str">
        <x:v>Must</x:v>
      </x:c>
      <x:c r="K15" s="881" t="str">
        <x:v>Un recojo válido queda almacenado con productor, cantidad y fecha y puede ser recuperado.</x:v>
      </x:c>
      <x:c r="L15" s="881" t="str">
        <x:v>Backend / Recojo</x:v>
      </x:c>
      <x:c r="M15" s="881" t="str">
        <x:v>HU04</x:v>
      </x:c>
      <x:c r="N15" s="881" t="str">
        <x:v>Planificado</x:v>
      </x:c>
      <x:c r="O15" s="881" t="str">
        <x:v>Sprint 5</x:v>
      </x:c>
      <x:c r="P15" s="882" t="n">
        <x:v>46281</x:v>
      </x:c>
      <x:c r="Q15" s="882" t="n">
        <x:v>46282</x:v>
      </x:c>
      <x:c r="R15" s="883" t="str">
        <x:v>HU11: Backend: API de Registro de Recojo de Leche</x:v>
      </x:c>
    </x:row>
    <x:row r="16" ht="58" customHeight="1">
      <x:c r="A16" s="888" t="str">
        <x:v>RF-12</x:v>
      </x:c>
      <x:c r="B16" s="889" t="str">
        <x:v>HU12</x:v>
      </x:c>
      <x:c r="C16" s="889" t="str">
        <x:v>5.2.2</x:v>
      </x:c>
      <x:c r="D16" s="889" t="str">
        <x:v>Consultar liquidaciones</x:v>
      </x:c>
      <x:c r="E16" s="889" t="str">
        <x:v>El sistema deberá permitir consultar liquidaciones por productor y fecha para que el administrador pueda revisar y validar los pagos registrados, cumpliendo los filtros definidos.</x:v>
      </x:c>
      <x:c r="F16" s="889" t="str">
        <x:v>Funcional</x:v>
      </x:c>
      <x:c r="G16" s="889" t="str">
        <x:v>Administrador</x:v>
      </x:c>
      <x:c r="H16" s="889" t="str">
        <x:v>Cronograma EDT</x:v>
      </x:c>
      <x:c r="I16" s="889" t="str">
        <x:v>HU12: Como administrador, quiero consultar las liquidaciones por productor y por fecha para revisar y validar los pagos realizados.</x:v>
      </x:c>
      <x:c r="J16" s="889" t="str">
        <x:v>Must</x:v>
      </x:c>
      <x:c r="K16" s="889" t="str">
        <x:v>El filtro por productor y fecha devuelve las liquidaciones correspondientes.</x:v>
      </x:c>
      <x:c r="L16" s="889" t="str">
        <x:v>Web / Liquidaciones</x:v>
      </x:c>
      <x:c r="M16" s="889" t="str">
        <x:v>HU14</x:v>
      </x:c>
      <x:c r="N16" s="889" t="str">
        <x:v>Planificado</x:v>
      </x:c>
      <x:c r="O16" s="889" t="str">
        <x:v>Sprint 5</x:v>
      </x:c>
      <x:c r="P16" s="890" t="n">
        <x:v>46285</x:v>
      </x:c>
      <x:c r="Q16" s="890" t="n">
        <x:v>46285</x:v>
      </x:c>
      <x:c r="R16" s="891" t="str">
        <x:v>HU12: Web: Módulo de consulta de liquidaciones</x:v>
      </x:c>
    </x:row>
    <x:row r="17" ht="58" customHeight="1">
      <x:c r="A17" s="880" t="str">
        <x:v>RF-13</x:v>
      </x:c>
      <x:c r="B17" s="881" t="str">
        <x:v>HU13</x:v>
      </x:c>
      <x:c r="C17" s="881" t="str">
        <x:v>5.3.1</x:v>
      </x:c>
      <x:c r="D17" s="881" t="str">
        <x:v>Registrar parámetros de calidad</x:v>
      </x:c>
      <x:c r="E17" s="881" t="str">
        <x:v>El sistema deberá registrar densidad, acidez y temperatura de la leche para que el acopiador pueda documentar la calidad del producto, cumpliendo los parámetros de calidad definidos.</x:v>
      </x:c>
      <x:c r="F17" s="881" t="str">
        <x:v>Funcional</x:v>
      </x:c>
      <x:c r="G17" s="881" t="str">
        <x:v>Acopiador</x:v>
      </x:c>
      <x:c r="H17" s="881" t="str">
        <x:v>Cronograma EDT</x:v>
      </x:c>
      <x:c r="I17" s="881" t="str">
        <x:v>HU13: Como acopiador, quiero registrar los parámetros de calidad de la leche (densidad, acidez, temperatura) para asegurar que cumple con los estándares requeridos.</x:v>
      </x:c>
      <x:c r="J17" s="881" t="str">
        <x:v>Must</x:v>
      </x:c>
      <x:c r="K17" s="881" t="str">
        <x:v>El registro conserva densidad, acidez y temperatura asociadas al recojo.</x:v>
      </x:c>
      <x:c r="L17" s="881" t="str">
        <x:v>Backend / Calidad</x:v>
      </x:c>
      <x:c r="M17" s="881" t="str">
        <x:v>HU11</x:v>
      </x:c>
      <x:c r="N17" s="881" t="str">
        <x:v>Planificado</x:v>
      </x:c>
      <x:c r="O17" s="881" t="str">
        <x:v>Sprint 5</x:v>
      </x:c>
      <x:c r="P17" s="882" t="n">
        <x:v>46282</x:v>
      </x:c>
      <x:c r="Q17" s="882" t="n">
        <x:v>46282</x:v>
      </x:c>
      <x:c r="R17" s="883" t="str">
        <x:v>HU13: Backend: Registro de parámetros de calidad</x:v>
      </x:c>
    </x:row>
    <x:row r="18" ht="58" customHeight="1">
      <x:c r="A18" s="888" t="str">
        <x:v>RF-14</x:v>
      </x:c>
      <x:c r="B18" s="889" t="str">
        <x:v>HU14</x:v>
      </x:c>
      <x:c r="C18" s="889" t="str">
        <x:v>5.3.2</x:v>
      </x:c>
      <x:c r="D18" s="889" t="str">
        <x:v>Calcular pago o liquidación</x:v>
      </x:c>
      <x:c r="E18" s="889" t="str">
        <x:v>El sistema deberá calcular automáticamente el pago o liquidación según los litros recolectados para que el acopiador pueda liquidar al productor de forma rápida y consistente, cumpliendo los datos registrados del recojo.</x:v>
      </x:c>
      <x:c r="F18" s="889" t="str">
        <x:v>Funcional</x:v>
      </x:c>
      <x:c r="G18" s="889" t="str">
        <x:v>Acopiador</x:v>
      </x:c>
      <x:c r="H18" s="889" t="str">
        <x:v>Cronograma EDT</x:v>
      </x:c>
      <x:c r="I18" s="889" t="str">
        <x:v>HU14: Como acopiador, quiero que el sistema calcule automáticamente el pago del productor según los litros recolectados para liquidar de forma rápida y sin errores.</x:v>
      </x:c>
      <x:c r="J18" s="889" t="str">
        <x:v>Must</x:v>
      </x:c>
      <x:c r="K18" s="889" t="str">
        <x:v>La liquidación calculada utiliza los litros registrados y el resultado queda disponible para consulta.</x:v>
      </x:c>
      <x:c r="L18" s="889" t="str">
        <x:v>Backend / Liquidaciones</x:v>
      </x:c>
      <x:c r="M18" s="889" t="str">
        <x:v>HU11, HU13</x:v>
      </x:c>
      <x:c r="N18" s="889" t="str">
        <x:v>Planificado</x:v>
      </x:c>
      <x:c r="O18" s="889" t="str">
        <x:v>Sprint 5</x:v>
      </x:c>
      <x:c r="P18" s="890" t="n">
        <x:v>46283</x:v>
      </x:c>
      <x:c r="Q18" s="890" t="n">
        <x:v>46284</x:v>
      </x:c>
      <x:c r="R18" s="891" t="str">
        <x:v>HU14: Backend: Cálculo de pago / liquidación</x:v>
      </x:c>
    </x:row>
    <x:row r="19" ht="58" customHeight="1">
      <x:c r="A19" s="880" t="str">
        <x:v>RF-15</x:v>
      </x:c>
      <x:c r="B19" s="881" t="str">
        <x:v>HU15</x:v>
      </x:c>
      <x:c r="C19" s="881" t="str">
        <x:v>5.3.3</x:v>
      </x:c>
      <x:c r="D19" s="881" t="str">
        <x:v>Registrar y consultar recojos desde la web</x:v>
      </x:c>
      <x:c r="E19" s="881" t="str">
        <x:v>El sistema deberá permitir registrar y consultar recojos de leche desde la plataforma web para que el administrador pueda llevar un control centralizado de la producción, cumpliendo la persistencia de los registros.</x:v>
      </x:c>
      <x:c r="F19" s="881" t="str">
        <x:v>Funcional</x:v>
      </x:c>
      <x:c r="G19" s="881" t="str">
        <x:v>Administrador</x:v>
      </x:c>
      <x:c r="H19" s="881" t="str">
        <x:v>Cronograma EDT</x:v>
      </x:c>
      <x:c r="I19" s="881" t="str">
        <x:v>HU15: Como administrador, quiero registrar y consultar los recojos de leche desde la web para llevar un control centralizado de la producción.</x:v>
      </x:c>
      <x:c r="J19" s="881" t="str">
        <x:v>Must</x:v>
      </x:c>
      <x:c r="K19" s="881" t="str">
        <x:v>Desde la web se puede registrar un recojo y posteriormente consultarlo.</x:v>
      </x:c>
      <x:c r="L19" s="881" t="str">
        <x:v>Web / Recojo</x:v>
      </x:c>
      <x:c r="M19" s="881" t="str">
        <x:v>HU11</x:v>
      </x:c>
      <x:c r="N19" s="881" t="str">
        <x:v>Planificado</x:v>
      </x:c>
      <x:c r="O19" s="881" t="str">
        <x:v>Sprint 5</x:v>
      </x:c>
      <x:c r="P19" s="882" t="n">
        <x:v>46283</x:v>
      </x:c>
      <x:c r="Q19" s="882" t="n">
        <x:v>46284</x:v>
      </x:c>
      <x:c r="R19" s="883" t="str">
        <x:v>HU15: Web: Módulo de registro y consulta de recojos</x:v>
      </x:c>
    </x:row>
    <x:row r="20" ht="58" customHeight="1">
      <x:c r="A20" s="888" t="str">
        <x:v>RF-16</x:v>
      </x:c>
      <x:c r="B20" s="889" t="str">
        <x:v>HU16</x:v>
      </x:c>
      <x:c r="C20" s="889" t="str">
        <x:v>5.3.4</x:v>
      </x:c>
      <x:c r="D20" s="889" t="str">
        <x:v>Registrar recojo sin conexión</x:v>
      </x:c>
      <x:c r="E20" s="889" t="str">
        <x:v>El sistema deberá permitir registrar recojos de leche sin conexión a Internet para que el acopiador pueda continuar trabajando en zonas rurales sin cobertura, cumpliendo el almacenamiento local de la información.</x:v>
      </x:c>
      <x:c r="F20" s="889" t="str">
        <x:v>Funcional</x:v>
      </x:c>
      <x:c r="G20" s="889" t="str">
        <x:v>Acopiador</x:v>
      </x:c>
      <x:c r="H20" s="889" t="str">
        <x:v>Cronograma EDT</x:v>
      </x:c>
      <x:c r="I20" s="889" t="str">
        <x:v>HU16: Como acopiador, quiero registrar el recojo de leche aunque no tenga conexión a internet para seguir trabajando en zonas rurales sin cobertura.</x:v>
      </x:c>
      <x:c r="J20" s="889" t="str">
        <x:v>Must</x:v>
      </x:c>
      <x:c r="K20" s="889" t="str">
        <x:v>Sin conexión, el recojo puede guardarse localmente sin perder la información capturada.</x:v>
      </x:c>
      <x:c r="L20" s="889" t="str">
        <x:v>Móvil / Recojo Offline</x:v>
      </x:c>
      <x:c r="M20" s="889" t="str">
        <x:v>HU11</x:v>
      </x:c>
      <x:c r="N20" s="889" t="str">
        <x:v>Planificado</x:v>
      </x:c>
      <x:c r="O20" s="889" t="str">
        <x:v>Sprint 5</x:v>
      </x:c>
      <x:c r="P20" s="890" t="n">
        <x:v>46283</x:v>
      </x:c>
      <x:c r="Q20" s="890" t="n">
        <x:v>46284</x:v>
      </x:c>
      <x:c r="R20" s="891" t="str">
        <x:v>HU16: Móvil: Pantalla de registro de recojo de leche (offline-first)</x:v>
      </x:c>
    </x:row>
    <x:row r="21" ht="58" customHeight="1">
      <x:c r="A21" s="880" t="str">
        <x:v>RF-17</x:v>
      </x:c>
      <x:c r="B21" s="881" t="str">
        <x:v>HU17</x:v>
      </x:c>
      <x:c r="C21" s="881" t="str">
        <x:v>5.3.5</x:v>
      </x:c>
      <x:c r="D21" s="881" t="str">
        <x:v>Sincronizar datos offline</x:v>
      </x:c>
      <x:c r="E21" s="881" t="str">
        <x:v>El sistema deberá sincronizar automáticamente los registros almacenados localmente cuando exista conexión para que el acopiador pueda conservar la información capturada offline, cumpliendo el uso de SQLite y la sincronización con el backend.</x:v>
      </x:c>
      <x:c r="F21" s="881" t="str">
        <x:v>Funcional</x:v>
      </x:c>
      <x:c r="G21" s="881" t="str">
        <x:v>Acopiador</x:v>
      </x:c>
      <x:c r="H21" s="881" t="str">
        <x:v>Cronograma EDT</x:v>
      </x:c>
      <x:c r="I21" s="881" t="str">
        <x:v>HU17: Como acopiador, quiero que los datos registrados sin conexión se sincronicen automáticamente cuando tenga internet para no perder información.</x:v>
      </x:c>
      <x:c r="J21" s="881" t="str">
        <x:v>Must</x:v>
      </x:c>
      <x:c r="K21" s="881" t="str">
        <x:v>Al recuperar conectividad, los registros pendientes se sincronizan y quedan disponibles en el backend.</x:v>
      </x:c>
      <x:c r="L21" s="881" t="str">
        <x:v>Móvil / SQLite y Sincronización</x:v>
      </x:c>
      <x:c r="M21" s="881" t="str">
        <x:v>HU16</x:v>
      </x:c>
      <x:c r="N21" s="881" t="str">
        <x:v>Planificado</x:v>
      </x:c>
      <x:c r="O21" s="881" t="str">
        <x:v>Sprint 5</x:v>
      </x:c>
      <x:c r="P21" s="882" t="n">
        <x:v>46284</x:v>
      </x:c>
      <x:c r="Q21" s="882" t="n">
        <x:v>46285</x:v>
      </x:c>
      <x:c r="R21" s="883" t="str">
        <x:v>HU17: Móvil: Almacenamiento local (SQLite) y sincronización</x:v>
      </x:c>
    </x:row>
    <x:row r="22" ht="58" customHeight="1">
      <x:c r="A22" s="888" t="str">
        <x:v>RF-18</x:v>
      </x:c>
      <x:c r="B22" s="889" t="str">
        <x:v>HU18</x:v>
      </x:c>
      <x:c r="C22" s="889" t="str">
        <x:v>5.3.6</x:v>
      </x:c>
      <x:c r="D22" s="889" t="str">
        <x:v>Capturar evidencia del recojo</x:v>
      </x:c>
      <x:c r="E22" s="889" t="str">
        <x:v>El sistema deberá permitir capturar una fotografía o firma digital por recojo para que el acopiador pueda disponer de evidencia del registro, cumpliendo la asociación de la evidencia con el recojo correspondiente.</x:v>
      </x:c>
      <x:c r="F22" s="889" t="str">
        <x:v>Funcional</x:v>
      </x:c>
      <x:c r="G22" s="889" t="str">
        <x:v>Acopiador</x:v>
      </x:c>
      <x:c r="H22" s="889" t="str">
        <x:v>Cronograma EDT</x:v>
      </x:c>
      <x:c r="I22" s="889" t="str">
        <x:v>HU18: Como acopiador, quiero tomar una foto o capturar la firma del productor como evidencia del recojo para tener un respaldo del registro.</x:v>
      </x:c>
      <x:c r="J22" s="889" t="str">
        <x:v>Should</x:v>
      </x:c>
      <x:c r="K22" s="889" t="str">
        <x:v>La foto o firma capturada queda vinculada al recojo correcto y puede recuperarse con el registro.</x:v>
      </x:c>
      <x:c r="L22" s="889" t="str">
        <x:v>Móvil / Evidencias</x:v>
      </x:c>
      <x:c r="M22" s="889" t="str">
        <x:v>HU16</x:v>
      </x:c>
      <x:c r="N22" s="889" t="str">
        <x:v>Planificado</x:v>
      </x:c>
      <x:c r="O22" s="889" t="str">
        <x:v>Sprint 5</x:v>
      </x:c>
      <x:c r="P22" s="890" t="n">
        <x:v>46286</x:v>
      </x:c>
      <x:c r="Q22" s="890" t="n">
        <x:v>46286</x:v>
      </x:c>
      <x:c r="R22" s="891" t="str">
        <x:v>HU18: Móvil: Captura de evidencia (firma digital / foto)</x:v>
      </x:c>
    </x:row>
    <x:row r="23" ht="58" customHeight="1">
      <x:c r="A23" s="880" t="str">
        <x:v>RF-19</x:v>
      </x:c>
      <x:c r="B23" s="881" t="str">
        <x:v>HU19</x:v>
      </x:c>
      <x:c r="C23" s="881" t="str">
        <x:v>6.2.1</x:v>
      </x:c>
      <x:c r="D23" s="881" t="str">
        <x:v>Generar reportes gerenciales</x:v>
      </x:c>
      <x:c r="E23" s="881" t="str">
        <x:v>El sistema deberá generar reportes de producción total, por ruta y por productor para que el administrador pueda evaluar el desempeño operativo, cumpliendo los criterios de consulta definidos.</x:v>
      </x:c>
      <x:c r="F23" s="881" t="str">
        <x:v>Funcional</x:v>
      </x:c>
      <x:c r="G23" s="881" t="str">
        <x:v>Administrador</x:v>
      </x:c>
      <x:c r="H23" s="881" t="str">
        <x:v>Cronograma EDT</x:v>
      </x:c>
      <x:c r="I23" s="881" t="str">
        <x:v>HU19: Como administrador, quiero ver reportes gerenciales de producción total, por ruta y por productor para evaluar el desempeño de cada zona.</x:v>
      </x:c>
      <x:c r="J23" s="881" t="str">
        <x:v>Must</x:v>
      </x:c>
      <x:c r="K23" s="881" t="str">
        <x:v>Los reportes muestran producción total y desagregada por ruta y productor con datos consistentes.</x:v>
      </x:c>
      <x:c r="L23" s="881" t="str">
        <x:v>Backend / Reportes</x:v>
      </x:c>
      <x:c r="M23" s="881" t="str">
        <x:v>HU11</x:v>
      </x:c>
      <x:c r="N23" s="881" t="str">
        <x:v>Planificado</x:v>
      </x:c>
      <x:c r="O23" s="881" t="str">
        <x:v>Sprint 6</x:v>
      </x:c>
      <x:c r="P23" s="882" t="n">
        <x:v>46288</x:v>
      </x:c>
      <x:c r="Q23" s="882" t="n">
        <x:v>46289</x:v>
      </x:c>
      <x:c r="R23" s="883" t="str">
        <x:v>HU19: Backend: Módulo de reportes gerenciales</x:v>
      </x:c>
    </x:row>
    <x:row r="24" ht="58" customHeight="1">
      <x:c r="A24" s="888" t="str">
        <x:v>RF-20</x:v>
      </x:c>
      <x:c r="B24" s="889" t="str">
        <x:v>HU20</x:v>
      </x:c>
      <x:c r="C24" s="889" t="str">
        <x:v>6.2.2</x:v>
      </x:c>
      <x:c r="D24" s="889" t="str">
        <x:v>Generar notificaciones</x:v>
      </x:c>
      <x:c r="E24" s="889" t="str">
        <x:v>El sistema deberá generar notificaciones por los canales previstos para que el administrador pueda conocer eventos importantes del sistema, cumpliendo la configuración de notificaciones definida.</x:v>
      </x:c>
      <x:c r="F24" s="889" t="str">
        <x:v>Funcional</x:v>
      </x:c>
      <x:c r="G24" s="889" t="str">
        <x:v>Administrador</x:v>
      </x:c>
      <x:c r="H24" s="889" t="str">
        <x:v>Cronograma EDT</x:v>
      </x:c>
      <x:c r="I24" s="889" t="str">
        <x:v>HU20: Como administrador, quiero recibir notificaciones por correo electrónico para estar al tanto de eventos importantes del sistema.</x:v>
      </x:c>
      <x:c r="J24" s="889" t="str">
        <x:v>Should</x:v>
      </x:c>
      <x:c r="K24" s="889" t="str">
        <x:v>El sistema genera una notificación configurada por el canal previsto.</x:v>
      </x:c>
      <x:c r="L24" s="889" t="str">
        <x:v>Backend / Notificaciones</x:v>
      </x:c>
      <x:c r="M24" s="889" t="str">
        <x:v>HU03</x:v>
      </x:c>
      <x:c r="N24" s="889" t="str">
        <x:v>Planificado</x:v>
      </x:c>
      <x:c r="O24" s="889" t="str">
        <x:v>Sprint 6</x:v>
      </x:c>
      <x:c r="P24" s="890" t="n">
        <x:v>46289</x:v>
      </x:c>
      <x:c r="Q24" s="890" t="n">
        <x:v>46289</x:v>
      </x:c>
      <x:c r="R24" s="891" t="str">
        <x:v>HU20: Backend: Módulo de notificaciones (email / push)</x:v>
      </x:c>
    </x:row>
    <x:row r="25" ht="58" customHeight="1">
      <x:c r="A25" s="880" t="str">
        <x:v>RF-21</x:v>
      </x:c>
      <x:c r="B25" s="881" t="str">
        <x:v>HU21</x:v>
      </x:c>
      <x:c r="C25" s="881" t="str">
        <x:v>6.2.3</x:v>
      </x:c>
      <x:c r="D25" s="881" t="str">
        <x:v>Visualizar dashboard con gráficos</x:v>
      </x:c>
      <x:c r="E25" s="881" t="str">
        <x:v>El sistema deberá mostrar un dashboard con gráficos de producción y tendencias para que el administrador pueda visualizar rápidamente el estado del negocio, cumpliendo la consistencia con los datos registrados.</x:v>
      </x:c>
      <x:c r="F25" s="881" t="str">
        <x:v>Funcional</x:v>
      </x:c>
      <x:c r="G25" s="881" t="str">
        <x:v>Administrador</x:v>
      </x:c>
      <x:c r="H25" s="881" t="str">
        <x:v>Cronograma EDT</x:v>
      </x:c>
      <x:c r="I25" s="881" t="str">
        <x:v>HU21: Como administrador, quiero ver un dashboard con gráficos de producción y tendencias para tener una visión rápida del estado del negocio.</x:v>
      </x:c>
      <x:c r="J25" s="881" t="str">
        <x:v>Must</x:v>
      </x:c>
      <x:c r="K25" s="881" t="str">
        <x:v>Los gráficos del dashboard reflejan los datos de producción y tendencias registrados.</x:v>
      </x:c>
      <x:c r="L25" s="881" t="str">
        <x:v>Web / Dashboard</x:v>
      </x:c>
      <x:c r="M25" s="881" t="str">
        <x:v>HU19</x:v>
      </x:c>
      <x:c r="N25" s="881" t="str">
        <x:v>Planificado</x:v>
      </x:c>
      <x:c r="O25" s="881" t="str">
        <x:v>Sprint 6</x:v>
      </x:c>
      <x:c r="P25" s="882" t="n">
        <x:v>46290</x:v>
      </x:c>
      <x:c r="Q25" s="882" t="n">
        <x:v>46291</x:v>
      </x:c>
      <x:c r="R25" s="883" t="str">
        <x:v>HU21: Web: Dashboard de reportes con gráficos</x:v>
      </x:c>
    </x:row>
    <x:row r="26" ht="58" customHeight="1">
      <x:c r="A26" s="888" t="str">
        <x:v>RF-22</x:v>
      </x:c>
      <x:c r="B26" s="889" t="str">
        <x:v>HU22</x:v>
      </x:c>
      <x:c r="C26" s="889" t="str">
        <x:v>6.2.4</x:v>
      </x:c>
      <x:c r="D26" s="889" t="str">
        <x:v>Administrar usuarios y roles</x:v>
      </x:c>
      <x:c r="E26" s="889" t="str">
        <x:v>El sistema deberá permitir administrar usuarios y roles desde la plataforma web para que el administrador pueda controlar el acceso a las funcionalidades, cumpliendo los permisos asignados a cada rol.</x:v>
      </x:c>
      <x:c r="F26" s="889" t="str">
        <x:v>Funcional</x:v>
      </x:c>
      <x:c r="G26" s="889" t="str">
        <x:v>Administrador</x:v>
      </x:c>
      <x:c r="H26" s="889" t="str">
        <x:v>Cronograma EDT</x:v>
      </x:c>
      <x:c r="I26" s="889" t="str">
        <x:v>HU22: Como administrador, quiero gestionar los usuarios del sistema y sus roles para controlar quién tiene acceso a cada funcionalidad.</x:v>
      </x:c>
      <x:c r="J26" s="889" t="str">
        <x:v>Must</x:v>
      </x:c>
      <x:c r="K26" s="889" t="str">
        <x:v>El administrador puede crear/editar usuarios, asignar roles y verificar que los permisos se apliquen.</x:v>
      </x:c>
      <x:c r="L26" s="889" t="str">
        <x:v>Web / Usuarios y Roles</x:v>
      </x:c>
      <x:c r="M26" s="889" t="str">
        <x:v>HU03</x:v>
      </x:c>
      <x:c r="N26" s="889" t="str">
        <x:v>Planificado</x:v>
      </x:c>
      <x:c r="O26" s="889" t="str">
        <x:v>Sprint 6</x:v>
      </x:c>
      <x:c r="P26" s="890" t="n">
        <x:v>46291</x:v>
      </x:c>
      <x:c r="Q26" s="890" t="n">
        <x:v>46291</x:v>
      </x:c>
      <x:c r="R26" s="891" t="str">
        <x:v>HU22: Web: Módulo de administración de usuarios y roles</x:v>
      </x:c>
    </x:row>
    <x:row r="27" ht="58" customHeight="1">
      <x:c r="A27" s="880" t="str">
        <x:v>RF-23</x:v>
      </x:c>
      <x:c r="B27" s="881" t="str">
        <x:v>HU23</x:v>
      </x:c>
      <x:c r="C27" s="881" t="str">
        <x:v>6.2.5</x:v>
      </x:c>
      <x:c r="D27" s="881" t="str">
        <x:v>Recibir notificaciones push</x:v>
      </x:c>
      <x:c r="E27" s="881" t="str">
        <x:v>El sistema deberá enviar notificaciones push a la aplicación móvil para que el acopiador pueda recibir novedades y alertas, cumpliendo la integración prevista con Firebase Cloud Messaging.</x:v>
      </x:c>
      <x:c r="F27" s="881" t="str">
        <x:v>Funcional</x:v>
      </x:c>
      <x:c r="G27" s="881" t="str">
        <x:v>Acopiador</x:v>
      </x:c>
      <x:c r="H27" s="881" t="str">
        <x:v>Cronograma EDT</x:v>
      </x:c>
      <x:c r="I27" s="881" t="str">
        <x:v>HU23: Como acopiador, quiero recibir notificaciones push en mi dispositivo móvil para estar informado sobre novedades y alertas en el campo.</x:v>
      </x:c>
      <x:c r="J27" s="881" t="str">
        <x:v>Should</x:v>
      </x:c>
      <x:c r="K27" s="881" t="str">
        <x:v>La app móvil recibe una notificación push enviada mediante el mecanismo configurado.</x:v>
      </x:c>
      <x:c r="L27" s="881" t="str">
        <x:v>Móvil / Notificaciones</x:v>
      </x:c>
      <x:c r="M27" s="881" t="str">
        <x:v>HU20</x:v>
      </x:c>
      <x:c r="N27" s="881" t="str">
        <x:v>Planificado</x:v>
      </x:c>
      <x:c r="O27" s="881" t="str">
        <x:v>Sprint 6</x:v>
      </x:c>
      <x:c r="P27" s="882" t="n">
        <x:v>46290</x:v>
      </x:c>
      <x:c r="Q27" s="882" t="n">
        <x:v>46290</x:v>
      </x:c>
      <x:c r="R27" s="883" t="str">
        <x:v>HU23: Móvil: Notificaciones push (Firebase Cloud Messaging)</x:v>
      </x:c>
    </x:row>
    <x:row r="28" ht="58" customHeight="1">
      <x:c r="A28" s="888" t="str">
        <x:v>RF-24</x:v>
      </x:c>
      <x:c r="B28" s="889" t="str">
        <x:v>HU24</x:v>
      </x:c>
      <x:c r="C28" s="889" t="str">
        <x:v>6.2.6</x:v>
      </x:c>
      <x:c r="D28" s="889" t="str">
        <x:v>Consultar historial de recojos</x:v>
      </x:c>
      <x:c r="E28" s="889" t="str">
        <x:v>El sistema deberá permitir consultar el historial de recojos y reportes personales desde la aplicación móvil para que el acopiador pueda controlar su trabajo diario, cumpliendo la visualización de sus propios registros.</x:v>
      </x:c>
      <x:c r="F28" s="889" t="str">
        <x:v>Funcional</x:v>
      </x:c>
      <x:c r="G28" s="889" t="str">
        <x:v>Acopiador</x:v>
      </x:c>
      <x:c r="H28" s="889" t="str">
        <x:v>Cronograma EDT</x:v>
      </x:c>
      <x:c r="I28" s="889" t="str">
        <x:v>HU24: Como acopiador, quiero consultar mi historial de recojos y reportes personales desde la app móvil para llevar un control de mi trabajo diario.</x:v>
      </x:c>
      <x:c r="J28" s="889" t="str">
        <x:v>Should</x:v>
      </x:c>
      <x:c r="K28" s="889" t="str">
        <x:v>El acopiador visualiza su historial de recojos y reportes personales.</x:v>
      </x:c>
      <x:c r="L28" s="889" t="str">
        <x:v>Móvil / Historial</x:v>
      </x:c>
      <x:c r="M28" s="889" t="str">
        <x:v>HU11</x:v>
      </x:c>
      <x:c r="N28" s="889" t="str">
        <x:v>Planificado</x:v>
      </x:c>
      <x:c r="O28" s="889" t="str">
        <x:v>Sprint 6</x:v>
      </x:c>
      <x:c r="P28" s="890" t="n">
        <x:v>46290</x:v>
      </x:c>
      <x:c r="Q28" s="890" t="n">
        <x:v>46291</x:v>
      </x:c>
      <x:c r="R28" s="891" t="str">
        <x:v>HU24: Móvil: Pantalla de historial de recojos y reportes personales</x:v>
      </x:c>
    </x:row>
    <x:row r="29" ht="58" customHeight="1">
      <x:c r="A29" s="880" t="str">
        <x:v>RI-01</x:v>
      </x:c>
      <x:c r="B29" s="881" t="str">
        <x:v>HU25</x:v>
      </x:c>
      <x:c r="C29" s="881" t="str">
        <x:v>8.5.2</x:v>
      </x:c>
      <x:c r="D29" s="881" t="str">
        <x:v>Capacitar administradores del sistema</x:v>
      </x:c>
      <x:c r="E29" s="881" t="str">
        <x:v>El proyecto deberá capacitar a los administradores en el uso del módulo web para que puedan gestionar las operaciones del sistema, cumpliendo la sesión de capacitación prevista en el Sprint 8.</x:v>
      </x:c>
      <x:c r="F29" s="881" t="str">
        <x:v>Implementación</x:v>
      </x:c>
      <x:c r="G29" s="881" t="str">
        <x:v>Administrador</x:v>
      </x:c>
      <x:c r="H29" s="881" t="str">
        <x:v>Cronograma EDT</x:v>
      </x:c>
      <x:c r="I29" s="881" t="str">
        <x:v>HU25: Como administrador, quiero recibir capacitación sobre el uso del sistema web para gestionar eficientemente las operaciones.</x:v>
      </x:c>
      <x:c r="J29" s="881" t="str">
        <x:v>Should</x:v>
      </x:c>
      <x:c r="K29" s="881" t="str">
        <x:v>Se realiza la capacitación web prevista y los administradores reciben el material o guía correspondiente.</x:v>
      </x:c>
      <x:c r="L29" s="881" t="str">
        <x:v>Implementación / Capacitación Web</x:v>
      </x:c>
      <x:c r="M29" s="881" t="str">
        <x:v>HU21, HU22</x:v>
      </x:c>
      <x:c r="N29" s="881" t="str">
        <x:v>Planificado</x:v>
      </x:c>
      <x:c r="O29" s="881" t="str">
        <x:v>Sprint 8</x:v>
      </x:c>
      <x:c r="P29" s="882" t="n">
        <x:v>46305</x:v>
      </x:c>
      <x:c r="Q29" s="882" t="n">
        <x:v>46305</x:v>
      </x:c>
      <x:c r="R29" s="883" t="str">
        <x:v>HU25: Capacitación a administradores del sistema (módulo Web)</x:v>
      </x:c>
    </x:row>
    <x:row r="30" ht="58" customHeight="1">
      <x:c r="A30" s="888" t="str">
        <x:v>RI-02</x:v>
      </x:c>
      <x:c r="B30" s="889" t="str">
        <x:v>HU26</x:v>
      </x:c>
      <x:c r="C30" s="889" t="str">
        <x:v>8.5.3</x:v>
      </x:c>
      <x:c r="D30" s="889" t="str">
        <x:v>Capacitar acopiadores en la app móvil</x:v>
      </x:c>
      <x:c r="E30" s="889" t="str">
        <x:v>El proyecto deberá capacitar a los acopiadores y usuarios finales en el uso de la aplicación móvil para que puedan registrar correctamente los recojos en campo, cumpliendo la capacitación prevista en Huata.</x:v>
      </x:c>
      <x:c r="F30" s="889" t="str">
        <x:v>Implementación</x:v>
      </x:c>
      <x:c r="G30" s="889" t="str">
        <x:v>Acopiador</x:v>
      </x:c>
      <x:c r="H30" s="889" t="str">
        <x:v>Cronograma EDT</x:v>
      </x:c>
      <x:c r="I30" s="889" t="str">
        <x:v>HU26: Como acopiador, quiero recibir capacitación sobre el uso de la aplicación móvil en campo para aprender a registrar los recojos de leche correctamente.</x:v>
      </x:c>
      <x:c r="J30" s="889" t="str">
        <x:v>Should</x:v>
      </x:c>
      <x:c r="K30" s="889" t="str">
        <x:v>Se realiza la capacitación móvil en Huata y los acopiadores practican el registro de recojos.</x:v>
      </x:c>
      <x:c r="L30" s="889" t="str">
        <x:v>Implementación / Capacitación Móvil</x:v>
      </x:c>
      <x:c r="M30" s="889" t="str">
        <x:v>HU16, HU24</x:v>
      </x:c>
      <x:c r="N30" s="889" t="str">
        <x:v>Planificado</x:v>
      </x:c>
      <x:c r="O30" s="889" t="str">
        <x:v>Sprint 8</x:v>
      </x:c>
      <x:c r="P30" s="890" t="n">
        <x:v>46306</x:v>
      </x:c>
      <x:c r="Q30" s="890" t="n">
        <x:v>46306</x:v>
      </x:c>
      <x:c r="R30" s="891" t="str">
        <x:v>HU26: Capacitación a acopiadores / usuarios finales (App Móvil) en Huata</x:v>
      </x:c>
    </x:row>
    <x:row r="31" ht="58" customHeight="1">
      <x:c r="A31" s="880" t="str">
        <x:v>RS-01</x:v>
      </x:c>
      <x:c r="B31" s="881" t="str">
        <x:v>HU27</x:v>
      </x:c>
      <x:c r="C31" s="881" t="str">
        <x:v>8.5.4</x:v>
      </x:c>
      <x:c r="D31" s="881" t="str">
        <x:v>Brindar soporte post-implementación</x:v>
      </x:c>
      <x:c r="E31" s="881" t="str">
        <x:v>El servicio deberá brindar soporte post-implementación para que los usuarios puedan resolver dudas o incidencias iniciales, cumpliendo el periodo de hipercare planificado.</x:v>
      </x:c>
      <x:c r="F31" s="881" t="str">
        <x:v>Servicio</x:v>
      </x:c>
      <x:c r="G31" s="881" t="str">
        <x:v>Usuario del sistema</x:v>
      </x:c>
      <x:c r="H31" s="881" t="str">
        <x:v>Cronograma EDT</x:v>
      </x:c>
      <x:c r="I31" s="881" t="str">
        <x:v>HU27: Como usuario del sistema, quiero contar con soporte post-implementación para resolver dudas o problemas durante los primeros días de uso.</x:v>
      </x:c>
      <x:c r="J31" s="881" t="str">
        <x:v>Should</x:v>
      </x:c>
      <x:c r="K31" s="881" t="str">
        <x:v>Durante el hipercare se registran y atienden las dudas o incidencias reportadas por los usuarios.</x:v>
      </x:c>
      <x:c r="L31" s="881" t="str">
        <x:v>Servicio / Soporte</x:v>
      </x:c>
      <x:c r="M31" s="881" t="str">
        <x:v>HU25, HU26</x:v>
      </x:c>
      <x:c r="N31" s="881" t="str">
        <x:v>Planificado</x:v>
      </x:c>
      <x:c r="O31" s="881" t="str">
        <x:v>Sprint 8</x:v>
      </x:c>
      <x:c r="P31" s="882" t="n">
        <x:v>46306</x:v>
      </x:c>
      <x:c r="Q31" s="882" t="n">
        <x:v>46307</x:v>
      </x:c>
      <x:c r="R31" s="883" t="str">
        <x:v>HU27: Soporte post-implementación (hipercare)</x:v>
      </x:c>
    </x:row>
    <x:row r="32" ht="58" customHeight="1">
      <x:c r="A32" s="896" t="str">
        <x:v>RNF-01</x:v>
      </x:c>
      <x:c r="B32" s="897" t="str">
        <x:v>—</x:v>
      </x:c>
      <x:c r="C32" s="897" t="str">
        <x:v>2.2.1–2.2.7 / 6.3.1</x:v>
      </x:c>
      <x:c r="D32" s="897" t="str">
        <x:v>Interfaz intuitiva y usable</x:v>
      </x:c>
      <x:c r="E32" s="897" t="str">
        <x:v>El sistema deberá mantener una interfaz clara y usable para que los usuarios puedan completar los flujos principales, cumpliendo los prototipos y ajustes UI/UX planificados.</x:v>
      </x:c>
      <x:c r="F32" s="897" t="str">
        <x:v>No funcional</x:v>
      </x:c>
      <x:c r="G32" s="897" t="str">
        <x:v>Todos</x:v>
      </x:c>
      <x:c r="H32" s="897" t="str">
        <x:v>Project Charter + Cronograma EDT</x:v>
      </x:c>
      <x:c r="I32" s="897" t="str">
        <x:v>Diseño y validación de interfaces / ajustes UI/UX</x:v>
      </x:c>
      <x:c r="J32" s="897" t="str">
        <x:v>Must</x:v>
      </x:c>
      <x:c r="K32" s="897" t="str">
        <x:v>Los flujos principales pueden ejecutarse sin pérdida de controles y los ajustes de UI/UX planificados quedan incorporados.</x:v>
      </x:c>
      <x:c r="L32" s="897" t="str">
        <x:v>Transversal / UX</x:v>
      </x:c>
      <x:c r="M32" s="897" t="str">
        <x:v>—</x:v>
      </x:c>
      <x:c r="N32" s="897" t="str">
        <x:v>Planificado</x:v>
      </x:c>
      <x:c r="O32" s="897" t="str">
        <x:v>Sprint 2 / Sprint 6</x:v>
      </x:c>
      <x:c r="P32" s="898" t="n">
        <x:v>46261</x:v>
      </x:c>
      <x:c r="Q32" s="898" t="n">
        <x:v>46292</x:v>
      </x:c>
      <x:c r="R32" s="899" t="str">
        <x:v>Prototipos + ajustes UI/UX</x:v>
      </x:c>
    </x:row>
    <x:row r="33" ht="58" customHeight="1">
      <x:c r="A33" s="896" t="str">
        <x:v>RNF-02</x:v>
      </x:c>
      <x:c r="B33" s="897" t="str">
        <x:v>—</x:v>
      </x:c>
      <x:c r="C33" s="897" t="str">
        <x:v>3.3.8 / 3.4.3 / 7.2.9</x:v>
      </x:c>
      <x:c r="D33" s="897" t="str">
        <x:v>Seguridad de la información</x:v>
      </x:c>
      <x:c r="E33" s="897" t="str">
        <x:v>El sistema deberá proteger el acceso a las funcionalidades para que solo usuarios autorizados puedan operar, cumpliendo Spring Security, JWT y las pruebas de seguridad planificadas.</x:v>
      </x:c>
      <x:c r="F33" s="897" t="str">
        <x:v>No funcional</x:v>
      </x:c>
      <x:c r="G33" s="897" t="str">
        <x:v>Todos</x:v>
      </x:c>
      <x:c r="H33" s="897" t="str">
        <x:v>Project Charter + Cronograma EDT</x:v>
      </x:c>
      <x:c r="I33" s="897" t="str">
        <x:v>Seguridad, autenticación y pruebas no funcionales</x:v>
      </x:c>
      <x:c r="J33" s="897" t="str">
        <x:v>Must</x:v>
      </x:c>
      <x:c r="K33" s="897" t="str">
        <x:v>Las funciones protegidas requieren autenticación válida y las pruebas de seguridad no presentan fallos críticos.</x:v>
      </x:c>
      <x:c r="L33" s="897" t="str">
        <x:v>Seguridad</x:v>
      </x:c>
      <x:c r="M33" s="897" t="str">
        <x:v>RF-01, RF-02, RF-03, RF-22</x:v>
      </x:c>
      <x:c r="N33" s="897" t="str">
        <x:v>Planificado</x:v>
      </x:c>
      <x:c r="O33" s="897" t="str">
        <x:v>Sprint 3 / Sprint 7</x:v>
      </x:c>
      <x:c r="P33" s="898" t="n">
        <x:v>46269</x:v>
      </x:c>
      <x:c r="Q33" s="898" t="n">
        <x:v>46297</x:v>
      </x:c>
      <x:c r="R33" s="899" t="str">
        <x:v>Seguridad base + pruebas no funcionales</x:v>
      </x:c>
    </x:row>
    <x:row r="34" ht="58" customHeight="1">
      <x:c r="A34" s="896" t="str">
        <x:v>RNF-03</x:v>
      </x:c>
      <x:c r="B34" s="897" t="str">
        <x:v>—</x:v>
      </x:c>
      <x:c r="C34" s="897" t="str">
        <x:v>8.2.4</x:v>
      </x:c>
      <x:c r="D34" s="897" t="str">
        <x:v>Compatibilidad Android</x:v>
      </x:c>
      <x:c r="E34" s="897" t="str">
        <x:v>La aplicación móvil deberá poder distribuirse e instalarse en Android para que los acopiadores puedan utilizarla en campo, cumpliendo la generación y distribución de la APK planificada.</x:v>
      </x:c>
      <x:c r="F34" s="897" t="str">
        <x:v>No funcional</x:v>
      </x:c>
      <x:c r="G34" s="897" t="str">
        <x:v>Acopiador</x:v>
      </x:c>
      <x:c r="H34" s="897" t="str">
        <x:v>Project Charter + Cronograma EDT</x:v>
      </x:c>
      <x:c r="I34" s="897" t="str">
        <x:v>Generación y distribución de la app móvil (APK)</x:v>
      </x:c>
      <x:c r="J34" s="897" t="str">
        <x:v>Must</x:v>
      </x:c>
      <x:c r="K34" s="897" t="str">
        <x:v>La APK se genera, se distribuye y permite ejecutar los flujos móviles previstos.</x:v>
      </x:c>
      <x:c r="L34" s="897" t="str">
        <x:v>Móvil</x:v>
      </x:c>
      <x:c r="M34" s="897" t="str">
        <x:v>RF-02, RF-09, RF-10, RF-16, RF-17, RF-18, RF-23, RF-24</x:v>
      </x:c>
      <x:c r="N34" s="897" t="str">
        <x:v>Planificado</x:v>
      </x:c>
      <x:c r="O34" s="897" t="str">
        <x:v>Sprint 8</x:v>
      </x:c>
      <x:c r="P34" s="898" t="n">
        <x:v>46303</x:v>
      </x:c>
      <x:c r="Q34" s="898" t="n">
        <x:v>46303</x:v>
      </x:c>
      <x:c r="R34" s="899" t="str">
        <x:v>APK distribuida</x:v>
      </x:c>
    </x:row>
    <x:row r="35" ht="58" customHeight="1">
      <x:c r="A35" s="896" t="str">
        <x:v>RNF-04</x:v>
      </x:c>
      <x:c r="B35" s="897" t="str">
        <x:v>—</x:v>
      </x:c>
      <x:c r="C35" s="897" t="str">
        <x:v>—</x:v>
      </x:c>
      <x:c r="D35" s="897" t="str">
        <x:v>Compatibilidad web</x:v>
      </x:c>
      <x:c r="E35" s="897" t="str">
        <x:v>La plataforma web deberá operar en los navegadores definidos por el proyecto para que los administradores puedan utilizar sus módulos, cumpliendo la restricción de compatibilidad establecida en el Project Charter.</x:v>
      </x:c>
      <x:c r="F35" s="897" t="str">
        <x:v>No funcional</x:v>
      </x:c>
      <x:c r="G35" s="897" t="str">
        <x:v>Administrador</x:v>
      </x:c>
      <x:c r="H35" s="897" t="str">
        <x:v>Project Charter</x:v>
      </x:c>
      <x:c r="I35" s="897" t="str">
        <x:v>Restricción de compatibilidad web</x:v>
      </x:c>
      <x:c r="J35" s="897" t="str">
        <x:v>Must</x:v>
      </x:c>
      <x:c r="K35" s="897" t="str">
        <x:v>Las funciones web críticas pueden ejecutarse en los navegadores objetivo definidos por el proyecto.</x:v>
      </x:c>
      <x:c r="L35" s="897" t="str">
        <x:v>Web</x:v>
      </x:c>
      <x:c r="M35" s="897" t="str">
        <x:v>RF-01, RF-07, RF-08, RF-12, RF-15, RF-21, RF-22</x:v>
      </x:c>
      <x:c r="N35" s="897" t="str">
        <x:v>Planificado</x:v>
      </x:c>
      <x:c r="O35" s="897" t="str">
        <x:v>Transversal</x:v>
      </x:c>
      <x:c r="P35" s="898" t="n">
        <x:v>46253</x:v>
      </x:c>
      <x:c r="Q35" s="898" t="n">
        <x:v>46309</x:v>
      </x:c>
      <x:c r="R35" s="899" t="str">
        <x:v>Validación transversal de compatibilidad web</x:v>
      </x:c>
    </x:row>
    <x:row r="36" ht="58" customHeight="1">
      <x:c r="A36" s="896" t="str">
        <x:v>RNF-05</x:v>
      </x:c>
      <x:c r="B36" s="897" t="str">
        <x:v>—</x:v>
      </x:c>
      <x:c r="C36" s="897" t="str">
        <x:v>7.2.9</x:v>
      </x:c>
      <x:c r="D36" s="897" t="str">
        <x:v>Rendimiento y estabilidad</x:v>
      </x:c>
      <x:c r="E36" s="897" t="str">
        <x:v>El sistema deberá mantener un comportamiento estable durante los flujos habituales para que los usuarios puedan operar sin bloqueos críticos, cumpliendo las pruebas no funcionales de rendimiento y seguridad.</x:v>
      </x:c>
      <x:c r="F36" s="897" t="str">
        <x:v>No funcional</x:v>
      </x:c>
      <x:c r="G36" s="897" t="str">
        <x:v>Todos</x:v>
      </x:c>
      <x:c r="H36" s="897" t="str">
        <x:v>Project Charter + Cronograma EDT</x:v>
      </x:c>
      <x:c r="I36" s="897" t="str">
        <x:v>Pruebas no funcionales (rendimiento, seguridad)</x:v>
      </x:c>
      <x:c r="J36" s="897" t="str">
        <x:v>Should</x:v>
      </x:c>
      <x:c r="K36" s="897" t="str">
        <x:v>Las pruebas no funcionales no detectan fallos críticos de rendimiento o estabilidad.</x:v>
      </x:c>
      <x:c r="L36" s="897" t="str">
        <x:v>Transversal</x:v>
      </x:c>
      <x:c r="M36" s="897" t="str">
        <x:v>—</x:v>
      </x:c>
      <x:c r="N36" s="897" t="str">
        <x:v>Planificado</x:v>
      </x:c>
      <x:c r="O36" s="897" t="str">
        <x:v>Sprint 7</x:v>
      </x:c>
      <x:c r="P36" s="898" t="n">
        <x:v>46297</x:v>
      </x:c>
      <x:c r="Q36" s="898" t="n">
        <x:v>46297</x:v>
      </x:c>
      <x:c r="R36" s="899" t="str">
        <x:v>Reporte de pruebas no funcionales</x:v>
      </x:c>
    </x:row>
    <x:row r="37" ht="58" customHeight="1">
      <x:c r="A37" s="896" t="str">
        <x:v>RNF-06</x:v>
      </x:c>
      <x:c r="B37" s="897" t="str">
        <x:v>—</x:v>
      </x:c>
      <x:c r="C37" s="897" t="str">
        <x:v>3.3.3 / 5.3.5</x:v>
      </x:c>
      <x:c r="D37" s="897" t="str">
        <x:v>Persistencia de datos</x:v>
      </x:c>
      <x:c r="E37" s="897" t="str">
        <x:v>El sistema deberá persistir la información operativa para que los datos de servidor y los registros offline puedan conservarse y recuperarse, cumpliendo PostgreSQL en backend y SQLite en móvil.</x:v>
      </x:c>
      <x:c r="F37" s="897" t="str">
        <x:v>No funcional</x:v>
      </x:c>
      <x:c r="G37" s="897" t="str">
        <x:v>Equipo de desarrollo</x:v>
      </x:c>
      <x:c r="H37" s="897" t="str">
        <x:v>Project Charter + Cronograma EDT</x:v>
      </x:c>
      <x:c r="I37" s="897" t="str">
        <x:v>PostgreSQL + SQLite y sincronización</x:v>
      </x:c>
      <x:c r="J37" s="897" t="str">
        <x:v>Must</x:v>
      </x:c>
      <x:c r="K37" s="897" t="str">
        <x:v>Los datos del backend quedan almacenados en PostgreSQL y los registros offline se conservan en SQLite hasta su sincronización.</x:v>
      </x:c>
      <x:c r="L37" s="897" t="str">
        <x:v>Datos</x:v>
      </x:c>
      <x:c r="M37" s="897" t="str">
        <x:v>RF-17</x:v>
      </x:c>
      <x:c r="N37" s="897" t="str">
        <x:v>Planificado</x:v>
      </x:c>
      <x:c r="O37" s="897" t="str">
        <x:v>Sprint 3 / Sprint 5</x:v>
      </x:c>
      <x:c r="P37" s="898" t="n">
        <x:v>46269</x:v>
      </x:c>
      <x:c r="Q37" s="898" t="n">
        <x:v>46285</x:v>
      </x:c>
      <x:c r="R37" s="899" t="str">
        <x:v>BD PostgreSQL + módulo de sincronización</x:v>
      </x:c>
    </x:row>
    <x:row r="38" ht="58" customHeight="1">
      <x:c r="A38" s="896" t="str">
        <x:v>RNF-07</x:v>
      </x:c>
      <x:c r="B38" s="897" t="str">
        <x:v>—</x:v>
      </x:c>
      <x:c r="C38" s="897" t="str">
        <x:v>8.2.1–8.2.3 / 8.4.1</x:v>
      </x:c>
      <x:c r="D38" s="897" t="str">
        <x:v>Disponibilidad en producción</x:v>
      </x:c>
      <x:c r="E38" s="897" t="str">
        <x:v>El sistema deberá quedar operativo en el entorno de producción para que los usuarios puedan acceder a la solución desplegada, cumpliendo el despliegue de backend, frontend y las pruebas de humo.</x:v>
      </x:c>
      <x:c r="F38" s="897" t="str">
        <x:v>No funcional</x:v>
      </x:c>
      <x:c r="G38" s="897" t="str">
        <x:v>Administrador</x:v>
      </x:c>
      <x:c r="H38" s="897" t="str">
        <x:v>Project Charter + Cronograma EDT</x:v>
      </x:c>
      <x:c r="I38" s="897" t="str">
        <x:v>Producción + smoke testing</x:v>
      </x:c>
      <x:c r="J38" s="897" t="str">
        <x:v>Should</x:v>
      </x:c>
      <x:c r="K38" s="897" t="str">
        <x:v>Backend y frontend quedan desplegados y superan las pruebas de humo planificadas.</x:v>
      </x:c>
      <x:c r="L38" s="897" t="str">
        <x:v>Infraestructura</x:v>
      </x:c>
      <x:c r="M38" s="897" t="str">
        <x:v>RNF-02</x:v>
      </x:c>
      <x:c r="N38" s="897" t="str">
        <x:v>Planificado</x:v>
      </x:c>
      <x:c r="O38" s="897" t="str">
        <x:v>Sprint 8</x:v>
      </x:c>
      <x:c r="P38" s="898" t="n">
        <x:v>46302</x:v>
      </x:c>
      <x:c r="Q38" s="898" t="n">
        <x:v>46304</x:v>
      </x:c>
      <x:c r="R38" s="899" t="str">
        <x:v>Entorno productivo validado</x:v>
      </x:c>
    </x:row>
    <x:row r="39" ht="58" customHeight="1">
      <x:c r="A39" s="896" t="str">
        <x:v>RNF-08</x:v>
      </x:c>
      <x:c r="B39" s="897" t="str">
        <x:v>—</x:v>
      </x:c>
      <x:c r="C39" s="897" t="str">
        <x:v>8.3.1</x:v>
      </x:c>
      <x:c r="D39" s="897" t="str">
        <x:v>Integridad de carga inicial</x:v>
      </x:c>
      <x:c r="E39" s="897" t="str">
        <x:v>La implementación deberá validar la migración y carga inicial de datos para que la puesta en producción conserve información consistente, cumpliendo la tarea de carga de datos maestros prevista.</x:v>
      </x:c>
      <x:c r="F39" s="897" t="str">
        <x:v>No funcional</x:v>
      </x:c>
      <x:c r="G39" s="897" t="str">
        <x:v>Administrador / Equipo</x:v>
      </x:c>
      <x:c r="H39" s="897" t="str">
        <x:v>Project Charter + Cronograma EDT</x:v>
      </x:c>
      <x:c r="I39" s="897" t="str">
        <x:v>Migración y carga inicial de datos maestros</x:v>
      </x:c>
      <x:c r="J39" s="897" t="str">
        <x:v>Must</x:v>
      </x:c>
      <x:c r="K39" s="897" t="str">
        <x:v>La carga inicial finaliza con los datos maestros disponibles y sin inconsistencias críticas detectadas.</x:v>
      </x:c>
      <x:c r="L39" s="897" t="str">
        <x:v>Datos</x:v>
      </x:c>
      <x:c r="M39" s="897" t="str">
        <x:v>RNF-06</x:v>
      </x:c>
      <x:c r="N39" s="897" t="str">
        <x:v>Planificado</x:v>
      </x:c>
      <x:c r="O39" s="897" t="str">
        <x:v>Sprint 8</x:v>
      </x:c>
      <x:c r="P39" s="898" t="n">
        <x:v>46304</x:v>
      </x:c>
      <x:c r="Q39" s="898" t="n">
        <x:v>46304</x:v>
      </x:c>
      <x:c r="R39" s="899" t="str">
        <x:v>Datos maestros cargados</x:v>
      </x:c>
    </x:row>
    <x:row r="40" ht="58" customHeight="1">
      <x:c r="A40" s="900" t="str">
        <x:v>RNF-09</x:v>
      </x:c>
      <x:c r="B40" s="901" t="str">
        <x:v>—</x:v>
      </x:c>
      <x:c r="C40" s="901" t="str">
        <x:v>4.3.1 / 7.3.1 / 7.3.2 / 9.2.1</x:v>
      </x:c>
      <x:c r="D40" s="901" t="str">
        <x:v>Mantenibilidad y documentación</x:v>
      </x:c>
      <x:c r="E40" s="901" t="str">
        <x:v>La solución deberá contar con documentación técnica y de usuario para que el equipo pueda desplegar, soportar y mantener el sistema, cumpliendo Swagger/OpenAPI, manual de usuario, manual técnico y entrega documental.</x:v>
      </x:c>
      <x:c r="F40" s="901" t="str">
        <x:v>No funcional</x:v>
      </x:c>
      <x:c r="G40" s="901" t="str">
        <x:v>Equipo de desarrollo</x:v>
      </x:c>
      <x:c r="H40" s="901" t="str">
        <x:v>Project Charter + Cronograma EDT</x:v>
      </x:c>
      <x:c r="I40" s="901" t="str">
        <x:v>Documentación técnica y de usuario</x:v>
      </x:c>
      <x:c r="J40" s="901" t="str">
        <x:v>Should</x:v>
      </x:c>
      <x:c r="K40" s="901" t="str">
        <x:v>Se entregan la documentación de API, el manual de usuario, el manual técnico y la documentación final previstas.</x:v>
      </x:c>
      <x:c r="L40" s="901" t="str">
        <x:v>Documentación</x:v>
      </x:c>
      <x:c r="M40" s="901" t="str">
        <x:v>—</x:v>
      </x:c>
      <x:c r="N40" s="901" t="str">
        <x:v>Planificado</x:v>
      </x:c>
      <x:c r="O40" s="901" t="str">
        <x:v>Sprint 4 / Sprint 7 / Cierre</x:v>
      </x:c>
      <x:c r="P40" s="902" t="n">
        <x:v>46279</x:v>
      </x:c>
      <x:c r="Q40" s="902" t="n">
        <x:v>46309</x:v>
      </x:c>
      <x:c r="R40" s="903" t="str">
        <x:v>Swagger + manuales + documentación final</x:v>
      </x:c>
    </x:row>
    <x:row r="41" ht="30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</x:row>
    <x:row r="42" ht="30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 ht="30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</x:row>
    <x:row r="44" ht="30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</x:row>
    <x:row r="45" ht="30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30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30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30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 ht="30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 ht="30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 ht="30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 ht="30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 ht="30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 ht="30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 ht="30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 ht="30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 ht="30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 ht="30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 ht="30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 ht="30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</x:sheetData>
  <x:mergeCells>
    <x:mergeCell ref="A1:R1"/>
    <x:mergeCell ref="A2:R2"/>
  </x:mergeCells>
  <x:conditionalFormatting sqref="A5:M60">
    <x:cfRule type="expression" dxfId="8" priority="5">
      <x:formula>AND($A5&lt;&gt;"",$J5="")</x:formula>
    </x:cfRule>
  </x:conditionalFormatting>
  <x:conditionalFormatting sqref="I5:I60">
    <x:cfRule type="cellIs" dxfId="7" priority="2" operator="equal">
      <x:formula>"Must"</x:formula>
    </x:cfRule>
    <x:cfRule type="cellIs" dxfId="6" priority="3" operator="equal">
      <x:formula>"Should"</x:formula>
    </x:cfRule>
    <x:cfRule type="cellIs" dxfId="5" priority="4" operator="equal">
      <x:formula>"Could"</x:formula>
    </x:cfRule>
  </x:conditionalFormatting>
  <x:dataValidations count="7">
    <x:dataValidation type="list" allowBlank="1" errorTitle="Valor no permitido" error="Seleccione un valor de la lista desplegable." sqref="M5:M60 K5:K60 I5:I60 G5:G60 D5:E60">
      <x:formula1>#REF!</x:formula1>
      <x:formula2>0</x:formula2>
    </x:dataValidation>
    <x:dataValidation type="list" sqref="D5:D21">
      <x:formula1>"Funcional,No funcional"</x:formula1>
    </x:dataValidation>
    <x:dataValidation type="list" sqref="E5:E21">
      <x:formula1>"—,Usabilidad,Rendimiento,Seguridad,Confiabilidad,Mantenibilidad"</x:formula1>
    </x:dataValidation>
    <x:dataValidation type="list" sqref="G5:G21">
      <x:formula1>"Entrevista,Proceso de negocio,Regla de negocio,Evidencia de campo,Registros actuales,Necesidad del proyecto,Necesidad operativa,Restricción técnica,Plan del proyecto"</x:formula1>
    </x:dataValidation>
    <x:dataValidation type="list" sqref="I5:I21">
      <x:formula1>"Must,Should,Could"</x:formula1>
    </x:dataValidation>
    <x:dataValidation type="list" sqref="K5:K21">
      <x:formula1>"Proveedores,Rendimiento / Acopio,Acopio / Pagos,Calidad,Calidad / Proveedores,Proveedores / Calidad,Pagos,Dashboard,ResumenZonas,Quesos,Excel / Datos,Reportes,Transversal,Seguridad,Datos / Respaldo"</x:formula1>
    </x:dataValidation>
    <x:dataValidation type="list" sqref="M5:M21">
      <x:formula1>"Propuesto,Aprobado,En desarrollo,Implementado,En mantenimiento"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3A66"/>
  </x:sheetPr>
  <x:sheetViews>
    <x:sheetView showGridLines="0" workbookViewId="0"/>
  </x:sheetViews>
  <x:sheetFormatPr defaultColWidth="8.7109375" defaultRowHeight="15"/>
  <x:cols>
    <x:col min="1" max="1" width="10" hidden="0" customWidth="1"/>
    <x:col min="2" max="2" width="12" hidden="0" customWidth="1"/>
    <x:col min="3" max="3" width="8" hidden="0" customWidth="1"/>
    <x:col min="4" max="4" width="18" hidden="0" customWidth="1"/>
    <x:col min="5" max="5" width="43" hidden="0" customWidth="1"/>
    <x:col min="6" max="6" width="48" hidden="0" customWidth="1"/>
    <x:col min="7" max="7" width="52" hidden="0" customWidth="1"/>
    <x:col min="8" max="8" width="13" hidden="0" customWidth="1"/>
    <x:col min="9" max="9" width="22" hidden="0" customWidth="1"/>
    <x:col min="10" max="10" width="13" hidden="0" customWidth="1"/>
    <x:col min="11" max="11" width="13" hidden="0" customWidth="1"/>
  </x:cols>
  <x:sheetData>
    <x:row r="1" ht="30" customHeight="1">
      <x:c r="A1" s="828" t="str">
        <x:v>CASOS DE PRUEBA - HUATA LÁCTEOS</x:v>
      </x:c>
      <x:c r="B1" s="828"/>
      <x:c r="C1" s="828"/>
      <x:c r="D1" s="828"/>
      <x:c r="E1" s="828"/>
      <x:c r="F1" s="828"/>
      <x:c r="G1" s="828"/>
      <x:c r="H1" s="828"/>
      <x:c r="I1" s="828"/>
      <x:c r="J1" s="828"/>
      <x:c r="K1" s="828"/>
    </x:row>
    <x:row r="2" ht="18" customHeight="1">
      <x:c r="A2" s="831" t="str">
        <x:v>Casos trazados a requerimientos, Historias de Usuario, EDT, Sprint y fechas del cronograma.</x:v>
      </x:c>
      <x:c r="B2" s="831"/>
      <x:c r="C2" s="831"/>
      <x:c r="D2" s="831"/>
      <x:c r="E2" s="831"/>
      <x:c r="F2" s="831"/>
      <x:c r="G2" s="831"/>
      <x:c r="H2" s="831"/>
      <x:c r="I2" s="831"/>
      <x:c r="J2" s="831"/>
      <x:c r="K2" s="831"/>
    </x:row>
    <x:row r="3">
      <x:c r="A3"/>
      <x:c r="B3"/>
      <x:c r="C3"/>
      <x:c r="D3"/>
      <x:c r="E3"/>
      <x:c r="F3"/>
      <x:c r="G3"/>
      <x:c r="H3"/>
    </x:row>
    <x:row r="4" ht="32" customHeight="1">
      <x:c r="A4" s="917" t="str">
        <x:v>ID</x:v>
      </x:c>
      <x:c r="B4" s="917" t="str">
        <x:v>Requisito</x:v>
      </x:c>
      <x:c r="C4" s="917" t="str">
        <x:v>HU</x:v>
      </x:c>
      <x:c r="D4" s="917" t="str">
        <x:v>EDT</x:v>
      </x:c>
      <x:c r="E4" s="917" t="str">
        <x:v>Escenario</x:v>
      </x:c>
      <x:c r="F4" s="917" t="str">
        <x:v>Datos / precondición</x:v>
      </x:c>
      <x:c r="G4" s="917" t="str">
        <x:v>Resultado esperado</x:v>
      </x:c>
      <x:c r="H4" s="917" t="str">
        <x:v>Estado</x:v>
      </x:c>
      <x:c r="I4" s="917" t="str">
        <x:v>Sprint / periodo</x:v>
      </x:c>
      <x:c r="J4" s="917" t="str">
        <x:v>Fecha inicio</x:v>
      </x:c>
      <x:c r="K4" s="917" t="str">
        <x:v>Fecha fin</x:v>
      </x:c>
    </x:row>
    <x:row r="5" ht="52" customHeight="1">
      <x:c r="A5" s="876" t="str">
        <x:v>CP-01</x:v>
      </x:c>
      <x:c r="B5" s="877" t="str">
        <x:v>RF-01</x:v>
      </x:c>
      <x:c r="C5" s="877" t="str">
        <x:v>HU01</x:v>
      </x:c>
      <x:c r="D5" s="877" t="str">
        <x:v>3.4.1</x:v>
      </x:c>
      <x:c r="E5" s="877" t="str">
        <x:v>Validar inicio de sesión web conforme a HU01.</x:v>
      </x:c>
      <x:c r="F5" s="877" t="str">
        <x:v>Usuario/actor con permisos correspondientes y datos válidos para la tarea 3.4.1.</x:v>
      </x:c>
      <x:c r="G5" s="877" t="str">
        <x:v>Con credenciales válidas el usuario accede a la web; con credenciales inválidas el acceso es rechazado.</x:v>
      </x:c>
      <x:c r="H5" s="877" t="str">
        <x:v>Pendiente</x:v>
      </x:c>
      <x:c r="I5" s="877" t="str">
        <x:v>Sprint 3</x:v>
      </x:c>
      <x:c r="J5" s="878" t="n">
        <x:v>46271</x:v>
      </x:c>
      <x:c r="K5" s="924" t="n">
        <x:v>46271</x:v>
      </x:c>
    </x:row>
    <x:row r="6" ht="52" customHeight="1">
      <x:c r="A6" s="880" t="str">
        <x:v>CP-02</x:v>
      </x:c>
      <x:c r="B6" s="881" t="str">
        <x:v>RF-02</x:v>
      </x:c>
      <x:c r="C6" s="881" t="str">
        <x:v>HU02</x:v>
      </x:c>
      <x:c r="D6" s="881" t="str">
        <x:v>3.4.2</x:v>
      </x:c>
      <x:c r="E6" s="881" t="str">
        <x:v>Validar inicio de sesión móvil conforme a HU02.</x:v>
      </x:c>
      <x:c r="F6" s="881" t="str">
        <x:v>Usuario/actor con permisos correspondientes y datos válidos para la tarea 3.4.2.</x:v>
      </x:c>
      <x:c r="G6" s="881" t="str">
        <x:v>Con credenciales válidas el usuario accede desde la app móvil; con credenciales inválidas el acceso es rechazado.</x:v>
      </x:c>
      <x:c r="H6" s="881" t="str">
        <x:v>Pendiente</x:v>
      </x:c>
      <x:c r="I6" s="881" t="str">
        <x:v>Sprint 3</x:v>
      </x:c>
      <x:c r="J6" s="882" t="n">
        <x:v>46271</x:v>
      </x:c>
      <x:c r="K6" s="925" t="n">
        <x:v>46271</x:v>
      </x:c>
    </x:row>
    <x:row r="7" ht="52" customHeight="1">
      <x:c r="A7" s="880" t="str">
        <x:v>CP-03</x:v>
      </x:c>
      <x:c r="B7" s="881" t="str">
        <x:v>RF-03</x:v>
      </x:c>
      <x:c r="C7" s="881" t="str">
        <x:v>HU03</x:v>
      </x:c>
      <x:c r="D7" s="881" t="str">
        <x:v>3.4.3</x:v>
      </x:c>
      <x:c r="E7" s="881" t="str">
        <x:v>Validar autenticación y sesión segura conforme a HU03.</x:v>
      </x:c>
      <x:c r="F7" s="881" t="str">
        <x:v>Usuario/actor con permisos correspondientes y datos válidos para la tarea 3.4.3.</x:v>
      </x:c>
      <x:c r="G7" s="881" t="str">
        <x:v>La autenticación válida crea una sesión utilizable y la sesión permanece activa durante el uso previsto.</x:v>
      </x:c>
      <x:c r="H7" s="881" t="str">
        <x:v>Pendiente</x:v>
      </x:c>
      <x:c r="I7" s="881" t="str">
        <x:v>Sprint 3</x:v>
      </x:c>
      <x:c r="J7" s="882" t="n">
        <x:v>46270</x:v>
      </x:c>
      <x:c r="K7" s="925" t="n">
        <x:v>46271</x:v>
      </x:c>
    </x:row>
    <x:row r="8" ht="52" customHeight="1">
      <x:c r="A8" s="880" t="str">
        <x:v>CP-04</x:v>
      </x:c>
      <x:c r="B8" s="881" t="str">
        <x:v>RF-04</x:v>
      </x:c>
      <x:c r="C8" s="881" t="str">
        <x:v>HU04</x:v>
      </x:c>
      <x:c r="D8" s="881" t="str">
        <x:v>4.2.1</x:v>
      </x:c>
      <x:c r="E8" s="881" t="str">
        <x:v>Validar administrar productores vía api conforme a HU04.</x:v>
      </x:c>
      <x:c r="F8" s="881" t="str">
        <x:v>Usuario/actor con permisos correspondientes y datos válidos para la tarea 4.2.1.</x:v>
      </x:c>
      <x:c r="G8" s="881" t="str">
        <x:v>La API permite crear, consultar, actualizar y eliminar productores sin perder consistencia de datos.</x:v>
      </x:c>
      <x:c r="H8" s="881" t="str">
        <x:v>Pendiente</x:v>
      </x:c>
      <x:c r="I8" s="881" t="str">
        <x:v>Sprint 4</x:v>
      </x:c>
      <x:c r="J8" s="882" t="n">
        <x:v>46274</x:v>
      </x:c>
      <x:c r="K8" s="925" t="n">
        <x:v>46275</x:v>
      </x:c>
    </x:row>
    <x:row r="9" ht="52" customHeight="1">
      <x:c r="A9" s="880" t="str">
        <x:v>CP-05</x:v>
      </x:c>
      <x:c r="B9" s="881" t="str">
        <x:v>RF-05</x:v>
      </x:c>
      <x:c r="C9" s="881" t="str">
        <x:v>HU05</x:v>
      </x:c>
      <x:c r="D9" s="881" t="str">
        <x:v>4.2.2</x:v>
      </x:c>
      <x:c r="E9" s="881" t="str">
        <x:v>Validar administrar acopiadores y rutas vía api conforme a HU05.</x:v>
      </x:c>
      <x:c r="F9" s="881" t="str">
        <x:v>Usuario/actor con permisos correspondientes y datos válidos para la tarea 4.2.2.</x:v>
      </x:c>
      <x:c r="G9" s="881" t="str">
        <x:v>La API permite crear, consultar, actualizar y eliminar acopiadores y rutas.</x:v>
      </x:c>
      <x:c r="H9" s="881" t="str">
        <x:v>Pendiente</x:v>
      </x:c>
      <x:c r="I9" s="881" t="str">
        <x:v>Sprint 4</x:v>
      </x:c>
      <x:c r="J9" s="882" t="n">
        <x:v>46275</x:v>
      </x:c>
      <x:c r="K9" s="925" t="n">
        <x:v>46276</x:v>
      </x:c>
    </x:row>
    <x:row r="10" ht="52" customHeight="1">
      <x:c r="A10" s="880" t="str">
        <x:v>CP-06</x:v>
      </x:c>
      <x:c r="B10" s="881" t="str">
        <x:v>RF-06</x:v>
      </x:c>
      <x:c r="C10" s="881" t="str">
        <x:v>HU06</x:v>
      </x:c>
      <x:c r="D10" s="881" t="str">
        <x:v>4.2.3</x:v>
      </x:c>
      <x:c r="E10" s="881" t="str">
        <x:v>Validar administrar centros de acopio vía api conforme a HU06.</x:v>
      </x:c>
      <x:c r="F10" s="881" t="str">
        <x:v>Usuario/actor con permisos correspondientes y datos válidos para la tarea 4.2.3.</x:v>
      </x:c>
      <x:c r="G10" s="881" t="str">
        <x:v>La API permite crear, consultar, actualizar y eliminar centros de acopio.</x:v>
      </x:c>
      <x:c r="H10" s="881" t="str">
        <x:v>Pendiente</x:v>
      </x:c>
      <x:c r="I10" s="881" t="str">
        <x:v>Sprint 4</x:v>
      </x:c>
      <x:c r="J10" s="882" t="n">
        <x:v>46276</x:v>
      </x:c>
      <x:c r="K10" s="925" t="n">
        <x:v>46276</x:v>
      </x:c>
    </x:row>
    <x:row r="11" ht="52" customHeight="1">
      <x:c r="A11" s="880" t="str">
        <x:v>CP-07</x:v>
      </x:c>
      <x:c r="B11" s="881" t="str">
        <x:v>RF-07</x:v>
      </x:c>
      <x:c r="C11" s="881" t="str">
        <x:v>HU07</x:v>
      </x:c>
      <x:c r="D11" s="881" t="str">
        <x:v>4.2.4</x:v>
      </x:c>
      <x:c r="E11" s="881" t="str">
        <x:v>Validar gestionar productores desde la web conforme a HU07.</x:v>
      </x:c>
      <x:c r="F11" s="881" t="str">
        <x:v>Usuario/actor con permisos correspondientes y datos válidos para la tarea 4.2.4.</x:v>
      </x:c>
      <x:c r="G11" s="881" t="str">
        <x:v>Desde la web se puede listar, crear, editar y eliminar productores.</x:v>
      </x:c>
      <x:c r="H11" s="881" t="str">
        <x:v>Pendiente</x:v>
      </x:c>
      <x:c r="I11" s="881" t="str">
        <x:v>Sprint 4</x:v>
      </x:c>
      <x:c r="J11" s="882" t="n">
        <x:v>46276</x:v>
      </x:c>
      <x:c r="K11" s="925" t="n">
        <x:v>46277</x:v>
      </x:c>
    </x:row>
    <x:row r="12" ht="52" customHeight="1">
      <x:c r="A12" s="880" t="str">
        <x:v>CP-08</x:v>
      </x:c>
      <x:c r="B12" s="881" t="str">
        <x:v>RF-08</x:v>
      </x:c>
      <x:c r="C12" s="881" t="str">
        <x:v>HU08</x:v>
      </x:c>
      <x:c r="D12" s="881" t="str">
        <x:v>4.2.5</x:v>
      </x:c>
      <x:c r="E12" s="881" t="str">
        <x:v>Validar gestionar rutas y centros desde la web conforme a HU08.</x:v>
      </x:c>
      <x:c r="F12" s="881" t="str">
        <x:v>Usuario/actor con permisos correspondientes y datos válidos para la tarea 4.2.5.</x:v>
      </x:c>
      <x:c r="G12" s="881" t="str">
        <x:v>Desde la web se pueden gestionar rutas y centros de acopio y consultar los cambios guardados.</x:v>
      </x:c>
      <x:c r="H12" s="881" t="str">
        <x:v>Pendiente</x:v>
      </x:c>
      <x:c r="I12" s="881" t="str">
        <x:v>Sprint 4</x:v>
      </x:c>
      <x:c r="J12" s="882" t="n">
        <x:v>46277</x:v>
      </x:c>
      <x:c r="K12" s="925" t="n">
        <x:v>46278</x:v>
      </x:c>
    </x:row>
    <x:row r="13" ht="52" customHeight="1">
      <x:c r="A13" s="880" t="str">
        <x:v>CP-09</x:v>
      </x:c>
      <x:c r="B13" s="881" t="str">
        <x:v>RF-09</x:v>
      </x:c>
      <x:c r="C13" s="881" t="str">
        <x:v>HU09</x:v>
      </x:c>
      <x:c r="D13" s="881" t="str">
        <x:v>4.2.6</x:v>
      </x:c>
      <x:c r="E13" s="881" t="str">
        <x:v>Validar consultar productores asignados conforme a HU09.</x:v>
      </x:c>
      <x:c r="F13" s="881" t="str">
        <x:v>Usuario/actor con permisos correspondientes y datos válidos para la tarea 4.2.6.</x:v>
      </x:c>
      <x:c r="G13" s="881" t="str">
        <x:v>El acopiador visualiza únicamente los productores asignados a su operación.</x:v>
      </x:c>
      <x:c r="H13" s="881" t="str">
        <x:v>Pendiente</x:v>
      </x:c>
      <x:c r="I13" s="881" t="str">
        <x:v>Sprint 4</x:v>
      </x:c>
      <x:c r="J13" s="882" t="n">
        <x:v>46276</x:v>
      </x:c>
      <x:c r="K13" s="925" t="n">
        <x:v>46277</x:v>
      </x:c>
    </x:row>
    <x:row r="14" ht="52" customHeight="1">
      <x:c r="A14" s="880" t="str">
        <x:v>CP-10</x:v>
      </x:c>
      <x:c r="B14" s="881" t="str">
        <x:v>RF-10</x:v>
      </x:c>
      <x:c r="C14" s="881" t="str">
        <x:v>HU10</x:v>
      </x:c>
      <x:c r="D14" s="881" t="str">
        <x:v>4.2.7</x:v>
      </x:c>
      <x:c r="E14" s="881" t="str">
        <x:v>Validar consultar ruta del día conforme a HU10.</x:v>
      </x:c>
      <x:c r="F14" s="881" t="str">
        <x:v>Usuario/actor con permisos correspondientes y datos válidos para la tarea 4.2.7.</x:v>
      </x:c>
      <x:c r="G14" s="881" t="str">
        <x:v>La app muestra la ruta del día con los productores y centros asignados.</x:v>
      </x:c>
      <x:c r="H14" s="881" t="str">
        <x:v>Pendiente</x:v>
      </x:c>
      <x:c r="I14" s="881" t="str">
        <x:v>Sprint 4</x:v>
      </x:c>
      <x:c r="J14" s="882" t="n">
        <x:v>46277</x:v>
      </x:c>
      <x:c r="K14" s="925" t="n">
        <x:v>46278</x:v>
      </x:c>
    </x:row>
    <x:row r="15" ht="52" customHeight="1">
      <x:c r="A15" s="880" t="str">
        <x:v>CP-11</x:v>
      </x:c>
      <x:c r="B15" s="881" t="str">
        <x:v>RF-11</x:v>
      </x:c>
      <x:c r="C15" s="881" t="str">
        <x:v>HU11</x:v>
      </x:c>
      <x:c r="D15" s="881" t="str">
        <x:v>5.2.1</x:v>
      </x:c>
      <x:c r="E15" s="881" t="str">
        <x:v>Validar registrar recojo de leche conforme a HU11.</x:v>
      </x:c>
      <x:c r="F15" s="881" t="str">
        <x:v>Usuario/actor con permisos correspondientes y datos válidos para la tarea 5.2.1.</x:v>
      </x:c>
      <x:c r="G15" s="881" t="str">
        <x:v>Un recojo válido queda almacenado con productor, cantidad y fecha y puede ser recuperado.</x:v>
      </x:c>
      <x:c r="H15" s="881" t="str">
        <x:v>Pendiente</x:v>
      </x:c>
      <x:c r="I15" s="881" t="str">
        <x:v>Sprint 5</x:v>
      </x:c>
      <x:c r="J15" s="882" t="n">
        <x:v>46281</x:v>
      </x:c>
      <x:c r="K15" s="925" t="n">
        <x:v>46282</x:v>
      </x:c>
    </x:row>
    <x:row r="16" ht="52" customHeight="1">
      <x:c r="A16" s="880" t="str">
        <x:v>CP-12</x:v>
      </x:c>
      <x:c r="B16" s="881" t="str">
        <x:v>RF-12</x:v>
      </x:c>
      <x:c r="C16" s="881" t="str">
        <x:v>HU12</x:v>
      </x:c>
      <x:c r="D16" s="881" t="str">
        <x:v>5.2.2</x:v>
      </x:c>
      <x:c r="E16" s="881" t="str">
        <x:v>Validar consultar liquidaciones conforme a HU12.</x:v>
      </x:c>
      <x:c r="F16" s="881" t="str">
        <x:v>Usuario/actor con permisos correspondientes y datos válidos para la tarea 5.2.2.</x:v>
      </x:c>
      <x:c r="G16" s="881" t="str">
        <x:v>El filtro por productor y fecha devuelve las liquidaciones correspondientes.</x:v>
      </x:c>
      <x:c r="H16" s="881" t="str">
        <x:v>Pendiente</x:v>
      </x:c>
      <x:c r="I16" s="881" t="str">
        <x:v>Sprint 5</x:v>
      </x:c>
      <x:c r="J16" s="882" t="n">
        <x:v>46285</x:v>
      </x:c>
      <x:c r="K16" s="925" t="n">
        <x:v>46285</x:v>
      </x:c>
    </x:row>
    <x:row r="17" ht="52" customHeight="1">
      <x:c r="A17" s="880" t="str">
        <x:v>CP-13</x:v>
      </x:c>
      <x:c r="B17" s="881" t="str">
        <x:v>RF-13</x:v>
      </x:c>
      <x:c r="C17" s="881" t="str">
        <x:v>HU13</x:v>
      </x:c>
      <x:c r="D17" s="881" t="str">
        <x:v>5.3.1</x:v>
      </x:c>
      <x:c r="E17" s="881" t="str">
        <x:v>Validar registrar parámetros de calidad conforme a HU13.</x:v>
      </x:c>
      <x:c r="F17" s="881" t="str">
        <x:v>Usuario/actor con permisos correspondientes y datos válidos para la tarea 5.3.1.</x:v>
      </x:c>
      <x:c r="G17" s="881" t="str">
        <x:v>El registro conserva densidad, acidez y temperatura asociadas al recojo.</x:v>
      </x:c>
      <x:c r="H17" s="881" t="str">
        <x:v>Pendiente</x:v>
      </x:c>
      <x:c r="I17" s="881" t="str">
        <x:v>Sprint 5</x:v>
      </x:c>
      <x:c r="J17" s="882" t="n">
        <x:v>46282</x:v>
      </x:c>
      <x:c r="K17" s="925" t="n">
        <x:v>46282</x:v>
      </x:c>
    </x:row>
    <x:row r="18" ht="52" customHeight="1">
      <x:c r="A18" s="880" t="str">
        <x:v>CP-14</x:v>
      </x:c>
      <x:c r="B18" s="881" t="str">
        <x:v>RF-14</x:v>
      </x:c>
      <x:c r="C18" s="881" t="str">
        <x:v>HU14</x:v>
      </x:c>
      <x:c r="D18" s="881" t="str">
        <x:v>5.3.2</x:v>
      </x:c>
      <x:c r="E18" s="881" t="str">
        <x:v>Validar calcular pago o liquidación conforme a HU14.</x:v>
      </x:c>
      <x:c r="F18" s="881" t="str">
        <x:v>Usuario/actor con permisos correspondientes y datos válidos para la tarea 5.3.2.</x:v>
      </x:c>
      <x:c r="G18" s="881" t="str">
        <x:v>La liquidación calculada utiliza los litros registrados y el resultado queda disponible para consulta.</x:v>
      </x:c>
      <x:c r="H18" s="881" t="str">
        <x:v>Pendiente</x:v>
      </x:c>
      <x:c r="I18" s="881" t="str">
        <x:v>Sprint 5</x:v>
      </x:c>
      <x:c r="J18" s="882" t="n">
        <x:v>46283</x:v>
      </x:c>
      <x:c r="K18" s="925" t="n">
        <x:v>46284</x:v>
      </x:c>
    </x:row>
    <x:row r="19" ht="52" customHeight="1">
      <x:c r="A19" s="880" t="str">
        <x:v>CP-15</x:v>
      </x:c>
      <x:c r="B19" s="881" t="str">
        <x:v>RF-15</x:v>
      </x:c>
      <x:c r="C19" s="881" t="str">
        <x:v>HU15</x:v>
      </x:c>
      <x:c r="D19" s="881" t="str">
        <x:v>5.3.3</x:v>
      </x:c>
      <x:c r="E19" s="881" t="str">
        <x:v>Validar registrar y consultar recojos desde la web conforme a HU15.</x:v>
      </x:c>
      <x:c r="F19" s="881" t="str">
        <x:v>Usuario/actor con permisos correspondientes y datos válidos para la tarea 5.3.3.</x:v>
      </x:c>
      <x:c r="G19" s="881" t="str">
        <x:v>Desde la web se puede registrar un recojo y posteriormente consultarlo.</x:v>
      </x:c>
      <x:c r="H19" s="881" t="str">
        <x:v>Pendiente</x:v>
      </x:c>
      <x:c r="I19" s="881" t="str">
        <x:v>Sprint 5</x:v>
      </x:c>
      <x:c r="J19" s="882" t="n">
        <x:v>46283</x:v>
      </x:c>
      <x:c r="K19" s="925" t="n">
        <x:v>46284</x:v>
      </x:c>
    </x:row>
    <x:row r="20" ht="52" customHeight="1">
      <x:c r="A20" s="880" t="str">
        <x:v>CP-16</x:v>
      </x:c>
      <x:c r="B20" s="881" t="str">
        <x:v>RF-16</x:v>
      </x:c>
      <x:c r="C20" s="881" t="str">
        <x:v>HU16</x:v>
      </x:c>
      <x:c r="D20" s="881" t="str">
        <x:v>5.3.4</x:v>
      </x:c>
      <x:c r="E20" s="881" t="str">
        <x:v>Validar registrar recojo sin conexión conforme a HU16.</x:v>
      </x:c>
      <x:c r="F20" s="881" t="str">
        <x:v>Usuario/actor con permisos correspondientes y datos válidos para la tarea 5.3.4.</x:v>
      </x:c>
      <x:c r="G20" s="881" t="str">
        <x:v>Sin conexión, el recojo puede guardarse localmente sin perder la información capturada.</x:v>
      </x:c>
      <x:c r="H20" s="881" t="str">
        <x:v>Pendiente</x:v>
      </x:c>
      <x:c r="I20" s="881" t="str">
        <x:v>Sprint 5</x:v>
      </x:c>
      <x:c r="J20" s="882" t="n">
        <x:v>46283</x:v>
      </x:c>
      <x:c r="K20" s="925" t="n">
        <x:v>46284</x:v>
      </x:c>
    </x:row>
    <x:row r="21" ht="52" customHeight="1">
      <x:c r="A21" s="880" t="str">
        <x:v>CP-17</x:v>
      </x:c>
      <x:c r="B21" s="881" t="str">
        <x:v>RF-17</x:v>
      </x:c>
      <x:c r="C21" s="881" t="str">
        <x:v>HU17</x:v>
      </x:c>
      <x:c r="D21" s="881" t="str">
        <x:v>5.3.5</x:v>
      </x:c>
      <x:c r="E21" s="881" t="str">
        <x:v>Validar sincronizar datos offline conforme a HU17.</x:v>
      </x:c>
      <x:c r="F21" s="881" t="str">
        <x:v>Usuario/actor con permisos correspondientes y datos válidos para la tarea 5.3.5.</x:v>
      </x:c>
      <x:c r="G21" s="881" t="str">
        <x:v>Al recuperar conectividad, los registros pendientes se sincronizan y quedan disponibles en el backend.</x:v>
      </x:c>
      <x:c r="H21" s="881" t="str">
        <x:v>Pendiente</x:v>
      </x:c>
      <x:c r="I21" s="881" t="str">
        <x:v>Sprint 5</x:v>
      </x:c>
      <x:c r="J21" s="882" t="n">
        <x:v>46284</x:v>
      </x:c>
      <x:c r="K21" s="925" t="n">
        <x:v>46285</x:v>
      </x:c>
    </x:row>
    <x:row r="22" ht="52" customHeight="1">
      <x:c r="A22" s="880" t="str">
        <x:v>CP-18</x:v>
      </x:c>
      <x:c r="B22" s="881" t="str">
        <x:v>RF-18</x:v>
      </x:c>
      <x:c r="C22" s="881" t="str">
        <x:v>HU18</x:v>
      </x:c>
      <x:c r="D22" s="881" t="str">
        <x:v>5.3.6</x:v>
      </x:c>
      <x:c r="E22" s="881" t="str">
        <x:v>Validar capturar evidencia del recojo conforme a HU18.</x:v>
      </x:c>
      <x:c r="F22" s="881" t="str">
        <x:v>Usuario/actor con permisos correspondientes y datos válidos para la tarea 5.3.6.</x:v>
      </x:c>
      <x:c r="G22" s="881" t="str">
        <x:v>La foto o firma capturada queda vinculada al recojo correcto y puede recuperarse con el registro.</x:v>
      </x:c>
      <x:c r="H22" s="881" t="str">
        <x:v>Pendiente</x:v>
      </x:c>
      <x:c r="I22" s="881" t="str">
        <x:v>Sprint 5</x:v>
      </x:c>
      <x:c r="J22" s="882" t="n">
        <x:v>46286</x:v>
      </x:c>
      <x:c r="K22" s="925" t="n">
        <x:v>46286</x:v>
      </x:c>
    </x:row>
    <x:row r="23" ht="52" customHeight="1">
      <x:c r="A23" s="880" t="str">
        <x:v>CP-19</x:v>
      </x:c>
      <x:c r="B23" s="881" t="str">
        <x:v>RF-19</x:v>
      </x:c>
      <x:c r="C23" s="881" t="str">
        <x:v>HU19</x:v>
      </x:c>
      <x:c r="D23" s="881" t="str">
        <x:v>6.2.1</x:v>
      </x:c>
      <x:c r="E23" s="881" t="str">
        <x:v>Validar generar reportes gerenciales conforme a HU19.</x:v>
      </x:c>
      <x:c r="F23" s="881" t="str">
        <x:v>Usuario/actor con permisos correspondientes y datos válidos para la tarea 6.2.1.</x:v>
      </x:c>
      <x:c r="G23" s="881" t="str">
        <x:v>Los reportes muestran producción total y desagregada por ruta y productor con datos consistentes.</x:v>
      </x:c>
      <x:c r="H23" s="881" t="str">
        <x:v>Pendiente</x:v>
      </x:c>
      <x:c r="I23" s="881" t="str">
        <x:v>Sprint 6</x:v>
      </x:c>
      <x:c r="J23" s="882" t="n">
        <x:v>46288</x:v>
      </x:c>
      <x:c r="K23" s="925" t="n">
        <x:v>46289</x:v>
      </x:c>
    </x:row>
    <x:row r="24" ht="52" customHeight="1">
      <x:c r="A24" s="880" t="str">
        <x:v>CP-20</x:v>
      </x:c>
      <x:c r="B24" s="881" t="str">
        <x:v>RF-20</x:v>
      </x:c>
      <x:c r="C24" s="881" t="str">
        <x:v>HU20</x:v>
      </x:c>
      <x:c r="D24" s="881" t="str">
        <x:v>6.2.2</x:v>
      </x:c>
      <x:c r="E24" s="881" t="str">
        <x:v>Validar generar notificaciones conforme a HU20.</x:v>
      </x:c>
      <x:c r="F24" s="881" t="str">
        <x:v>Usuario/actor con permisos correspondientes y datos válidos para la tarea 6.2.2.</x:v>
      </x:c>
      <x:c r="G24" s="881" t="str">
        <x:v>El sistema genera una notificación configurada por el canal previsto.</x:v>
      </x:c>
      <x:c r="H24" s="881" t="str">
        <x:v>Pendiente</x:v>
      </x:c>
      <x:c r="I24" s="881" t="str">
        <x:v>Sprint 6</x:v>
      </x:c>
      <x:c r="J24" s="882" t="n">
        <x:v>46289</x:v>
      </x:c>
      <x:c r="K24" s="925" t="n">
        <x:v>46289</x:v>
      </x:c>
    </x:row>
    <x:row r="25" ht="52" customHeight="1">
      <x:c r="A25" s="880" t="str">
        <x:v>CP-21</x:v>
      </x:c>
      <x:c r="B25" s="881" t="str">
        <x:v>RF-21</x:v>
      </x:c>
      <x:c r="C25" s="881" t="str">
        <x:v>HU21</x:v>
      </x:c>
      <x:c r="D25" s="881" t="str">
        <x:v>6.2.3</x:v>
      </x:c>
      <x:c r="E25" s="881" t="str">
        <x:v>Validar visualizar dashboard con gráficos conforme a HU21.</x:v>
      </x:c>
      <x:c r="F25" s="881" t="str">
        <x:v>Usuario/actor con permisos correspondientes y datos válidos para la tarea 6.2.3.</x:v>
      </x:c>
      <x:c r="G25" s="881" t="str">
        <x:v>Los gráficos del dashboard reflejan los datos de producción y tendencias registrados.</x:v>
      </x:c>
      <x:c r="H25" s="881" t="str">
        <x:v>Pendiente</x:v>
      </x:c>
      <x:c r="I25" s="881" t="str">
        <x:v>Sprint 6</x:v>
      </x:c>
      <x:c r="J25" s="882" t="n">
        <x:v>46290</x:v>
      </x:c>
      <x:c r="K25" s="925" t="n">
        <x:v>46291</x:v>
      </x:c>
    </x:row>
    <x:row r="26" ht="52" customHeight="1">
      <x:c r="A26" s="880" t="str">
        <x:v>CP-22</x:v>
      </x:c>
      <x:c r="B26" s="881" t="str">
        <x:v>RF-22</x:v>
      </x:c>
      <x:c r="C26" s="881" t="str">
        <x:v>HU22</x:v>
      </x:c>
      <x:c r="D26" s="881" t="str">
        <x:v>6.2.4</x:v>
      </x:c>
      <x:c r="E26" s="881" t="str">
        <x:v>Validar administrar usuarios y roles conforme a HU22.</x:v>
      </x:c>
      <x:c r="F26" s="881" t="str">
        <x:v>Usuario/actor con permisos correspondientes y datos válidos para la tarea 6.2.4.</x:v>
      </x:c>
      <x:c r="G26" s="881" t="str">
        <x:v>El administrador puede crear/editar usuarios, asignar roles y verificar que los permisos se apliquen.</x:v>
      </x:c>
      <x:c r="H26" s="881" t="str">
        <x:v>Pendiente</x:v>
      </x:c>
      <x:c r="I26" s="881" t="str">
        <x:v>Sprint 6</x:v>
      </x:c>
      <x:c r="J26" s="882" t="n">
        <x:v>46291</x:v>
      </x:c>
      <x:c r="K26" s="925" t="n">
        <x:v>46291</x:v>
      </x:c>
    </x:row>
    <x:row r="27" ht="52" customHeight="1">
      <x:c r="A27" s="880" t="str">
        <x:v>CP-23</x:v>
      </x:c>
      <x:c r="B27" s="881" t="str">
        <x:v>RF-23</x:v>
      </x:c>
      <x:c r="C27" s="881" t="str">
        <x:v>HU23</x:v>
      </x:c>
      <x:c r="D27" s="881" t="str">
        <x:v>6.2.5</x:v>
      </x:c>
      <x:c r="E27" s="881" t="str">
        <x:v>Validar recibir notificaciones push conforme a HU23.</x:v>
      </x:c>
      <x:c r="F27" s="881" t="str">
        <x:v>Usuario/actor con permisos correspondientes y datos válidos para la tarea 6.2.5.</x:v>
      </x:c>
      <x:c r="G27" s="881" t="str">
        <x:v>La app móvil recibe una notificación push enviada mediante el mecanismo configurado.</x:v>
      </x:c>
      <x:c r="H27" s="881" t="str">
        <x:v>Pendiente</x:v>
      </x:c>
      <x:c r="I27" s="881" t="str">
        <x:v>Sprint 6</x:v>
      </x:c>
      <x:c r="J27" s="882" t="n">
        <x:v>46290</x:v>
      </x:c>
      <x:c r="K27" s="925" t="n">
        <x:v>46290</x:v>
      </x:c>
    </x:row>
    <x:row r="28" ht="52" customHeight="1">
      <x:c r="A28" s="880" t="str">
        <x:v>CP-24</x:v>
      </x:c>
      <x:c r="B28" s="881" t="str">
        <x:v>RF-24</x:v>
      </x:c>
      <x:c r="C28" s="881" t="str">
        <x:v>HU24</x:v>
      </x:c>
      <x:c r="D28" s="881" t="str">
        <x:v>6.2.6</x:v>
      </x:c>
      <x:c r="E28" s="881" t="str">
        <x:v>Validar consultar historial de recojos conforme a HU24.</x:v>
      </x:c>
      <x:c r="F28" s="881" t="str">
        <x:v>Usuario/actor con permisos correspondientes y datos válidos para la tarea 6.2.6.</x:v>
      </x:c>
      <x:c r="G28" s="881" t="str">
        <x:v>El acopiador visualiza su historial de recojos y reportes personales.</x:v>
      </x:c>
      <x:c r="H28" s="881" t="str">
        <x:v>Pendiente</x:v>
      </x:c>
      <x:c r="I28" s="881" t="str">
        <x:v>Sprint 6</x:v>
      </x:c>
      <x:c r="J28" s="882" t="n">
        <x:v>46290</x:v>
      </x:c>
      <x:c r="K28" s="925" t="n">
        <x:v>46291</x:v>
      </x:c>
    </x:row>
    <x:row r="29" ht="52" customHeight="1">
      <x:c r="A29" s="880" t="str">
        <x:v>CP-25</x:v>
      </x:c>
      <x:c r="B29" s="881" t="str">
        <x:v>RI-01</x:v>
      </x:c>
      <x:c r="C29" s="881" t="str">
        <x:v>HU25</x:v>
      </x:c>
      <x:c r="D29" s="881" t="str">
        <x:v>8.5.2</x:v>
      </x:c>
      <x:c r="E29" s="881" t="str">
        <x:v>Verificar ejecución de capacitar administradores del sistema conforme a HU25.</x:v>
      </x:c>
      <x:c r="F29" s="881" t="str">
        <x:v>Sistema desplegado, material de capacitación disponible y participantes convocados.</x:v>
      </x:c>
      <x:c r="G29" s="881" t="str">
        <x:v>Se realiza la capacitación web prevista y los administradores reciben el material o guía correspondiente.</x:v>
      </x:c>
      <x:c r="H29" s="881" t="str">
        <x:v>Pendiente</x:v>
      </x:c>
      <x:c r="I29" s="881" t="str">
        <x:v>Sprint 8</x:v>
      </x:c>
      <x:c r="J29" s="882" t="n">
        <x:v>46305</x:v>
      </x:c>
      <x:c r="K29" s="925" t="n">
        <x:v>46305</x:v>
      </x:c>
    </x:row>
    <x:row r="30" ht="52" customHeight="1">
      <x:c r="A30" s="880" t="str">
        <x:v>CP-26</x:v>
      </x:c>
      <x:c r="B30" s="881" t="str">
        <x:v>RI-02</x:v>
      </x:c>
      <x:c r="C30" s="881" t="str">
        <x:v>HU26</x:v>
      </x:c>
      <x:c r="D30" s="881" t="str">
        <x:v>8.5.3</x:v>
      </x:c>
      <x:c r="E30" s="881" t="str">
        <x:v>Verificar ejecución de capacitar acopiadores en la app móvil conforme a HU26.</x:v>
      </x:c>
      <x:c r="F30" s="881" t="str">
        <x:v>Sistema desplegado, material de capacitación disponible y participantes convocados.</x:v>
      </x:c>
      <x:c r="G30" s="881" t="str">
        <x:v>Se realiza la capacitación móvil en Huata y los acopiadores practican el registro de recojos.</x:v>
      </x:c>
      <x:c r="H30" s="881" t="str">
        <x:v>Pendiente</x:v>
      </x:c>
      <x:c r="I30" s="881" t="str">
        <x:v>Sprint 8</x:v>
      </x:c>
      <x:c r="J30" s="882" t="n">
        <x:v>46306</x:v>
      </x:c>
      <x:c r="K30" s="925" t="n">
        <x:v>46306</x:v>
      </x:c>
    </x:row>
    <x:row r="31" ht="52" customHeight="1">
      <x:c r="A31" s="880" t="str">
        <x:v>CP-27</x:v>
      </x:c>
      <x:c r="B31" s="881" t="str">
        <x:v>RS-01</x:v>
      </x:c>
      <x:c r="C31" s="881" t="str">
        <x:v>HU27</x:v>
      </x:c>
      <x:c r="D31" s="881" t="str">
        <x:v>8.5.4</x:v>
      </x:c>
      <x:c r="E31" s="881" t="str">
        <x:v>Verificar brindar soporte post-implementación conforme a HU27.</x:v>
      </x:c>
      <x:c r="F31" s="881" t="str">
        <x:v>Sistema desplegado y usuarios con acceso al canal de soporte.</x:v>
      </x:c>
      <x:c r="G31" s="881" t="str">
        <x:v>Durante el hipercare se registran y atienden las dudas o incidencias reportadas por los usuarios.</x:v>
      </x:c>
      <x:c r="H31" s="881" t="str">
        <x:v>Pendiente</x:v>
      </x:c>
      <x:c r="I31" s="881" t="str">
        <x:v>Sprint 8</x:v>
      </x:c>
      <x:c r="J31" s="882" t="n">
        <x:v>46306</x:v>
      </x:c>
      <x:c r="K31" s="925" t="n">
        <x:v>46307</x:v>
      </x:c>
    </x:row>
    <x:row r="32" ht="52" customHeight="1">
      <x:c r="A32" s="896" t="str">
        <x:v>CP-28</x:v>
      </x:c>
      <x:c r="B32" s="897" t="str">
        <x:v>RNF-01</x:v>
      </x:c>
      <x:c r="C32" s="897" t="str">
        <x:v>—</x:v>
      </x:c>
      <x:c r="D32" s="897" t="str">
        <x:v>2.2.1–2.2.7 / 6.3.1</x:v>
      </x:c>
      <x:c r="E32" s="897" t="str">
        <x:v>Verificar requisito no funcional: interfaz intuitiva y usable.</x:v>
      </x:c>
      <x:c r="F32" s="897" t="str">
        <x:v>Ambiente de prueba configurado y datos representativos del flujo.</x:v>
      </x:c>
      <x:c r="G32" s="897" t="str">
        <x:v>Los flujos principales pueden ejecutarse sin pérdida de controles y los ajustes de UI/UX planificados quedan incorporados.</x:v>
      </x:c>
      <x:c r="H32" s="897" t="str">
        <x:v>Pendiente</x:v>
      </x:c>
      <x:c r="I32" s="897" t="str">
        <x:v>Sprint 2 / Sprint 6</x:v>
      </x:c>
      <x:c r="J32" s="898" t="n">
        <x:v>46261</x:v>
      </x:c>
      <x:c r="K32" s="927" t="n">
        <x:v>46292</x:v>
      </x:c>
    </x:row>
    <x:row r="33" ht="52" customHeight="1">
      <x:c r="A33" s="896" t="str">
        <x:v>CP-29</x:v>
      </x:c>
      <x:c r="B33" s="897" t="str">
        <x:v>RNF-02</x:v>
      </x:c>
      <x:c r="C33" s="897" t="str">
        <x:v>—</x:v>
      </x:c>
      <x:c r="D33" s="897" t="str">
        <x:v>3.3.8 / 3.4.3 / 7.2.9</x:v>
      </x:c>
      <x:c r="E33" s="897" t="str">
        <x:v>Verificar requisito no funcional: seguridad de la información.</x:v>
      </x:c>
      <x:c r="F33" s="897" t="str">
        <x:v>Ambiente de prueba configurado y datos representativos del flujo.</x:v>
      </x:c>
      <x:c r="G33" s="897" t="str">
        <x:v>Las funciones protegidas requieren autenticación válida y las pruebas de seguridad no presentan fallos críticos.</x:v>
      </x:c>
      <x:c r="H33" s="897" t="str">
        <x:v>Pendiente</x:v>
      </x:c>
      <x:c r="I33" s="897" t="str">
        <x:v>Sprint 3 / Sprint 7</x:v>
      </x:c>
      <x:c r="J33" s="898" t="n">
        <x:v>46269</x:v>
      </x:c>
      <x:c r="K33" s="927" t="n">
        <x:v>46297</x:v>
      </x:c>
    </x:row>
    <x:row r="34" ht="52" customHeight="1">
      <x:c r="A34" s="896" t="str">
        <x:v>CP-30</x:v>
      </x:c>
      <x:c r="B34" s="897" t="str">
        <x:v>RNF-03</x:v>
      </x:c>
      <x:c r="C34" s="897" t="str">
        <x:v>—</x:v>
      </x:c>
      <x:c r="D34" s="897" t="str">
        <x:v>8.2.4</x:v>
      </x:c>
      <x:c r="E34" s="897" t="str">
        <x:v>Verificar requisito no funcional: compatibilidad android.</x:v>
      </x:c>
      <x:c r="F34" s="897" t="str">
        <x:v>Ambiente de prueba configurado y datos representativos del flujo.</x:v>
      </x:c>
      <x:c r="G34" s="897" t="str">
        <x:v>La APK se genera, se distribuye y permite ejecutar los flujos móviles previstos.</x:v>
      </x:c>
      <x:c r="H34" s="897" t="str">
        <x:v>Pendiente</x:v>
      </x:c>
      <x:c r="I34" s="897" t="str">
        <x:v>Sprint 8</x:v>
      </x:c>
      <x:c r="J34" s="898" t="n">
        <x:v>46303</x:v>
      </x:c>
      <x:c r="K34" s="927" t="n">
        <x:v>46303</x:v>
      </x:c>
    </x:row>
    <x:row r="35" ht="52" customHeight="1">
      <x:c r="A35" s="896" t="str">
        <x:v>CP-31</x:v>
      </x:c>
      <x:c r="B35" s="897" t="str">
        <x:v>RNF-04</x:v>
      </x:c>
      <x:c r="C35" s="897" t="str">
        <x:v>—</x:v>
      </x:c>
      <x:c r="D35" s="897" t="str">
        <x:v>—</x:v>
      </x:c>
      <x:c r="E35" s="897" t="str">
        <x:v>Verificar requisito no funcional: compatibilidad web.</x:v>
      </x:c>
      <x:c r="F35" s="897" t="str">
        <x:v>Ambiente de prueba configurado y datos representativos del flujo.</x:v>
      </x:c>
      <x:c r="G35" s="897" t="str">
        <x:v>Las funciones web críticas pueden ejecutarse en los navegadores objetivo definidos por el proyecto.</x:v>
      </x:c>
      <x:c r="H35" s="897" t="str">
        <x:v>Pendiente</x:v>
      </x:c>
      <x:c r="I35" s="897" t="str">
        <x:v>Transversal</x:v>
      </x:c>
      <x:c r="J35" s="898" t="n">
        <x:v>46253</x:v>
      </x:c>
      <x:c r="K35" s="927" t="n">
        <x:v>46309</x:v>
      </x:c>
    </x:row>
    <x:row r="36" ht="52" customHeight="1">
      <x:c r="A36" s="896" t="str">
        <x:v>CP-32</x:v>
      </x:c>
      <x:c r="B36" s="897" t="str">
        <x:v>RNF-05</x:v>
      </x:c>
      <x:c r="C36" s="897" t="str">
        <x:v>—</x:v>
      </x:c>
      <x:c r="D36" s="897" t="str">
        <x:v>7.2.9</x:v>
      </x:c>
      <x:c r="E36" s="897" t="str">
        <x:v>Verificar requisito no funcional: rendimiento y estabilidad.</x:v>
      </x:c>
      <x:c r="F36" s="897" t="str">
        <x:v>Ambiente de prueba configurado y datos representativos del flujo.</x:v>
      </x:c>
      <x:c r="G36" s="897" t="str">
        <x:v>Las pruebas no funcionales no detectan fallos críticos de rendimiento o estabilidad.</x:v>
      </x:c>
      <x:c r="H36" s="897" t="str">
        <x:v>Pendiente</x:v>
      </x:c>
      <x:c r="I36" s="897" t="str">
        <x:v>Sprint 7</x:v>
      </x:c>
      <x:c r="J36" s="898" t="n">
        <x:v>46297</x:v>
      </x:c>
      <x:c r="K36" s="927" t="n">
        <x:v>46297</x:v>
      </x:c>
    </x:row>
    <x:row r="37" ht="52" customHeight="1">
      <x:c r="A37" s="896" t="str">
        <x:v>CP-33</x:v>
      </x:c>
      <x:c r="B37" s="897" t="str">
        <x:v>RNF-06</x:v>
      </x:c>
      <x:c r="C37" s="897" t="str">
        <x:v>—</x:v>
      </x:c>
      <x:c r="D37" s="897" t="str">
        <x:v>3.3.3 / 5.3.5</x:v>
      </x:c>
      <x:c r="E37" s="897" t="str">
        <x:v>Verificar requisito no funcional: persistencia de datos.</x:v>
      </x:c>
      <x:c r="F37" s="897" t="str">
        <x:v>Ambiente de prueba configurado y datos representativos del flujo.</x:v>
      </x:c>
      <x:c r="G37" s="897" t="str">
        <x:v>Los datos del backend quedan almacenados en PostgreSQL y los registros offline se conservan en SQLite hasta su sincronización.</x:v>
      </x:c>
      <x:c r="H37" s="897" t="str">
        <x:v>Pendiente</x:v>
      </x:c>
      <x:c r="I37" s="897" t="str">
        <x:v>Sprint 3 / Sprint 5</x:v>
      </x:c>
      <x:c r="J37" s="898" t="n">
        <x:v>46269</x:v>
      </x:c>
      <x:c r="K37" s="927" t="n">
        <x:v>46285</x:v>
      </x:c>
    </x:row>
    <x:row r="38" ht="52" customHeight="1">
      <x:c r="A38" s="896" t="str">
        <x:v>CP-34</x:v>
      </x:c>
      <x:c r="B38" s="897" t="str">
        <x:v>RNF-07</x:v>
      </x:c>
      <x:c r="C38" s="897" t="str">
        <x:v>—</x:v>
      </x:c>
      <x:c r="D38" s="897" t="str">
        <x:v>8.2.1–8.2.3 / 8.4.1</x:v>
      </x:c>
      <x:c r="E38" s="897" t="str">
        <x:v>Verificar requisito no funcional: disponibilidad en producción.</x:v>
      </x:c>
      <x:c r="F38" s="897" t="str">
        <x:v>Ambiente de prueba configurado y datos representativos del flujo.</x:v>
      </x:c>
      <x:c r="G38" s="897" t="str">
        <x:v>Backend y frontend quedan desplegados y superan las pruebas de humo planificadas.</x:v>
      </x:c>
      <x:c r="H38" s="897" t="str">
        <x:v>Pendiente</x:v>
      </x:c>
      <x:c r="I38" s="897" t="str">
        <x:v>Sprint 8</x:v>
      </x:c>
      <x:c r="J38" s="898" t="n">
        <x:v>46302</x:v>
      </x:c>
      <x:c r="K38" s="927" t="n">
        <x:v>46304</x:v>
      </x:c>
    </x:row>
    <x:row r="39" ht="52" customHeight="1">
      <x:c r="A39" s="896" t="str">
        <x:v>CP-35</x:v>
      </x:c>
      <x:c r="B39" s="897" t="str">
        <x:v>RNF-08</x:v>
      </x:c>
      <x:c r="C39" s="897" t="str">
        <x:v>—</x:v>
      </x:c>
      <x:c r="D39" s="897" t="str">
        <x:v>8.3.1</x:v>
      </x:c>
      <x:c r="E39" s="897" t="str">
        <x:v>Verificar requisito no funcional: integridad de carga inicial.</x:v>
      </x:c>
      <x:c r="F39" s="897" t="str">
        <x:v>Ambiente de prueba configurado y datos representativos del flujo.</x:v>
      </x:c>
      <x:c r="G39" s="897" t="str">
        <x:v>La carga inicial finaliza con los datos maestros disponibles y sin inconsistencias críticas detectadas.</x:v>
      </x:c>
      <x:c r="H39" s="897" t="str">
        <x:v>Pendiente</x:v>
      </x:c>
      <x:c r="I39" s="897" t="str">
        <x:v>Sprint 8</x:v>
      </x:c>
      <x:c r="J39" s="898" t="n">
        <x:v>46304</x:v>
      </x:c>
      <x:c r="K39" s="927" t="n">
        <x:v>46304</x:v>
      </x:c>
    </x:row>
    <x:row r="40" ht="52" customHeight="1">
      <x:c r="A40" s="900" t="str">
        <x:v>CP-36</x:v>
      </x:c>
      <x:c r="B40" s="901" t="str">
        <x:v>RNF-09</x:v>
      </x:c>
      <x:c r="C40" s="901" t="str">
        <x:v>—</x:v>
      </x:c>
      <x:c r="D40" s="901" t="str">
        <x:v>4.3.1 / 7.3.1 / 7.3.2 / 9.2.1</x:v>
      </x:c>
      <x:c r="E40" s="901" t="str">
        <x:v>Verificar requisito no funcional: mantenibilidad y documentación.</x:v>
      </x:c>
      <x:c r="F40" s="901" t="str">
        <x:v>Ambiente de prueba configurado y datos representativos del flujo.</x:v>
      </x:c>
      <x:c r="G40" s="901" t="str">
        <x:v>Se entregan la documentación de API, el manual de usuario, el manual técnico y la documentación final previstas.</x:v>
      </x:c>
      <x:c r="H40" s="901" t="str">
        <x:v>Pendiente</x:v>
      </x:c>
      <x:c r="I40" s="901" t="str">
        <x:v>Sprint 4 / Sprint 7 / Cierre</x:v>
      </x:c>
      <x:c r="J40" s="902" t="n">
        <x:v>46279</x:v>
      </x:c>
      <x:c r="K40" s="928" t="n">
        <x:v>46309</x:v>
      </x:c>
    </x:row>
  </x:sheetData>
  <x:mergeCells>
    <x:mergeCell ref="A1:K1"/>
    <x:mergeCell ref="A2:K2"/>
  </x:mergeCells>
  <x:conditionalFormatting sqref="G5:G40">
    <x:cfRule type="cellIs" dxfId="4" priority="2" operator="equal">
      <x:formula>"Aprobado"</x:formula>
    </x:cfRule>
    <x:cfRule type="cellIs" dxfId="3" priority="3" operator="equal">
      <x:formula>"Fallido"</x:formula>
    </x:cfRule>
  </x:conditionalFormatting>
  <x:conditionalFormatting sqref="H5:H40">
    <x:cfRule type="expression" dxfId="15" priority="4">
      <x:formula>H5="Aprobado"</x:formula>
    </x:cfRule>
    <x:cfRule type="expression" dxfId="16" priority="5">
      <x:formula>H5="Fallido"</x:formula>
    </x:cfRule>
  </x:conditionalFormatting>
  <x:dataValidations count="3">
    <x:dataValidation type="list" allowBlank="1" errorTitle="Valor no permitido" error="Seleccione un valor de la lista desplegable." sqref="G5:G40">
      <x:formula1>#REF!</x:formula1>
      <x:formula2>0</x:formula2>
    </x:dataValidation>
    <x:dataValidation type="list" sqref="G5:G21">
      <x:formula1>"Pendiente,Aprobado,Fallido,Bloqueado"</x:formula1>
    </x:dataValidation>
    <x:dataValidation type="list" sqref="H5:H40">
      <x:formula1>"Pendiente,Aprobado,Fallido,Bloqueado"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98600"/>
  </x:sheetPr>
  <x:sheetViews>
    <x:sheetView showGridLines="0" workbookViewId="0"/>
  </x:sheetViews>
  <x:sheetFormatPr defaultColWidth="8.7109375" defaultRowHeight="15"/>
  <x:cols>
    <x:col min="1" max="1" width="12" hidden="0" customWidth="1"/>
    <x:col min="2" max="2" width="8" hidden="0" customWidth="1"/>
    <x:col min="3" max="3" width="20" hidden="0" customWidth="1"/>
    <x:col min="4" max="4" width="30" hidden="0" customWidth="1"/>
    <x:col min="5" max="5" width="16" hidden="0" customWidth="1"/>
    <x:col min="6" max="6" width="26" hidden="0" customWidth="1"/>
    <x:col min="7" max="7" width="22" hidden="0" customWidth="1"/>
    <x:col min="8" max="8" width="13" hidden="0" customWidth="1"/>
    <x:col min="9" max="9" width="13" hidden="0" customWidth="1"/>
    <x:col min="10" max="10" width="13" hidden="0" customWidth="1"/>
    <x:col min="11" max="11" width="44" hidden="0" customWidth="1"/>
    <x:col min="12" max="12" width="13" hidden="0" customWidth="1"/>
    <x:col min="13" max="13" width="14" hidden="0" customWidth="1"/>
  </x:cols>
  <x:sheetData>
    <x:row r="1" ht="30" customHeight="1">
      <x:c r="A1" s="828" t="str">
        <x:v>MATRIZ DE TRAZABILIDAD - HUATA LÁCTEOS</x:v>
      </x:c>
      <x:c r="B1" s="828"/>
      <x:c r="C1" s="828"/>
      <x:c r="D1" s="828"/>
      <x:c r="E1" s="828"/>
      <x:c r="F1" s="828"/>
      <x:c r="G1" s="828"/>
      <x:c r="H1" s="828"/>
      <x:c r="I1" s="828"/>
      <x:c r="J1" s="828"/>
      <x:c r="K1" s="828"/>
      <x:c r="L1" s="828"/>
      <x:c r="M1" s="828"/>
    </x:row>
    <x:row r="2" ht="18" customHeight="1">
      <x:c r="A2" s="831" t="str">
        <x:v>Trazabilidad completa: Requisito → HU → EDT → Sprint/fechas → Caso de prueba → Entregable.</x:v>
      </x:c>
      <x:c r="B2" s="831"/>
      <x:c r="C2" s="831"/>
      <x:c r="D2" s="831"/>
      <x:c r="E2" s="831"/>
      <x:c r="F2" s="831"/>
      <x:c r="G2" s="831"/>
      <x:c r="H2" s="831"/>
      <x:c r="I2" s="831"/>
      <x:c r="J2" s="831"/>
      <x:c r="K2" s="831"/>
      <x:c r="L2" s="831"/>
      <x:c r="M2" s="831"/>
    </x:row>
    <x:row r="3">
      <x:c r="A3"/>
      <x:c r="B3"/>
      <x:c r="C3"/>
      <x:c r="D3"/>
      <x:c r="E3"/>
      <x:c r="F3"/>
      <x:c r="G3"/>
      <x:c r="H3"/>
      <x:c r="I3"/>
      <x:c r="J3"/>
    </x:row>
    <x:row r="4" ht="32" customHeight="1">
      <x:c r="A4" s="917" t="str">
        <x:v>ID requisito</x:v>
      </x:c>
      <x:c r="B4" s="917" t="str">
        <x:v>HU</x:v>
      </x:c>
      <x:c r="C4" s="917" t="str">
        <x:v>EDT</x:v>
      </x:c>
      <x:c r="D4" s="917" t="str">
        <x:v>Nombre</x:v>
      </x:c>
      <x:c r="E4" s="917" t="str">
        <x:v>Tipo</x:v>
      </x:c>
      <x:c r="F4" s="917" t="str">
        <x:v>Fuente</x:v>
      </x:c>
      <x:c r="G4" s="917" t="str">
        <x:v>Sprint / periodo</x:v>
      </x:c>
      <x:c r="H4" s="917" t="str">
        <x:v>Fecha inicio</x:v>
      </x:c>
      <x:c r="I4" s="917" t="str">
        <x:v>Fecha fin</x:v>
      </x:c>
      <x:c r="J4" s="917" t="str">
        <x:v>Caso de prueba</x:v>
      </x:c>
      <x:c r="K4" s="917" t="str">
        <x:v>Entregable / evidencia</x:v>
      </x:c>
      <x:c r="L4" s="917" t="str">
        <x:v>Estado</x:v>
      </x:c>
      <x:c r="M4" s="917" t="str">
        <x:v>Trazabilidad</x:v>
      </x:c>
    </x:row>
    <x:row r="5" ht="38" customHeight="1">
      <x:c r="A5" s="876" t="str">
        <x:v>RF-01</x:v>
      </x:c>
      <x:c r="B5" s="877" t="str">
        <x:v>HU01</x:v>
      </x:c>
      <x:c r="C5" s="877" t="str">
        <x:v>3.4.1</x:v>
      </x:c>
      <x:c r="D5" s="877" t="str">
        <x:v>Inicio de sesión web</x:v>
      </x:c>
      <x:c r="E5" s="877" t="str">
        <x:v>Funcional</x:v>
      </x:c>
      <x:c r="F5" s="877" t="str">
        <x:v>Cronograma EDT</x:v>
      </x:c>
      <x:c r="G5" s="877" t="str">
        <x:v>Sprint 3</x:v>
      </x:c>
      <x:c r="H5" s="878" t="n">
        <x:v>46271</x:v>
      </x:c>
      <x:c r="I5" s="878" t="n">
        <x:f t="shared" ref="I5:I36" si="0">IF(A5="","",IF(AND(C5&lt;&gt;"",E5&lt;&gt;"",F5&lt;&gt;"SIN PRUEBA",G5&lt;&gt;""),"Completa","Incompleta"))</x:f>
        <x:v>46271</x:v>
      </x:c>
      <x:c r="J5" s="877" t="str">
        <x:v>CP-01</x:v>
      </x:c>
      <x:c r="K5" s="877" t="str">
        <x:v>HU01: Desarrollo Web: Pantalla de Login (Angular)</x:v>
      </x:c>
      <x:c r="L5" s="877" t="str">
        <x:v>Planificado</x:v>
      </x:c>
      <x:c r="M5" s="879" t="str">
        <x:v>Completa</x:v>
      </x:c>
    </x:row>
    <x:row r="6" ht="38" customHeight="1">
      <x:c r="A6" s="880" t="str">
        <x:v>RF-02</x:v>
      </x:c>
      <x:c r="B6" s="881" t="str">
        <x:v>HU02</x:v>
      </x:c>
      <x:c r="C6" s="881" t="str">
        <x:v>3.4.2</x:v>
      </x:c>
      <x:c r="D6" s="881" t="str">
        <x:v>Inicio de sesión móvil</x:v>
      </x:c>
      <x:c r="E6" s="881" t="str">
        <x:v>Funcional</x:v>
      </x:c>
      <x:c r="F6" s="881" t="str">
        <x:v>Cronograma EDT</x:v>
      </x:c>
      <x:c r="G6" s="881" t="str">
        <x:v>Sprint 3</x:v>
      </x:c>
      <x:c r="H6" s="882" t="n">
        <x:v>46271</x:v>
      </x:c>
      <x:c r="I6" s="882" t="n">
        <x:f t="shared" si="0"/>
        <x:v>46271</x:v>
      </x:c>
      <x:c r="J6" s="881" t="str">
        <x:v>CP-02</x:v>
      </x:c>
      <x:c r="K6" s="881" t="str">
        <x:v>HU02: Desarrollo Móvil: Pantalla de Login (Flutter)</x:v>
      </x:c>
      <x:c r="L6" s="881" t="str">
        <x:v>Planificado</x:v>
      </x:c>
      <x:c r="M6" s="883" t="str">
        <x:v>Completa</x:v>
      </x:c>
    </x:row>
    <x:row r="7" ht="38" customHeight="1">
      <x:c r="A7" s="880" t="str">
        <x:v>RF-03</x:v>
      </x:c>
      <x:c r="B7" s="881" t="str">
        <x:v>HU03</x:v>
      </x:c>
      <x:c r="C7" s="881" t="str">
        <x:v>3.4.3</x:v>
      </x:c>
      <x:c r="D7" s="881" t="str">
        <x:v>Autenticación y sesión segura</x:v>
      </x:c>
      <x:c r="E7" s="881" t="str">
        <x:v>Funcional</x:v>
      </x:c>
      <x:c r="F7" s="881" t="str">
        <x:v>Cronograma EDT</x:v>
      </x:c>
      <x:c r="G7" s="881" t="str">
        <x:v>Sprint 3</x:v>
      </x:c>
      <x:c r="H7" s="882" t="n">
        <x:v>46270</x:v>
      </x:c>
      <x:c r="I7" s="882" t="n">
        <x:f t="shared" si="0"/>
        <x:v>46271</x:v>
      </x:c>
      <x:c r="J7" s="881" t="str">
        <x:v>CP-03</x:v>
      </x:c>
      <x:c r="K7" s="881" t="str">
        <x:v>HU03: Desarrollo Backend: Módulo de Autenticación</x:v>
      </x:c>
      <x:c r="L7" s="881" t="str">
        <x:v>Planificado</x:v>
      </x:c>
      <x:c r="M7" s="883" t="str">
        <x:v>Completa</x:v>
      </x:c>
    </x:row>
    <x:row r="8" ht="38" customHeight="1">
      <x:c r="A8" s="880" t="str">
        <x:v>RF-04</x:v>
      </x:c>
      <x:c r="B8" s="881" t="str">
        <x:v>HU04</x:v>
      </x:c>
      <x:c r="C8" s="881" t="str">
        <x:v>4.2.1</x:v>
      </x:c>
      <x:c r="D8" s="881" t="str">
        <x:v>Administrar productores vía API</x:v>
      </x:c>
      <x:c r="E8" s="881" t="str">
        <x:v>Funcional</x:v>
      </x:c>
      <x:c r="F8" s="881" t="str">
        <x:v>Cronograma EDT</x:v>
      </x:c>
      <x:c r="G8" s="881" t="str">
        <x:v>Sprint 4</x:v>
      </x:c>
      <x:c r="H8" s="882" t="n">
        <x:v>46274</x:v>
      </x:c>
      <x:c r="I8" s="882" t="n">
        <x:f t="shared" si="0"/>
        <x:v>46275</x:v>
      </x:c>
      <x:c r="J8" s="881" t="str">
        <x:v>CP-04</x:v>
      </x:c>
      <x:c r="K8" s="881" t="str">
        <x:v>HU04: Backend: CRUD de Productores (API REST)</x:v>
      </x:c>
      <x:c r="L8" s="881" t="str">
        <x:v>Planificado</x:v>
      </x:c>
      <x:c r="M8" s="883" t="str">
        <x:v>Completa</x:v>
      </x:c>
    </x:row>
    <x:row r="9" ht="38" customHeight="1">
      <x:c r="A9" s="880" t="str">
        <x:v>RF-05</x:v>
      </x:c>
      <x:c r="B9" s="881" t="str">
        <x:v>HU05</x:v>
      </x:c>
      <x:c r="C9" s="881" t="str">
        <x:v>4.2.2</x:v>
      </x:c>
      <x:c r="D9" s="881" t="str">
        <x:v>Administrar acopiadores y rutas vía API</x:v>
      </x:c>
      <x:c r="E9" s="881" t="str">
        <x:v>Funcional</x:v>
      </x:c>
      <x:c r="F9" s="881" t="str">
        <x:v>Cronograma EDT</x:v>
      </x:c>
      <x:c r="G9" s="881" t="str">
        <x:v>Sprint 4</x:v>
      </x:c>
      <x:c r="H9" s="882" t="n">
        <x:v>46275</x:v>
      </x:c>
      <x:c r="I9" s="882" t="n">
        <x:f t="shared" si="0"/>
        <x:v>46276</x:v>
      </x:c>
      <x:c r="J9" s="881" t="str">
        <x:v>CP-05</x:v>
      </x:c>
      <x:c r="K9" s="881" t="str">
        <x:v>HU05: Backend: CRUD de Acopiadores y Rutas</x:v>
      </x:c>
      <x:c r="L9" s="881" t="str">
        <x:v>Planificado</x:v>
      </x:c>
      <x:c r="M9" s="883" t="str">
        <x:v>Completa</x:v>
      </x:c>
    </x:row>
    <x:row r="10" ht="38" customHeight="1">
      <x:c r="A10" s="880" t="str">
        <x:v>RF-06</x:v>
      </x:c>
      <x:c r="B10" s="881" t="str">
        <x:v>HU06</x:v>
      </x:c>
      <x:c r="C10" s="881" t="str">
        <x:v>4.2.3</x:v>
      </x:c>
      <x:c r="D10" s="881" t="str">
        <x:v>Administrar centros de acopio vía API</x:v>
      </x:c>
      <x:c r="E10" s="881" t="str">
        <x:v>Funcional</x:v>
      </x:c>
      <x:c r="F10" s="881" t="str">
        <x:v>Cronograma EDT</x:v>
      </x:c>
      <x:c r="G10" s="881" t="str">
        <x:v>Sprint 4</x:v>
      </x:c>
      <x:c r="H10" s="882" t="n">
        <x:v>46276</x:v>
      </x:c>
      <x:c r="I10" s="882" t="n">
        <x:f t="shared" si="0"/>
        <x:v>46276</x:v>
      </x:c>
      <x:c r="J10" s="881" t="str">
        <x:v>CP-06</x:v>
      </x:c>
      <x:c r="K10" s="881" t="str">
        <x:v>HU06: Backend: CRUD de Centros de Acopio</x:v>
      </x:c>
      <x:c r="L10" s="881" t="str">
        <x:v>Planificado</x:v>
      </x:c>
      <x:c r="M10" s="883" t="str">
        <x:v>Completa</x:v>
      </x:c>
    </x:row>
    <x:row r="11" ht="38" customHeight="1">
      <x:c r="A11" s="880" t="str">
        <x:v>RF-07</x:v>
      </x:c>
      <x:c r="B11" s="881" t="str">
        <x:v>HU07</x:v>
      </x:c>
      <x:c r="C11" s="881" t="str">
        <x:v>4.2.4</x:v>
      </x:c>
      <x:c r="D11" s="881" t="str">
        <x:v>Gestionar productores desde la web</x:v>
      </x:c>
      <x:c r="E11" s="881" t="str">
        <x:v>Funcional</x:v>
      </x:c>
      <x:c r="F11" s="881" t="str">
        <x:v>Cronograma EDT</x:v>
      </x:c>
      <x:c r="G11" s="881" t="str">
        <x:v>Sprint 4</x:v>
      </x:c>
      <x:c r="H11" s="882" t="n">
        <x:v>46276</x:v>
      </x:c>
      <x:c r="I11" s="882" t="n">
        <x:f t="shared" si="0"/>
        <x:v>46277</x:v>
      </x:c>
      <x:c r="J11" s="881" t="str">
        <x:v>CP-07</x:v>
      </x:c>
      <x:c r="K11" s="881" t="str">
        <x:v>HU07: Web: Módulo de gestión de Productores</x:v>
      </x:c>
      <x:c r="L11" s="881" t="str">
        <x:v>Planificado</x:v>
      </x:c>
      <x:c r="M11" s="883" t="str">
        <x:v>Completa</x:v>
      </x:c>
    </x:row>
    <x:row r="12" ht="38" customHeight="1">
      <x:c r="A12" s="880" t="str">
        <x:v>RF-08</x:v>
      </x:c>
      <x:c r="B12" s="881" t="str">
        <x:v>HU08</x:v>
      </x:c>
      <x:c r="C12" s="881" t="str">
        <x:v>4.2.5</x:v>
      </x:c>
      <x:c r="D12" s="881" t="str">
        <x:v>Gestionar rutas y centros desde la web</x:v>
      </x:c>
      <x:c r="E12" s="881" t="str">
        <x:v>Funcional</x:v>
      </x:c>
      <x:c r="F12" s="881" t="str">
        <x:v>Cronograma EDT</x:v>
      </x:c>
      <x:c r="G12" s="881" t="str">
        <x:v>Sprint 4</x:v>
      </x:c>
      <x:c r="H12" s="882" t="n">
        <x:v>46277</x:v>
      </x:c>
      <x:c r="I12" s="882" t="n">
        <x:f t="shared" si="0"/>
        <x:v>46278</x:v>
      </x:c>
      <x:c r="J12" s="881" t="str">
        <x:v>CP-08</x:v>
      </x:c>
      <x:c r="K12" s="881" t="str">
        <x:v>HU08: Web: Módulo de gestión de Rutas y Centros de Acopio</x:v>
      </x:c>
      <x:c r="L12" s="881" t="str">
        <x:v>Planificado</x:v>
      </x:c>
      <x:c r="M12" s="883" t="str">
        <x:v>Completa</x:v>
      </x:c>
    </x:row>
    <x:row r="13" ht="38" customHeight="1">
      <x:c r="A13" s="880" t="str">
        <x:v>RF-09</x:v>
      </x:c>
      <x:c r="B13" s="881" t="str">
        <x:v>HU09</x:v>
      </x:c>
      <x:c r="C13" s="881" t="str">
        <x:v>4.2.6</x:v>
      </x:c>
      <x:c r="D13" s="881" t="str">
        <x:v>Consultar productores asignados</x:v>
      </x:c>
      <x:c r="E13" s="881" t="str">
        <x:v>Funcional</x:v>
      </x:c>
      <x:c r="F13" s="881" t="str">
        <x:v>Cronograma EDT</x:v>
      </x:c>
      <x:c r="G13" s="881" t="str">
        <x:v>Sprint 4</x:v>
      </x:c>
      <x:c r="H13" s="882" t="n">
        <x:v>46276</x:v>
      </x:c>
      <x:c r="I13" s="882" t="n">
        <x:f t="shared" si="0"/>
        <x:v>46277</x:v>
      </x:c>
      <x:c r="J13" s="881" t="str">
        <x:v>CP-09</x:v>
      </x:c>
      <x:c r="K13" s="881" t="str">
        <x:v>HU09: Móvil: Módulo de consulta de productores asignados</x:v>
      </x:c>
      <x:c r="L13" s="881" t="str">
        <x:v>Planificado</x:v>
      </x:c>
      <x:c r="M13" s="883" t="str">
        <x:v>Completa</x:v>
      </x:c>
    </x:row>
    <x:row r="14" ht="38" customHeight="1">
      <x:c r="A14" s="880" t="str">
        <x:v>RF-10</x:v>
      </x:c>
      <x:c r="B14" s="881" t="str">
        <x:v>HU10</x:v>
      </x:c>
      <x:c r="C14" s="881" t="str">
        <x:v>4.2.7</x:v>
      </x:c>
      <x:c r="D14" s="881" t="str">
        <x:v>Consultar ruta del día</x:v>
      </x:c>
      <x:c r="E14" s="881" t="str">
        <x:v>Funcional</x:v>
      </x:c>
      <x:c r="F14" s="881" t="str">
        <x:v>Cronograma EDT</x:v>
      </x:c>
      <x:c r="G14" s="881" t="str">
        <x:v>Sprint 4</x:v>
      </x:c>
      <x:c r="H14" s="882" t="n">
        <x:v>46277</x:v>
      </x:c>
      <x:c r="I14" s="882" t="n">
        <x:f t="shared" si="0"/>
        <x:v>46278</x:v>
      </x:c>
      <x:c r="J14" s="881" t="str">
        <x:v>CP-10</x:v>
      </x:c>
      <x:c r="K14" s="881" t="str">
        <x:v>HU10: Móvil: Módulo de gestión de ruta del día</x:v>
      </x:c>
      <x:c r="L14" s="881" t="str">
        <x:v>Planificado</x:v>
      </x:c>
      <x:c r="M14" s="883" t="str">
        <x:v>Completa</x:v>
      </x:c>
    </x:row>
    <x:row r="15" ht="38" customHeight="1">
      <x:c r="A15" s="880" t="str">
        <x:v>RF-11</x:v>
      </x:c>
      <x:c r="B15" s="881" t="str">
        <x:v>HU11</x:v>
      </x:c>
      <x:c r="C15" s="881" t="str">
        <x:v>5.2.1</x:v>
      </x:c>
      <x:c r="D15" s="881" t="str">
        <x:v>Registrar recojo de leche</x:v>
      </x:c>
      <x:c r="E15" s="881" t="str">
        <x:v>Funcional</x:v>
      </x:c>
      <x:c r="F15" s="881" t="str">
        <x:v>Cronograma EDT</x:v>
      </x:c>
      <x:c r="G15" s="881" t="str">
        <x:v>Sprint 5</x:v>
      </x:c>
      <x:c r="H15" s="882" t="n">
        <x:v>46281</x:v>
      </x:c>
      <x:c r="I15" s="882" t="n">
        <x:f t="shared" si="0"/>
        <x:v>46282</x:v>
      </x:c>
      <x:c r="J15" s="881" t="str">
        <x:v>CP-11</x:v>
      </x:c>
      <x:c r="K15" s="881" t="str">
        <x:v>HU11: Backend: API de Registro de Recojo de Leche</x:v>
      </x:c>
      <x:c r="L15" s="881" t="str">
        <x:v>Planificado</x:v>
      </x:c>
      <x:c r="M15" s="883" t="str">
        <x:v>Completa</x:v>
      </x:c>
    </x:row>
    <x:row r="16" ht="38" customHeight="1">
      <x:c r="A16" s="880" t="str">
        <x:v>RF-12</x:v>
      </x:c>
      <x:c r="B16" s="881" t="str">
        <x:v>HU12</x:v>
      </x:c>
      <x:c r="C16" s="881" t="str">
        <x:v>5.2.2</x:v>
      </x:c>
      <x:c r="D16" s="881" t="str">
        <x:v>Consultar liquidaciones</x:v>
      </x:c>
      <x:c r="E16" s="881" t="str">
        <x:v>Funcional</x:v>
      </x:c>
      <x:c r="F16" s="881" t="str">
        <x:v>Cronograma EDT</x:v>
      </x:c>
      <x:c r="G16" s="881" t="str">
        <x:v>Sprint 5</x:v>
      </x:c>
      <x:c r="H16" s="882" t="n">
        <x:v>46285</x:v>
      </x:c>
      <x:c r="I16" s="882" t="n">
        <x:f t="shared" si="0"/>
        <x:v>46285</x:v>
      </x:c>
      <x:c r="J16" s="881" t="str">
        <x:v>CP-12</x:v>
      </x:c>
      <x:c r="K16" s="881" t="str">
        <x:v>HU12: Web: Módulo de consulta de liquidaciones</x:v>
      </x:c>
      <x:c r="L16" s="881" t="str">
        <x:v>Planificado</x:v>
      </x:c>
      <x:c r="M16" s="883" t="str">
        <x:v>Completa</x:v>
      </x:c>
    </x:row>
    <x:row r="17" ht="38" customHeight="1">
      <x:c r="A17" s="880" t="str">
        <x:v>RF-13</x:v>
      </x:c>
      <x:c r="B17" s="881" t="str">
        <x:v>HU13</x:v>
      </x:c>
      <x:c r="C17" s="881" t="str">
        <x:v>5.3.1</x:v>
      </x:c>
      <x:c r="D17" s="881" t="str">
        <x:v>Registrar parámetros de calidad</x:v>
      </x:c>
      <x:c r="E17" s="881" t="str">
        <x:v>Funcional</x:v>
      </x:c>
      <x:c r="F17" s="881" t="str">
        <x:v>Cronograma EDT</x:v>
      </x:c>
      <x:c r="G17" s="881" t="str">
        <x:v>Sprint 5</x:v>
      </x:c>
      <x:c r="H17" s="882" t="n">
        <x:v>46282</x:v>
      </x:c>
      <x:c r="I17" s="882" t="n">
        <x:f t="shared" si="0"/>
        <x:v>46282</x:v>
      </x:c>
      <x:c r="J17" s="881" t="str">
        <x:v>CP-13</x:v>
      </x:c>
      <x:c r="K17" s="881" t="str">
        <x:v>HU13: Backend: Registro de parámetros de calidad</x:v>
      </x:c>
      <x:c r="L17" s="881" t="str">
        <x:v>Planificado</x:v>
      </x:c>
      <x:c r="M17" s="883" t="str">
        <x:v>Completa</x:v>
      </x:c>
    </x:row>
    <x:row r="18" ht="38" customHeight="1">
      <x:c r="A18" s="880" t="str">
        <x:v>RF-14</x:v>
      </x:c>
      <x:c r="B18" s="881" t="str">
        <x:v>HU14</x:v>
      </x:c>
      <x:c r="C18" s="881" t="str">
        <x:v>5.3.2</x:v>
      </x:c>
      <x:c r="D18" s="881" t="str">
        <x:v>Calcular pago o liquidación</x:v>
      </x:c>
      <x:c r="E18" s="881" t="str">
        <x:v>Funcional</x:v>
      </x:c>
      <x:c r="F18" s="881" t="str">
        <x:v>Cronograma EDT</x:v>
      </x:c>
      <x:c r="G18" s="881" t="str">
        <x:v>Sprint 5</x:v>
      </x:c>
      <x:c r="H18" s="882" t="n">
        <x:v>46283</x:v>
      </x:c>
      <x:c r="I18" s="882" t="n">
        <x:f t="shared" si="0"/>
        <x:v>46284</x:v>
      </x:c>
      <x:c r="J18" s="881" t="str">
        <x:v>CP-14</x:v>
      </x:c>
      <x:c r="K18" s="881" t="str">
        <x:v>HU14: Backend: Cálculo de pago / liquidación</x:v>
      </x:c>
      <x:c r="L18" s="881" t="str">
        <x:v>Planificado</x:v>
      </x:c>
      <x:c r="M18" s="883" t="str">
        <x:v>Completa</x:v>
      </x:c>
    </x:row>
    <x:row r="19" ht="38" customHeight="1">
      <x:c r="A19" s="880" t="str">
        <x:v>RF-15</x:v>
      </x:c>
      <x:c r="B19" s="881" t="str">
        <x:v>HU15</x:v>
      </x:c>
      <x:c r="C19" s="881" t="str">
        <x:v>5.3.3</x:v>
      </x:c>
      <x:c r="D19" s="881" t="str">
        <x:v>Registrar y consultar recojos desde la web</x:v>
      </x:c>
      <x:c r="E19" s="881" t="str">
        <x:v>Funcional</x:v>
      </x:c>
      <x:c r="F19" s="881" t="str">
        <x:v>Cronograma EDT</x:v>
      </x:c>
      <x:c r="G19" s="881" t="str">
        <x:v>Sprint 5</x:v>
      </x:c>
      <x:c r="H19" s="882" t="n">
        <x:v>46283</x:v>
      </x:c>
      <x:c r="I19" s="882" t="n">
        <x:f t="shared" si="0"/>
        <x:v>46284</x:v>
      </x:c>
      <x:c r="J19" s="881" t="str">
        <x:v>CP-15</x:v>
      </x:c>
      <x:c r="K19" s="881" t="str">
        <x:v>HU15: Web: Módulo de registro y consulta de recojos</x:v>
      </x:c>
      <x:c r="L19" s="881" t="str">
        <x:v>Planificado</x:v>
      </x:c>
      <x:c r="M19" s="883" t="str">
        <x:v>Completa</x:v>
      </x:c>
    </x:row>
    <x:row r="20" ht="38" customHeight="1">
      <x:c r="A20" s="880" t="str">
        <x:v>RF-16</x:v>
      </x:c>
      <x:c r="B20" s="881" t="str">
        <x:v>HU16</x:v>
      </x:c>
      <x:c r="C20" s="881" t="str">
        <x:v>5.3.4</x:v>
      </x:c>
      <x:c r="D20" s="881" t="str">
        <x:v>Registrar recojo sin conexión</x:v>
      </x:c>
      <x:c r="E20" s="881" t="str">
        <x:v>Funcional</x:v>
      </x:c>
      <x:c r="F20" s="881" t="str">
        <x:v>Cronograma EDT</x:v>
      </x:c>
      <x:c r="G20" s="881" t="str">
        <x:v>Sprint 5</x:v>
      </x:c>
      <x:c r="H20" s="882" t="n">
        <x:v>46283</x:v>
      </x:c>
      <x:c r="I20" s="882" t="n">
        <x:f t="shared" si="0"/>
        <x:v>46284</x:v>
      </x:c>
      <x:c r="J20" s="881" t="str">
        <x:v>CP-16</x:v>
      </x:c>
      <x:c r="K20" s="881" t="str">
        <x:v>HU16: Móvil: Pantalla de registro de recojo de leche (offline-first)</x:v>
      </x:c>
      <x:c r="L20" s="881" t="str">
        <x:v>Planificado</x:v>
      </x:c>
      <x:c r="M20" s="883" t="str">
        <x:v>Completa</x:v>
      </x:c>
    </x:row>
    <x:row r="21" ht="38" customHeight="1">
      <x:c r="A21" s="880" t="str">
        <x:v>RF-17</x:v>
      </x:c>
      <x:c r="B21" s="881" t="str">
        <x:v>HU17</x:v>
      </x:c>
      <x:c r="C21" s="881" t="str">
        <x:v>5.3.5</x:v>
      </x:c>
      <x:c r="D21" s="881" t="str">
        <x:v>Sincronizar datos offline</x:v>
      </x:c>
      <x:c r="E21" s="881" t="str">
        <x:v>Funcional</x:v>
      </x:c>
      <x:c r="F21" s="881" t="str">
        <x:v>Cronograma EDT</x:v>
      </x:c>
      <x:c r="G21" s="881" t="str">
        <x:v>Sprint 5</x:v>
      </x:c>
      <x:c r="H21" s="882" t="n">
        <x:v>46284</x:v>
      </x:c>
      <x:c r="I21" s="882" t="n">
        <x:f t="shared" si="0"/>
        <x:v>46285</x:v>
      </x:c>
      <x:c r="J21" s="881" t="str">
        <x:v>CP-17</x:v>
      </x:c>
      <x:c r="K21" s="881" t="str">
        <x:v>HU17: Móvil: Almacenamiento local (SQLite) y sincronización</x:v>
      </x:c>
      <x:c r="L21" s="881" t="str">
        <x:v>Planificado</x:v>
      </x:c>
      <x:c r="M21" s="883" t="str">
        <x:v>Completa</x:v>
      </x:c>
    </x:row>
    <x:row r="22" ht="38" customHeight="1">
      <x:c r="A22" s="880" t="str">
        <x:v>RF-18</x:v>
      </x:c>
      <x:c r="B22" s="881" t="str">
        <x:v>HU18</x:v>
      </x:c>
      <x:c r="C22" s="881" t="str">
        <x:v>5.3.6</x:v>
      </x:c>
      <x:c r="D22" s="881" t="str">
        <x:v>Capturar evidencia del recojo</x:v>
      </x:c>
      <x:c r="E22" s="881" t="str">
        <x:v>Funcional</x:v>
      </x:c>
      <x:c r="F22" s="881" t="str">
        <x:v>Cronograma EDT</x:v>
      </x:c>
      <x:c r="G22" s="881" t="str">
        <x:v>Sprint 5</x:v>
      </x:c>
      <x:c r="H22" s="882" t="n">
        <x:v>46286</x:v>
      </x:c>
      <x:c r="I22" s="882" t="n">
        <x:f t="shared" si="0"/>
        <x:v>46286</x:v>
      </x:c>
      <x:c r="J22" s="881" t="str">
        <x:v>CP-18</x:v>
      </x:c>
      <x:c r="K22" s="881" t="str">
        <x:v>HU18: Móvil: Captura de evidencia (firma digital / foto)</x:v>
      </x:c>
      <x:c r="L22" s="881" t="str">
        <x:v>Planificado</x:v>
      </x:c>
      <x:c r="M22" s="883" t="str">
        <x:v>Completa</x:v>
      </x:c>
    </x:row>
    <x:row r="23" ht="38" customHeight="1">
      <x:c r="A23" s="880" t="str">
        <x:v>RF-19</x:v>
      </x:c>
      <x:c r="B23" s="881" t="str">
        <x:v>HU19</x:v>
      </x:c>
      <x:c r="C23" s="881" t="str">
        <x:v>6.2.1</x:v>
      </x:c>
      <x:c r="D23" s="881" t="str">
        <x:v>Generar reportes gerenciales</x:v>
      </x:c>
      <x:c r="E23" s="881" t="str">
        <x:v>Funcional</x:v>
      </x:c>
      <x:c r="F23" s="881" t="str">
        <x:v>Cronograma EDT</x:v>
      </x:c>
      <x:c r="G23" s="881" t="str">
        <x:v>Sprint 6</x:v>
      </x:c>
      <x:c r="H23" s="882" t="n">
        <x:v>46288</x:v>
      </x:c>
      <x:c r="I23" s="882" t="n">
        <x:f t="shared" si="0"/>
        <x:v>46289</x:v>
      </x:c>
      <x:c r="J23" s="881" t="str">
        <x:v>CP-19</x:v>
      </x:c>
      <x:c r="K23" s="881" t="str">
        <x:v>HU19: Backend: Módulo de reportes gerenciales</x:v>
      </x:c>
      <x:c r="L23" s="881" t="str">
        <x:v>Planificado</x:v>
      </x:c>
      <x:c r="M23" s="883" t="str">
        <x:v>Completa</x:v>
      </x:c>
    </x:row>
    <x:row r="24" ht="38" customHeight="1">
      <x:c r="A24" s="880" t="str">
        <x:v>RF-20</x:v>
      </x:c>
      <x:c r="B24" s="881" t="str">
        <x:v>HU20</x:v>
      </x:c>
      <x:c r="C24" s="881" t="str">
        <x:v>6.2.2</x:v>
      </x:c>
      <x:c r="D24" s="881" t="str">
        <x:v>Generar notificaciones</x:v>
      </x:c>
      <x:c r="E24" s="881" t="str">
        <x:v>Funcional</x:v>
      </x:c>
      <x:c r="F24" s="881" t="str">
        <x:v>Cronograma EDT</x:v>
      </x:c>
      <x:c r="G24" s="881" t="str">
        <x:v>Sprint 6</x:v>
      </x:c>
      <x:c r="H24" s="882" t="n">
        <x:v>46289</x:v>
      </x:c>
      <x:c r="I24" s="882" t="n">
        <x:f t="shared" si="0"/>
        <x:v>46289</x:v>
      </x:c>
      <x:c r="J24" s="881" t="str">
        <x:v>CP-20</x:v>
      </x:c>
      <x:c r="K24" s="881" t="str">
        <x:v>HU20: Backend: Módulo de notificaciones (email / push)</x:v>
      </x:c>
      <x:c r="L24" s="881" t="str">
        <x:v>Planificado</x:v>
      </x:c>
      <x:c r="M24" s="883" t="str">
        <x:v>Completa</x:v>
      </x:c>
    </x:row>
    <x:row r="25" ht="38" customHeight="1">
      <x:c r="A25" s="880" t="str">
        <x:v>RF-21</x:v>
      </x:c>
      <x:c r="B25" s="881" t="str">
        <x:v>HU21</x:v>
      </x:c>
      <x:c r="C25" s="881" t="str">
        <x:v>6.2.3</x:v>
      </x:c>
      <x:c r="D25" s="881" t="str">
        <x:v>Visualizar dashboard con gráficos</x:v>
      </x:c>
      <x:c r="E25" s="881" t="str">
        <x:v>Funcional</x:v>
      </x:c>
      <x:c r="F25" s="881" t="str">
        <x:v>Cronograma EDT</x:v>
      </x:c>
      <x:c r="G25" s="881" t="str">
        <x:v>Sprint 6</x:v>
      </x:c>
      <x:c r="H25" s="882" t="n">
        <x:v>46290</x:v>
      </x:c>
      <x:c r="I25" s="882" t="n">
        <x:f t="shared" si="0"/>
        <x:v>46291</x:v>
      </x:c>
      <x:c r="J25" s="881" t="str">
        <x:v>CP-21</x:v>
      </x:c>
      <x:c r="K25" s="881" t="str">
        <x:v>HU21: Web: Dashboard de reportes con gráficos</x:v>
      </x:c>
      <x:c r="L25" s="881" t="str">
        <x:v>Planificado</x:v>
      </x:c>
      <x:c r="M25" s="883" t="str">
        <x:v>Completa</x:v>
      </x:c>
    </x:row>
    <x:row r="26" ht="38" customHeight="1">
      <x:c r="A26" s="880" t="str">
        <x:v>RF-22</x:v>
      </x:c>
      <x:c r="B26" s="881" t="str">
        <x:v>HU22</x:v>
      </x:c>
      <x:c r="C26" s="881" t="str">
        <x:v>6.2.4</x:v>
      </x:c>
      <x:c r="D26" s="881" t="str">
        <x:v>Administrar usuarios y roles</x:v>
      </x:c>
      <x:c r="E26" s="881" t="str">
        <x:v>Funcional</x:v>
      </x:c>
      <x:c r="F26" s="881" t="str">
        <x:v>Cronograma EDT</x:v>
      </x:c>
      <x:c r="G26" s="881" t="str">
        <x:v>Sprint 6</x:v>
      </x:c>
      <x:c r="H26" s="882" t="n">
        <x:v>46291</x:v>
      </x:c>
      <x:c r="I26" s="882" t="n">
        <x:f t="shared" si="0"/>
        <x:v>46291</x:v>
      </x:c>
      <x:c r="J26" s="881" t="str">
        <x:v>CP-22</x:v>
      </x:c>
      <x:c r="K26" s="881" t="str">
        <x:v>HU22: Web: Módulo de administración de usuarios y roles</x:v>
      </x:c>
      <x:c r="L26" s="881" t="str">
        <x:v>Planificado</x:v>
      </x:c>
      <x:c r="M26" s="883" t="str">
        <x:v>Completa</x:v>
      </x:c>
    </x:row>
    <x:row r="27" ht="38" customHeight="1">
      <x:c r="A27" s="880" t="str">
        <x:v>RF-23</x:v>
      </x:c>
      <x:c r="B27" s="881" t="str">
        <x:v>HU23</x:v>
      </x:c>
      <x:c r="C27" s="881" t="str">
        <x:v>6.2.5</x:v>
      </x:c>
      <x:c r="D27" s="881" t="str">
        <x:v>Recibir notificaciones push</x:v>
      </x:c>
      <x:c r="E27" s="881" t="str">
        <x:v>Funcional</x:v>
      </x:c>
      <x:c r="F27" s="881" t="str">
        <x:v>Cronograma EDT</x:v>
      </x:c>
      <x:c r="G27" s="881" t="str">
        <x:v>Sprint 6</x:v>
      </x:c>
      <x:c r="H27" s="882" t="n">
        <x:v>46290</x:v>
      </x:c>
      <x:c r="I27" s="882" t="n">
        <x:f t="shared" si="0"/>
        <x:v>46290</x:v>
      </x:c>
      <x:c r="J27" s="881" t="str">
        <x:v>CP-23</x:v>
      </x:c>
      <x:c r="K27" s="881" t="str">
        <x:v>HU23: Móvil: Notificaciones push (Firebase Cloud Messaging)</x:v>
      </x:c>
      <x:c r="L27" s="881" t="str">
        <x:v>Planificado</x:v>
      </x:c>
      <x:c r="M27" s="883" t="str">
        <x:v>Completa</x:v>
      </x:c>
    </x:row>
    <x:row r="28" ht="38" customHeight="1">
      <x:c r="A28" s="880" t="str">
        <x:v>RF-24</x:v>
      </x:c>
      <x:c r="B28" s="881" t="str">
        <x:v>HU24</x:v>
      </x:c>
      <x:c r="C28" s="881" t="str">
        <x:v>6.2.6</x:v>
      </x:c>
      <x:c r="D28" s="881" t="str">
        <x:v>Consultar historial de recojos</x:v>
      </x:c>
      <x:c r="E28" s="881" t="str">
        <x:v>Funcional</x:v>
      </x:c>
      <x:c r="F28" s="881" t="str">
        <x:v>Cronograma EDT</x:v>
      </x:c>
      <x:c r="G28" s="881" t="str">
        <x:v>Sprint 6</x:v>
      </x:c>
      <x:c r="H28" s="882" t="n">
        <x:v>46290</x:v>
      </x:c>
      <x:c r="I28" s="882" t="n">
        <x:f t="shared" si="0"/>
        <x:v>46291</x:v>
      </x:c>
      <x:c r="J28" s="881" t="str">
        <x:v>CP-24</x:v>
      </x:c>
      <x:c r="K28" s="881" t="str">
        <x:v>HU24: Móvil: Pantalla de historial de recojos y reportes personales</x:v>
      </x:c>
      <x:c r="L28" s="881" t="str">
        <x:v>Planificado</x:v>
      </x:c>
      <x:c r="M28" s="883" t="str">
        <x:v>Completa</x:v>
      </x:c>
    </x:row>
    <x:row r="29" ht="38" customHeight="1">
      <x:c r="A29" s="880" t="str">
        <x:v>RI-01</x:v>
      </x:c>
      <x:c r="B29" s="881" t="str">
        <x:v>HU25</x:v>
      </x:c>
      <x:c r="C29" s="881" t="str">
        <x:v>8.5.2</x:v>
      </x:c>
      <x:c r="D29" s="881" t="str">
        <x:v>Capacitar administradores del sistema</x:v>
      </x:c>
      <x:c r="E29" s="881" t="str">
        <x:v>Implementación</x:v>
      </x:c>
      <x:c r="F29" s="881" t="str">
        <x:v>Cronograma EDT</x:v>
      </x:c>
      <x:c r="G29" s="881" t="str">
        <x:v>Sprint 8</x:v>
      </x:c>
      <x:c r="H29" s="882" t="n">
        <x:v>46305</x:v>
      </x:c>
      <x:c r="I29" s="882" t="n">
        <x:f t="shared" si="0"/>
        <x:v>46305</x:v>
      </x:c>
      <x:c r="J29" s="881" t="str">
        <x:v>CP-25</x:v>
      </x:c>
      <x:c r="K29" s="881" t="str">
        <x:v>HU25: Capacitación a administradores del sistema (módulo Web)</x:v>
      </x:c>
      <x:c r="L29" s="881" t="str">
        <x:v>Planificado</x:v>
      </x:c>
      <x:c r="M29" s="883" t="str">
        <x:v>Completa</x:v>
      </x:c>
    </x:row>
    <x:row r="30" ht="38" customHeight="1">
      <x:c r="A30" s="880" t="str">
        <x:v>RI-02</x:v>
      </x:c>
      <x:c r="B30" s="881" t="str">
        <x:v>HU26</x:v>
      </x:c>
      <x:c r="C30" s="881" t="str">
        <x:v>8.5.3</x:v>
      </x:c>
      <x:c r="D30" s="881" t="str">
        <x:v>Capacitar acopiadores en la app móvil</x:v>
      </x:c>
      <x:c r="E30" s="881" t="str">
        <x:v>Implementación</x:v>
      </x:c>
      <x:c r="F30" s="881" t="str">
        <x:v>Cronograma EDT</x:v>
      </x:c>
      <x:c r="G30" s="881" t="str">
        <x:v>Sprint 8</x:v>
      </x:c>
      <x:c r="H30" s="882" t="n">
        <x:v>46306</x:v>
      </x:c>
      <x:c r="I30" s="882" t="n">
        <x:f t="shared" si="0"/>
        <x:v>46306</x:v>
      </x:c>
      <x:c r="J30" s="881" t="str">
        <x:v>CP-26</x:v>
      </x:c>
      <x:c r="K30" s="881" t="str">
        <x:v>HU26: Capacitación a acopiadores / usuarios finales (App Móvil) en Huata</x:v>
      </x:c>
      <x:c r="L30" s="881" t="str">
        <x:v>Planificado</x:v>
      </x:c>
      <x:c r="M30" s="883" t="str">
        <x:v>Completa</x:v>
      </x:c>
    </x:row>
    <x:row r="31" ht="38" customHeight="1">
      <x:c r="A31" s="880" t="str">
        <x:v>RS-01</x:v>
      </x:c>
      <x:c r="B31" s="881" t="str">
        <x:v>HU27</x:v>
      </x:c>
      <x:c r="C31" s="881" t="str">
        <x:v>8.5.4</x:v>
      </x:c>
      <x:c r="D31" s="881" t="str">
        <x:v>Brindar soporte post-implementación</x:v>
      </x:c>
      <x:c r="E31" s="881" t="str">
        <x:v>Servicio</x:v>
      </x:c>
      <x:c r="F31" s="881" t="str">
        <x:v>Cronograma EDT</x:v>
      </x:c>
      <x:c r="G31" s="881" t="str">
        <x:v>Sprint 8</x:v>
      </x:c>
      <x:c r="H31" s="882" t="n">
        <x:v>46306</x:v>
      </x:c>
      <x:c r="I31" s="882" t="n">
        <x:f t="shared" si="0"/>
        <x:v>46307</x:v>
      </x:c>
      <x:c r="J31" s="881" t="str">
        <x:v>CP-27</x:v>
      </x:c>
      <x:c r="K31" s="881" t="str">
        <x:v>HU27: Soporte post-implementación (hipercare)</x:v>
      </x:c>
      <x:c r="L31" s="881" t="str">
        <x:v>Planificado</x:v>
      </x:c>
      <x:c r="M31" s="883" t="str">
        <x:v>Completa</x:v>
      </x:c>
    </x:row>
    <x:row r="32" ht="38" customHeight="1">
      <x:c r="A32" s="896" t="str">
        <x:v>RNF-01</x:v>
      </x:c>
      <x:c r="B32" s="897" t="str">
        <x:v>—</x:v>
      </x:c>
      <x:c r="C32" s="897" t="str">
        <x:v>2.2.1–2.2.7 / 6.3.1</x:v>
      </x:c>
      <x:c r="D32" s="897" t="str">
        <x:v>Interfaz intuitiva y usable</x:v>
      </x:c>
      <x:c r="E32" s="897" t="str">
        <x:v>No funcional</x:v>
      </x:c>
      <x:c r="F32" s="897" t="str">
        <x:v>Project Charter + Cronograma EDT</x:v>
      </x:c>
      <x:c r="G32" s="897" t="str">
        <x:v>Sprint 2 / Sprint 6</x:v>
      </x:c>
      <x:c r="H32" s="898" t="n">
        <x:v>46261</x:v>
      </x:c>
      <x:c r="I32" s="898" t="n">
        <x:f t="shared" si="0"/>
        <x:v>46292</x:v>
      </x:c>
      <x:c r="J32" s="897" t="str">
        <x:v>CP-28</x:v>
      </x:c>
      <x:c r="K32" s="897" t="str">
        <x:v>Prototipos + ajustes UI/UX</x:v>
      </x:c>
      <x:c r="L32" s="897" t="str">
        <x:v>Planificado</x:v>
      </x:c>
      <x:c r="M32" s="899" t="str">
        <x:v>Completa</x:v>
      </x:c>
    </x:row>
    <x:row r="33" ht="38" customHeight="1">
      <x:c r="A33" s="896" t="str">
        <x:v>RNF-02</x:v>
      </x:c>
      <x:c r="B33" s="897" t="str">
        <x:v>—</x:v>
      </x:c>
      <x:c r="C33" s="897" t="str">
        <x:v>3.3.8 / 3.4.3 / 7.2.9</x:v>
      </x:c>
      <x:c r="D33" s="897" t="str">
        <x:v>Seguridad de la información</x:v>
      </x:c>
      <x:c r="E33" s="897" t="str">
        <x:v>No funcional</x:v>
      </x:c>
      <x:c r="F33" s="897" t="str">
        <x:v>Project Charter + Cronograma EDT</x:v>
      </x:c>
      <x:c r="G33" s="897" t="str">
        <x:v>Sprint 3 / Sprint 7</x:v>
      </x:c>
      <x:c r="H33" s="898" t="n">
        <x:v>46269</x:v>
      </x:c>
      <x:c r="I33" s="898" t="n">
        <x:f t="shared" si="0"/>
        <x:v>46297</x:v>
      </x:c>
      <x:c r="J33" s="897" t="str">
        <x:v>CP-29</x:v>
      </x:c>
      <x:c r="K33" s="897" t="str">
        <x:v>Seguridad base + pruebas no funcionales</x:v>
      </x:c>
      <x:c r="L33" s="897" t="str">
        <x:v>Planificado</x:v>
      </x:c>
      <x:c r="M33" s="899" t="str">
        <x:v>Completa</x:v>
      </x:c>
    </x:row>
    <x:row r="34" ht="38" customHeight="1">
      <x:c r="A34" s="896" t="str">
        <x:v>RNF-03</x:v>
      </x:c>
      <x:c r="B34" s="897" t="str">
        <x:v>—</x:v>
      </x:c>
      <x:c r="C34" s="897" t="str">
        <x:v>8.2.4</x:v>
      </x:c>
      <x:c r="D34" s="897" t="str">
        <x:v>Compatibilidad Android</x:v>
      </x:c>
      <x:c r="E34" s="897" t="str">
        <x:v>No funcional</x:v>
      </x:c>
      <x:c r="F34" s="897" t="str">
        <x:v>Project Charter + Cronograma EDT</x:v>
      </x:c>
      <x:c r="G34" s="897" t="str">
        <x:v>Sprint 8</x:v>
      </x:c>
      <x:c r="H34" s="898" t="n">
        <x:v>46303</x:v>
      </x:c>
      <x:c r="I34" s="898" t="n">
        <x:f t="shared" si="0"/>
        <x:v>46303</x:v>
      </x:c>
      <x:c r="J34" s="897" t="str">
        <x:v>CP-30</x:v>
      </x:c>
      <x:c r="K34" s="897" t="str">
        <x:v>APK distribuida</x:v>
      </x:c>
      <x:c r="L34" s="897" t="str">
        <x:v>Planificado</x:v>
      </x:c>
      <x:c r="M34" s="899" t="str">
        <x:v>Completa</x:v>
      </x:c>
    </x:row>
    <x:row r="35" ht="38" customHeight="1">
      <x:c r="A35" s="896" t="str">
        <x:v>RNF-04</x:v>
      </x:c>
      <x:c r="B35" s="897" t="str">
        <x:v>—</x:v>
      </x:c>
      <x:c r="C35" s="897" t="str">
        <x:v>—</x:v>
      </x:c>
      <x:c r="D35" s="897" t="str">
        <x:v>Compatibilidad web</x:v>
      </x:c>
      <x:c r="E35" s="897" t="str">
        <x:v>No funcional</x:v>
      </x:c>
      <x:c r="F35" s="897" t="str">
        <x:v>Project Charter</x:v>
      </x:c>
      <x:c r="G35" s="897" t="str">
        <x:v>Transversal</x:v>
      </x:c>
      <x:c r="H35" s="898" t="n">
        <x:v>46253</x:v>
      </x:c>
      <x:c r="I35" s="898" t="n">
        <x:f t="shared" si="0"/>
        <x:v>46309</x:v>
      </x:c>
      <x:c r="J35" s="897" t="str">
        <x:v>CP-31</x:v>
      </x:c>
      <x:c r="K35" s="897" t="str">
        <x:v>Validación transversal de compatibilidad web</x:v>
      </x:c>
      <x:c r="L35" s="897" t="str">
        <x:v>Planificado</x:v>
      </x:c>
      <x:c r="M35" s="899" t="str">
        <x:v>Completa</x:v>
      </x:c>
    </x:row>
    <x:row r="36" ht="38" customHeight="1">
      <x:c r="A36" s="896" t="str">
        <x:v>RNF-05</x:v>
      </x:c>
      <x:c r="B36" s="897" t="str">
        <x:v>—</x:v>
      </x:c>
      <x:c r="C36" s="897" t="str">
        <x:v>7.2.9</x:v>
      </x:c>
      <x:c r="D36" s="897" t="str">
        <x:v>Rendimiento y estabilidad</x:v>
      </x:c>
      <x:c r="E36" s="897" t="str">
        <x:v>No funcional</x:v>
      </x:c>
      <x:c r="F36" s="897" t="str">
        <x:v>Project Charter + Cronograma EDT</x:v>
      </x:c>
      <x:c r="G36" s="897" t="str">
        <x:v>Sprint 7</x:v>
      </x:c>
      <x:c r="H36" s="898" t="n">
        <x:v>46297</x:v>
      </x:c>
      <x:c r="I36" s="898" t="n">
        <x:f t="shared" si="0"/>
        <x:v>46297</x:v>
      </x:c>
      <x:c r="J36" s="897" t="str">
        <x:v>CP-32</x:v>
      </x:c>
      <x:c r="K36" s="897" t="str">
        <x:v>Reporte de pruebas no funcionales</x:v>
      </x:c>
      <x:c r="L36" s="897" t="str">
        <x:v>Planificado</x:v>
      </x:c>
      <x:c r="M36" s="899" t="str">
        <x:v>Completa</x:v>
      </x:c>
    </x:row>
    <x:row r="37" ht="38" customHeight="1">
      <x:c r="A37" s="896" t="str">
        <x:v>RNF-06</x:v>
      </x:c>
      <x:c r="B37" s="897" t="str">
        <x:v>—</x:v>
      </x:c>
      <x:c r="C37" s="897" t="str">
        <x:v>3.3.3 / 5.3.5</x:v>
      </x:c>
      <x:c r="D37" s="897" t="str">
        <x:v>Persistencia de datos</x:v>
      </x:c>
      <x:c r="E37" s="897" t="str">
        <x:v>No funcional</x:v>
      </x:c>
      <x:c r="F37" s="897" t="str">
        <x:v>Project Charter + Cronograma EDT</x:v>
      </x:c>
      <x:c r="G37" s="897" t="str">
        <x:v>Sprint 3 / Sprint 5</x:v>
      </x:c>
      <x:c r="H37" s="898" t="n">
        <x:v>46269</x:v>
      </x:c>
      <x:c r="I37" s="898" t="n">
        <x:f t="shared" ref="I37:I60" si="1">IF(A37="","",IF(AND(C37&lt;&gt;"",E37&lt;&gt;"",F37&lt;&gt;"SIN PRUEBA",G37&lt;&gt;""),"Completa","Incompleta"))</x:f>
        <x:v>46285</x:v>
      </x:c>
      <x:c r="J37" s="897" t="str">
        <x:v>CP-33</x:v>
      </x:c>
      <x:c r="K37" s="897" t="str">
        <x:v>BD PostgreSQL + módulo de sincronización</x:v>
      </x:c>
      <x:c r="L37" s="897" t="str">
        <x:v>Planificado</x:v>
      </x:c>
      <x:c r="M37" s="899" t="str">
        <x:v>Completa</x:v>
      </x:c>
    </x:row>
    <x:row r="38" ht="38" customHeight="1">
      <x:c r="A38" s="896" t="str">
        <x:v>RNF-07</x:v>
      </x:c>
      <x:c r="B38" s="897" t="str">
        <x:v>—</x:v>
      </x:c>
      <x:c r="C38" s="897" t="str">
        <x:v>8.2.1–8.2.3 / 8.4.1</x:v>
      </x:c>
      <x:c r="D38" s="897" t="str">
        <x:v>Disponibilidad en producción</x:v>
      </x:c>
      <x:c r="E38" s="897" t="str">
        <x:v>No funcional</x:v>
      </x:c>
      <x:c r="F38" s="897" t="str">
        <x:v>Project Charter + Cronograma EDT</x:v>
      </x:c>
      <x:c r="G38" s="897" t="str">
        <x:v>Sprint 8</x:v>
      </x:c>
      <x:c r="H38" s="898" t="n">
        <x:v>46302</x:v>
      </x:c>
      <x:c r="I38" s="898" t="n">
        <x:f t="shared" si="1"/>
        <x:v>46304</x:v>
      </x:c>
      <x:c r="J38" s="897" t="str">
        <x:v>CP-34</x:v>
      </x:c>
      <x:c r="K38" s="897" t="str">
        <x:v>Entorno productivo validado</x:v>
      </x:c>
      <x:c r="L38" s="897" t="str">
        <x:v>Planificado</x:v>
      </x:c>
      <x:c r="M38" s="899" t="str">
        <x:v>Completa</x:v>
      </x:c>
    </x:row>
    <x:row r="39" ht="38" customHeight="1">
      <x:c r="A39" s="896" t="str">
        <x:v>RNF-08</x:v>
      </x:c>
      <x:c r="B39" s="897" t="str">
        <x:v>—</x:v>
      </x:c>
      <x:c r="C39" s="897" t="str">
        <x:v>8.3.1</x:v>
      </x:c>
      <x:c r="D39" s="897" t="str">
        <x:v>Integridad de carga inicial</x:v>
      </x:c>
      <x:c r="E39" s="897" t="str">
        <x:v>No funcional</x:v>
      </x:c>
      <x:c r="F39" s="897" t="str">
        <x:v>Project Charter + Cronograma EDT</x:v>
      </x:c>
      <x:c r="G39" s="897" t="str">
        <x:v>Sprint 8</x:v>
      </x:c>
      <x:c r="H39" s="898" t="n">
        <x:v>46304</x:v>
      </x:c>
      <x:c r="I39" s="898" t="n">
        <x:f t="shared" si="1"/>
        <x:v>46304</x:v>
      </x:c>
      <x:c r="J39" s="897" t="str">
        <x:v>CP-35</x:v>
      </x:c>
      <x:c r="K39" s="897" t="str">
        <x:v>Datos maestros cargados</x:v>
      </x:c>
      <x:c r="L39" s="897" t="str">
        <x:v>Planificado</x:v>
      </x:c>
      <x:c r="M39" s="899" t="str">
        <x:v>Completa</x:v>
      </x:c>
    </x:row>
    <x:row r="40" ht="38" customHeight="1">
      <x:c r="A40" s="900" t="str">
        <x:v>RNF-09</x:v>
      </x:c>
      <x:c r="B40" s="901" t="str">
        <x:v>—</x:v>
      </x:c>
      <x:c r="C40" s="901" t="str">
        <x:v>4.3.1 / 7.3.1 / 7.3.2 / 9.2.1</x:v>
      </x:c>
      <x:c r="D40" s="901" t="str">
        <x:v>Mantenibilidad y documentación</x:v>
      </x:c>
      <x:c r="E40" s="901" t="str">
        <x:v>No funcional</x:v>
      </x:c>
      <x:c r="F40" s="901" t="str">
        <x:v>Project Charter + Cronograma EDT</x:v>
      </x:c>
      <x:c r="G40" s="901" t="str">
        <x:v>Sprint 4 / Sprint 7 / Cierre</x:v>
      </x:c>
      <x:c r="H40" s="902" t="n">
        <x:v>46279</x:v>
      </x:c>
      <x:c r="I40" s="902" t="n">
        <x:f t="shared" si="1"/>
        <x:v>46309</x:v>
      </x:c>
      <x:c r="J40" s="901" t="str">
        <x:v>CP-36</x:v>
      </x:c>
      <x:c r="K40" s="901" t="str">
        <x:v>Swagger + manuales + documentación final</x:v>
      </x:c>
      <x:c r="L40" s="901" t="str">
        <x:v>Planificado</x:v>
      </x:c>
      <x:c r="M40" s="903" t="str">
        <x:v>Completa</x:v>
      </x:c>
    </x:row>
    <x:row r="41" ht="25.5" customHeight="1">
      <x:c r="A41"/>
      <x:c r="B41"/>
      <x:c r="C41"/>
      <x:c r="D41"/>
      <x:c r="E41"/>
      <x:c r="F41"/>
      <x:c r="G41"/>
      <x:c r="H41"/>
      <x:c r="I41">
        <x:f t="shared" si="1"/>
      </x:c>
    </x:row>
    <x:row r="42" ht="25.5" customHeight="1">
      <x:c r="A42"/>
      <x:c r="B42"/>
      <x:c r="C42"/>
      <x:c r="D42"/>
      <x:c r="E42"/>
      <x:c r="F42"/>
      <x:c r="G42"/>
      <x:c r="H42"/>
      <x:c r="I42">
        <x:f t="shared" si="1"/>
      </x:c>
    </x:row>
    <x:row r="43" ht="25.5" customHeight="1">
      <x:c r="A43"/>
      <x:c r="B43"/>
      <x:c r="C43"/>
      <x:c r="D43"/>
      <x:c r="E43"/>
      <x:c r="F43"/>
      <x:c r="G43"/>
      <x:c r="H43"/>
      <x:c r="I43">
        <x:f t="shared" si="1"/>
      </x:c>
    </x:row>
    <x:row r="44" ht="25.5" customHeight="1">
      <x:c r="A44"/>
      <x:c r="B44"/>
      <x:c r="C44"/>
      <x:c r="D44"/>
      <x:c r="E44"/>
      <x:c r="F44"/>
      <x:c r="G44"/>
      <x:c r="H44"/>
      <x:c r="I44">
        <x:f t="shared" si="1"/>
      </x:c>
    </x:row>
    <x:row r="45" ht="25.5" customHeight="1">
      <x:c r="A45"/>
      <x:c r="B45"/>
      <x:c r="C45"/>
      <x:c r="D45"/>
      <x:c r="E45"/>
      <x:c r="F45"/>
      <x:c r="G45"/>
      <x:c r="H45"/>
      <x:c r="I45">
        <x:f t="shared" si="1"/>
      </x:c>
    </x:row>
    <x:row r="46" ht="25.5" customHeight="1">
      <x:c r="A46"/>
      <x:c r="B46"/>
      <x:c r="C46"/>
      <x:c r="D46"/>
      <x:c r="E46"/>
      <x:c r="F46"/>
      <x:c r="G46"/>
      <x:c r="H46"/>
      <x:c r="I46">
        <x:f t="shared" si="1"/>
      </x:c>
    </x:row>
    <x:row r="47" ht="25.5" customHeight="1">
      <x:c r="A47"/>
      <x:c r="B47"/>
      <x:c r="C47"/>
      <x:c r="D47"/>
      <x:c r="E47"/>
      <x:c r="F47"/>
      <x:c r="G47"/>
      <x:c r="H47"/>
      <x:c r="I47">
        <x:f t="shared" si="1"/>
      </x:c>
    </x:row>
    <x:row r="48" ht="25.5" customHeight="1">
      <x:c r="A48"/>
      <x:c r="B48"/>
      <x:c r="C48"/>
      <x:c r="D48"/>
      <x:c r="E48"/>
      <x:c r="F48"/>
      <x:c r="G48"/>
      <x:c r="H48"/>
      <x:c r="I48">
        <x:f t="shared" si="1"/>
      </x:c>
    </x:row>
    <x:row r="49" ht="25.5" customHeight="1">
      <x:c r="A49"/>
      <x:c r="B49"/>
      <x:c r="C49"/>
      <x:c r="D49"/>
      <x:c r="E49"/>
      <x:c r="F49"/>
      <x:c r="G49"/>
      <x:c r="H49"/>
      <x:c r="I49">
        <x:f t="shared" si="1"/>
      </x:c>
    </x:row>
    <x:row r="50" ht="25.5" customHeight="1">
      <x:c r="A50"/>
      <x:c r="B50"/>
      <x:c r="C50"/>
      <x:c r="D50"/>
      <x:c r="E50"/>
      <x:c r="F50"/>
      <x:c r="G50"/>
      <x:c r="H50"/>
      <x:c r="I50">
        <x:f t="shared" si="1"/>
      </x:c>
    </x:row>
    <x:row r="51" ht="25.5" customHeight="1">
      <x:c r="A51"/>
      <x:c r="B51"/>
      <x:c r="C51"/>
      <x:c r="D51"/>
      <x:c r="E51"/>
      <x:c r="F51"/>
      <x:c r="G51"/>
      <x:c r="H51"/>
      <x:c r="I51">
        <x:f t="shared" si="1"/>
      </x:c>
    </x:row>
    <x:row r="52" ht="25.5" customHeight="1">
      <x:c r="A52"/>
      <x:c r="B52"/>
      <x:c r="C52"/>
      <x:c r="D52"/>
      <x:c r="E52"/>
      <x:c r="F52"/>
      <x:c r="G52"/>
      <x:c r="H52"/>
      <x:c r="I52">
        <x:f t="shared" si="1"/>
      </x:c>
    </x:row>
    <x:row r="53" ht="25.5" customHeight="1">
      <x:c r="A53"/>
      <x:c r="B53"/>
      <x:c r="C53"/>
      <x:c r="D53"/>
      <x:c r="E53"/>
      <x:c r="F53"/>
      <x:c r="G53"/>
      <x:c r="H53"/>
      <x:c r="I53">
        <x:f t="shared" si="1"/>
      </x:c>
    </x:row>
    <x:row r="54" ht="25.5" customHeight="1">
      <x:c r="A54"/>
      <x:c r="B54"/>
      <x:c r="C54"/>
      <x:c r="D54"/>
      <x:c r="E54"/>
      <x:c r="F54"/>
      <x:c r="G54"/>
      <x:c r="H54"/>
      <x:c r="I54">
        <x:f t="shared" si="1"/>
      </x:c>
    </x:row>
    <x:row r="55" ht="25.5" customHeight="1">
      <x:c r="A55"/>
      <x:c r="B55"/>
      <x:c r="C55"/>
      <x:c r="D55"/>
      <x:c r="E55"/>
      <x:c r="F55"/>
      <x:c r="G55"/>
      <x:c r="H55"/>
      <x:c r="I55">
        <x:f t="shared" si="1"/>
      </x:c>
    </x:row>
    <x:row r="56" ht="25.5" customHeight="1">
      <x:c r="A56"/>
      <x:c r="B56"/>
      <x:c r="C56"/>
      <x:c r="D56"/>
      <x:c r="E56"/>
      <x:c r="F56"/>
      <x:c r="G56"/>
      <x:c r="H56"/>
      <x:c r="I56">
        <x:f t="shared" si="1"/>
      </x:c>
    </x:row>
    <x:row r="57" ht="25.5" customHeight="1">
      <x:c r="A57"/>
      <x:c r="B57"/>
      <x:c r="C57"/>
      <x:c r="D57"/>
      <x:c r="E57"/>
      <x:c r="F57"/>
      <x:c r="G57"/>
      <x:c r="H57"/>
      <x:c r="I57">
        <x:f t="shared" si="1"/>
      </x:c>
    </x:row>
    <x:row r="58" ht="25.5" customHeight="1">
      <x:c r="A58"/>
      <x:c r="B58"/>
      <x:c r="C58"/>
      <x:c r="D58"/>
      <x:c r="E58"/>
      <x:c r="F58"/>
      <x:c r="G58"/>
      <x:c r="H58"/>
      <x:c r="I58">
        <x:f t="shared" si="1"/>
      </x:c>
    </x:row>
    <x:row r="59" ht="25.5" customHeight="1">
      <x:c r="A59"/>
      <x:c r="B59"/>
      <x:c r="C59"/>
      <x:c r="D59"/>
      <x:c r="E59"/>
      <x:c r="F59"/>
      <x:c r="G59"/>
      <x:c r="H59"/>
      <x:c r="I59">
        <x:f t="shared" si="1"/>
      </x:c>
    </x:row>
    <x:row r="60" ht="25.5" customHeight="1">
      <x:c r="A60"/>
      <x:c r="B60"/>
      <x:c r="C60"/>
      <x:c r="D60"/>
      <x:c r="E60"/>
      <x:c r="F60"/>
      <x:c r="G60"/>
      <x:c r="H60"/>
      <x:c r="I60">
        <x:f t="shared" si="1"/>
      </x:c>
    </x:row>
  </x:sheetData>
  <x:mergeCells>
    <x:mergeCell ref="A1:M1"/>
    <x:mergeCell ref="A2:M2"/>
  </x:mergeCells>
  <x:conditionalFormatting sqref="F5:F60">
    <x:cfRule type="cellIs" dxfId="2" priority="2" operator="equal">
      <x:formula>"SIN PRUEBA"</x:formula>
    </x:cfRule>
  </x:conditionalFormatting>
  <x:conditionalFormatting sqref="I5:I60">
    <x:cfRule type="cellIs" dxfId="1" priority="3" operator="equal">
      <x:formula>"Completa"</x:formula>
    </x:cfRule>
    <x:cfRule type="cellIs" dxfId="0" priority="4" operator="equal">
      <x:formula>"Incompleta"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14" hidden="0" customWidth="1"/>
    <x:col min="4" max="4" width="14" hidden="0" customWidth="1"/>
    <x:col min="5" max="5" width="68" hidden="0" customWidth="1"/>
    <x:col min="6" max="6" width="10" hidden="0" customWidth="1"/>
    <x:col min="7" max="7" width="14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9" hidden="0" customWidth="1"/>
    <x:col min="17" max="17" width="9" hidden="0" customWidth="1"/>
    <x:col min="18" max="18" width="2" hidden="0" customWidth="1"/>
    <x:col min="19" max="19" width="2" hidden="0" customWidth="1"/>
  </x:cols>
  <x:sheetData>
    <x:row r="1" ht="26" customHeight="1">
      <x:c r="A1" s="693" t="str">
        <x:v>CRONOGRAMA DEL PROYECTO · HUATA LÁCTEOS</x:v>
      </x:c>
      <x:c r="B1" s="693"/>
      <x:c r="C1" s="693"/>
      <x:c r="D1" s="693"/>
      <x:c r="E1" s="693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 ht="22" customHeight="1">
      <x:c r="A2" s="696" t="str">
        <x:v>Estructura EDT oficial según archivo proporcionado: tarea, comienzo, fin e historia de usuario.</x:v>
      </x:c>
      <x:c r="B2" s="696"/>
      <x:c r="C2" s="696"/>
      <x:c r="D2" s="696"/>
      <x:c r="E2" s="696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4" ht="28" customHeight="1">
      <x:c r="A4" s="708" t="str">
        <x:v>EDT</x:v>
      </x:c>
      <x:c r="B4" s="709" t="str">
        <x:v>Nombre de tarea</x:v>
      </x:c>
      <x:c r="C4" s="709" t="str">
        <x:v>Comienzo</x:v>
      </x:c>
      <x:c r="D4" s="709" t="str">
        <x:v>Fin</x:v>
      </x:c>
      <x:c r="E4" s="710" t="str">
        <x:v>Historia de Usuario</x:v>
      </x:c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</x:row>
    <x:row r="5" ht="34" customHeight="1">
      <x:c r="A5" s="785" t="str">
        <x:v>1.1.1</x:v>
      </x:c>
      <x:c r="B5" s="752" t="str">
        <x:v>Kick off del proyecto y conformación del equipo</x:v>
      </x:c>
      <x:c r="C5" s="793" t="n">
        <x:v>46253</x:v>
      </x:c>
      <x:c r="D5" s="793" t="n">
        <x:v>46253</x:v>
      </x:c>
      <x:c r="E5" s="754" t="str">
        <x:v>—</x:v>
      </x:c>
    </x:row>
    <x:row r="6" ht="34" customHeight="1">
      <x:c r="A6" s="786" t="str">
        <x:v>1.1.2</x:v>
      </x:c>
      <x:c r="B6" s="756" t="str">
        <x:v>Elaboración del Project Charter</x:v>
      </x:c>
      <x:c r="C6" s="794" t="n">
        <x:v>46253</x:v>
      </x:c>
      <x:c r="D6" s="794" t="n">
        <x:v>46254</x:v>
      </x:c>
      <x:c r="E6" s="758" t="str">
        <x:v>—</x:v>
      </x:c>
      <x:c r="H6"/>
      <x:c r="I6"/>
      <x:c r="J6"/>
      <x:c r="K6"/>
      <x:c r="L6"/>
      <x:c r="M6"/>
      <x:c r="N6"/>
      <x:c r="O6"/>
      <x:c r="P6"/>
      <x:c r="Q6"/>
      <x:c r="R6"/>
      <x:c r="S6"/>
    </x:row>
    <x:row r="7" ht="34" customHeight="1">
      <x:c r="A7" s="786" t="str">
        <x:v>1.1.3</x:v>
      </x:c>
      <x:c r="B7" s="756" t="str">
        <x:v>Definición de objetivos, alcance y stakeholders</x:v>
      </x:c>
      <x:c r="C7" s="794" t="n">
        <x:v>46254</x:v>
      </x:c>
      <x:c r="D7" s="794" t="n">
        <x:v>46254</x:v>
      </x:c>
      <x:c r="E7" s="758" t="str">
        <x:v>—</x:v>
      </x:c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</x:row>
    <x:row r="8" ht="34" customHeight="1">
      <x:c r="A8" s="786" t="str">
        <x:v>1.1.4</x:v>
      </x:c>
      <x:c r="B8" s="756" t="str">
        <x:v>Elaboración de cronograma preliminar en MS Project</x:v>
      </x:c>
      <x:c r="C8" s="794" t="n">
        <x:v>46254</x:v>
      </x:c>
      <x:c r="D8" s="794" t="n">
        <x:v>46254</x:v>
      </x:c>
      <x:c r="E8" s="758" t="str">
        <x:v>—</x:v>
      </x:c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</x:row>
    <x:row r="9" ht="34" customHeight="1">
      <x:c r="A9" s="786" t="str">
        <x:v>1.1.5</x:v>
      </x:c>
      <x:c r="B9" s="756" t="str">
        <x:v>Levantamiento de información en campo (Huata)</x:v>
      </x:c>
      <x:c r="C9" s="794" t="n">
        <x:v>46255</x:v>
      </x:c>
      <x:c r="D9" s="794" t="n">
        <x:v>46256</x:v>
      </x:c>
      <x:c r="E9" s="758" t="str">
        <x:v>—</x:v>
      </x:c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</x:row>
    <x:row r="10" ht="34" customHeight="1">
      <x:c r="A10" s="786" t="str">
        <x:v>1.1.6</x:v>
      </x:c>
      <x:c r="B10" s="756" t="str">
        <x:v>Identificación de actores del sistema</x:v>
      </x:c>
      <x:c r="C10" s="794" t="n">
        <x:v>46256</x:v>
      </x:c>
      <x:c r="D10" s="794" t="n">
        <x:v>46256</x:v>
      </x:c>
      <x:c r="E10" s="758" t="str">
        <x:v>—</x:v>
      </x:c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</x:row>
    <x:row r="11" ht="34" customHeight="1">
      <x:c r="A11" s="786" t="str">
        <x:v>1.1.7</x:v>
      </x:c>
      <x:c r="B11" s="756" t="str">
        <x:v>Elaboración de Requerimientos Funcionales (RF)</x:v>
      </x:c>
      <x:c r="C11" s="794" t="n">
        <x:v>46257</x:v>
      </x:c>
      <x:c r="D11" s="794" t="n">
        <x:v>46257</x:v>
      </x:c>
      <x:c r="E11" s="758" t="str">
        <x:v>—</x:v>
      </x:c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</x:row>
    <x:row r="12" ht="34" customHeight="1">
      <x:c r="A12" s="786" t="str">
        <x:v>1.1.8</x:v>
      </x:c>
      <x:c r="B12" s="756" t="str">
        <x:v>Elaboración de Requerimientos No Funcionales (RNF)</x:v>
      </x:c>
      <x:c r="C12" s="794" t="n">
        <x:v>46257</x:v>
      </x:c>
      <x:c r="D12" s="794" t="n">
        <x:v>46257</x:v>
      </x:c>
      <x:c r="E12" s="758" t="str">
        <x:v>—</x:v>
      </x:c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</x:row>
    <x:row r="13" ht="34" customHeight="1">
      <x:c r="A13" s="786" t="str">
        <x:v>1.1.9</x:v>
      </x:c>
      <x:c r="B13" s="756" t="str">
        <x:v>Elaboración de Historias de Usuario / Casos de Uso</x:v>
      </x:c>
      <x:c r="C13" s="794" t="n">
        <x:v>46258</x:v>
      </x:c>
      <x:c r="D13" s="794" t="n">
        <x:v>46258</x:v>
      </x:c>
      <x:c r="E13" s="758" t="str">
        <x:v>—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</x:row>
    <x:row r="14" ht="34" customHeight="1">
      <x:c r="A14" s="786" t="str">
        <x:v>1.1.10</x:v>
      </x:c>
      <x:c r="B14" s="756" t="str">
        <x:v>Priorización del Backlog (MoSCoW)</x:v>
      </x:c>
      <x:c r="C14" s="794" t="n">
        <x:v>46258</x:v>
      </x:c>
      <x:c r="D14" s="794" t="n">
        <x:v>46258</x:v>
      </x:c>
      <x:c r="E14" s="758" t="str">
        <x:v>—</x:v>
      </x:c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</x:row>
    <x:row r="15" ht="34" customHeight="1">
      <x:c r="A15" s="786" t="str">
        <x:v>1.1.11</x:v>
      </x:c>
      <x:c r="B15" s="756" t="str">
        <x:v>Elaboración de Plan de Gestión del Proyecto</x:v>
      </x:c>
      <x:c r="C15" s="794" t="n">
        <x:v>46259</x:v>
      </x:c>
      <x:c r="D15" s="794" t="n">
        <x:v>46259</x:v>
      </x:c>
      <x:c r="E15" s="758" t="str">
        <x:v>—</x:v>
      </x:c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</x:row>
    <x:row r="16" ht="34" customHeight="1">
      <x:c r="A16" s="786" t="str">
        <x:v>1.1.12</x:v>
      </x:c>
      <x:c r="B16" s="756" t="str">
        <x:v>Revisión y consolidación de documentos de la Sprint 1</x:v>
      </x:c>
      <x:c r="C16" s="794" t="n">
        <x:v>46259</x:v>
      </x:c>
      <x:c r="D16" s="794" t="n">
        <x:v>46259</x:v>
      </x:c>
      <x:c r="E16" s="758" t="str">
        <x:v>—</x:v>
      </x:c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</x:row>
    <x:row r="17" ht="34" customHeight="1">
      <x:c r="A17" s="786" t="str">
        <x:v>1.1.13</x:v>
      </x:c>
      <x:c r="B17" s="756" t="str">
        <x:v>Sprint Review + Retrospectiva Sprint 1</x:v>
      </x:c>
      <x:c r="C17" s="794" t="n">
        <x:v>46259</x:v>
      </x:c>
      <x:c r="D17" s="794" t="n">
        <x:v>46259</x:v>
      </x:c>
      <x:c r="E17" s="758" t="str">
        <x:v>—</x:v>
      </x:c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</x:row>
    <x:row r="18" ht="34" customHeight="1">
      <x:c r="A18" s="787" t="str">
        <x:v>2.1.1</x:v>
      </x:c>
      <x:c r="B18" s="760" t="str">
        <x:v>Sprint Planning Sprint 2</x:v>
      </x:c>
      <x:c r="C18" s="795" t="n">
        <x:v>46260</x:v>
      </x:c>
      <x:c r="D18" s="795" t="n">
        <x:v>46260</x:v>
      </x:c>
      <x:c r="E18" s="762" t="str">
        <x:v>—</x:v>
      </x:c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</x:row>
    <x:row r="19" ht="34" customHeight="1">
      <x:c r="A19" s="787" t="str">
        <x:v>2.1.2</x:v>
      </x:c>
      <x:c r="B19" s="760" t="str">
        <x:v>Presentación de requerimientos (RF/RNF) al cliente</x:v>
      </x:c>
      <x:c r="C19" s="795" t="n">
        <x:v>46260</x:v>
      </x:c>
      <x:c r="D19" s="795" t="n">
        <x:v>46260</x:v>
      </x:c>
      <x:c r="E19" s="762" t="str">
        <x:v>—</x:v>
      </x:c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</x:row>
    <x:row r="20" ht="34" customHeight="1">
      <x:c r="A20" s="787" t="str">
        <x:v>2.1.3</x:v>
      </x:c>
      <x:c r="B20" s="760" t="str">
        <x:v>Levantamiento de observaciones y ajustes a requerimientos</x:v>
      </x:c>
      <x:c r="C20" s="795" t="n">
        <x:v>46261</x:v>
      </x:c>
      <x:c r="D20" s="795" t="n">
        <x:v>46261</x:v>
      </x:c>
      <x:c r="E20" s="762" t="str">
        <x:v>—</x:v>
      </x:c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</x:row>
    <x:row r="21" ht="34" customHeight="1">
      <x:c r="A21" s="787" t="str">
        <x:v>2.1.4</x:v>
      </x:c>
      <x:c r="B21" s="760" t="str">
        <x:v>Firma de Acta de Aprobación de Requerimientos</x:v>
      </x:c>
      <x:c r="C21" s="795" t="n">
        <x:v>46262</x:v>
      </x:c>
      <x:c r="D21" s="795" t="n">
        <x:v>46262</x:v>
      </x:c>
      <x:c r="E21" s="762" t="str">
        <x:v>—</x:v>
      </x:c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</x:row>
    <x:row r="22" ht="34" customHeight="1">
      <x:c r="A22" s="787" t="str">
        <x:v>2.1.5</x:v>
      </x:c>
      <x:c r="B22" s="760" t="str">
        <x:v>Sprint Review + Retrospectiva Sprint 2</x:v>
      </x:c>
      <x:c r="C22" s="795" t="n">
        <x:v>46266</x:v>
      </x:c>
      <x:c r="D22" s="795" t="n">
        <x:v>46266</x:v>
      </x:c>
      <x:c r="E22" s="762" t="str">
        <x:v>—</x:v>
      </x:c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</x:row>
    <x:row r="23" ht="34" customHeight="1">
      <x:c r="A23" s="787" t="str">
        <x:v>2.2.1</x:v>
      </x:c>
      <x:c r="B23" s="760" t="str">
        <x:v>Diseño de wireframes de baja fidelidad (Web y Móvil)</x:v>
      </x:c>
      <x:c r="C23" s="795" t="n">
        <x:v>46261</x:v>
      </x:c>
      <x:c r="D23" s="795" t="n">
        <x:v>46261</x:v>
      </x:c>
      <x:c r="E23" s="762" t="str">
        <x:v>—</x:v>
      </x:c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</x:row>
    <x:row r="24" ht="34" customHeight="1">
      <x:c r="A24" s="787" t="str">
        <x:v>2.2.2</x:v>
      </x:c>
      <x:c r="B24" s="760" t="str">
        <x:v>Definición de guía de estilos / Design System</x:v>
      </x:c>
      <x:c r="C24" s="795" t="n">
        <x:v>46262</x:v>
      </x:c>
      <x:c r="D24" s="795" t="n">
        <x:v>46262</x:v>
      </x:c>
      <x:c r="E24" s="762" t="str">
        <x:v>—</x:v>
      </x:c>
    </x:row>
    <x:row r="25" ht="34" customHeight="1">
      <x:c r="A25" s="787" t="str">
        <x:v>2.2.3</x:v>
      </x:c>
      <x:c r="B25" s="760" t="str">
        <x:v>Diseño de prototipo de alta fidelidad en Figma - Web</x:v>
      </x:c>
      <x:c r="C25" s="795" t="n">
        <x:v>46263</x:v>
      </x:c>
      <x:c r="D25" s="795" t="n">
        <x:v>46264</x:v>
      </x:c>
      <x:c r="E25" s="762" t="str">
        <x:v>—</x:v>
      </x:c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</x:row>
    <x:row r="26" ht="34" customHeight="1">
      <x:c r="A26" s="787" t="str">
        <x:v>2.2.4</x:v>
      </x:c>
      <x:c r="B26" s="760" t="str">
        <x:v>Diseño de prototipo de alta fidelidad en Figma - Móvil</x:v>
      </x:c>
      <x:c r="C26" s="795" t="n">
        <x:v>46263</x:v>
      </x:c>
      <x:c r="D26" s="795" t="n">
        <x:v>46264</x:v>
      </x:c>
      <x:c r="E26" s="762" t="str">
        <x:v>—</x:v>
      </x:c>
    </x:row>
    <x:row r="27" ht="34" customHeight="1">
      <x:c r="A27" s="787" t="str">
        <x:v>2.2.5</x:v>
      </x:c>
      <x:c r="B27" s="760" t="str">
        <x:v>Maquetación del prototipo navegable en HTML/CSS (Web)</x:v>
      </x:c>
      <x:c r="C27" s="795" t="n">
        <x:v>46265</x:v>
      </x:c>
      <x:c r="D27" s="795" t="n">
        <x:v>46265</x:v>
      </x:c>
      <x:c r="E27" s="762" t="str">
        <x:v>—</x:v>
      </x:c>
    </x:row>
    <x:row r="28" ht="34" customHeight="1">
      <x:c r="A28" s="787" t="str">
        <x:v>2.2.6</x:v>
      </x:c>
      <x:c r="B28" s="760" t="str">
        <x:v>Revisión de prototipos (Figma + HTML) con el cliente</x:v>
      </x:c>
      <x:c r="C28" s="795" t="n">
        <x:v>46265</x:v>
      </x:c>
      <x:c r="D28" s="795" t="n">
        <x:v>46265</x:v>
      </x:c>
      <x:c r="E28" s="762" t="str">
        <x:v>—</x:v>
      </x:c>
    </x:row>
    <x:row r="29" ht="34" customHeight="1">
      <x:c r="A29" s="787" t="str">
        <x:v>2.2.7</x:v>
      </x:c>
      <x:c r="B29" s="760" t="str">
        <x:v>Ajustes de prototipos según observaciones</x:v>
      </x:c>
      <x:c r="C29" s="795" t="n">
        <x:v>46266</x:v>
      </x:c>
      <x:c r="D29" s="795" t="n">
        <x:v>46266</x:v>
      </x:c>
      <x:c r="E29" s="762" t="str">
        <x:v>—</x:v>
      </x:c>
    </x:row>
    <x:row r="30" ht="34" customHeight="1">
      <x:c r="A30" s="788" t="str">
        <x:v>3.1.1</x:v>
      </x:c>
      <x:c r="B30" s="764" t="str">
        <x:v>Sprint Planning Sprint 3</x:v>
      </x:c>
      <x:c r="C30" s="796" t="n">
        <x:v>46267</x:v>
      </x:c>
      <x:c r="D30" s="796" t="n">
        <x:v>46267</x:v>
      </x:c>
      <x:c r="E30" s="766" t="str">
        <x:v>—</x:v>
      </x:c>
    </x:row>
    <x:row r="31" ht="34" customHeight="1">
      <x:c r="A31" s="788" t="str">
        <x:v>3.1.2</x:v>
      </x:c>
      <x:c r="B31" s="764" t="str">
        <x:v>Sprint Review + Retrospectiva Sprint 3</x:v>
      </x:c>
      <x:c r="C31" s="796" t="n">
        <x:v>46273</x:v>
      </x:c>
      <x:c r="D31" s="796" t="n">
        <x:v>46273</x:v>
      </x:c>
      <x:c r="E31" s="766" t="str">
        <x:v>—</x:v>
      </x:c>
    </x:row>
    <x:row r="32" ht="34" customHeight="1">
      <x:c r="A32" s="788" t="str">
        <x:v>3.2.1</x:v>
      </x:c>
      <x:c r="B32" s="764" t="str">
        <x:v>Firma / Aprobación final de prototipos</x:v>
      </x:c>
      <x:c r="C32" s="796" t="n">
        <x:v>46267</x:v>
      </x:c>
      <x:c r="D32" s="796" t="n">
        <x:v>46267</x:v>
      </x:c>
      <x:c r="E32" s="766" t="str">
        <x:v>—</x:v>
      </x:c>
    </x:row>
    <x:row r="33" ht="34" customHeight="1">
      <x:c r="A33" s="788" t="str">
        <x:v>3.3.1</x:v>
      </x:c>
      <x:c r="B33" s="764" t="str">
        <x:v>Diseño de la arquitectura del sistema</x:v>
      </x:c>
      <x:c r="C33" s="796" t="n">
        <x:v>46267</x:v>
      </x:c>
      <x:c r="D33" s="796" t="n">
        <x:v>46267</x:v>
      </x:c>
      <x:c r="E33" s="766" t="str">
        <x:v>—</x:v>
      </x:c>
    </x:row>
    <x:row r="34" ht="34" customHeight="1">
      <x:c r="A34" s="788" t="str">
        <x:v>3.3.2</x:v>
      </x:c>
      <x:c r="B34" s="764" t="str">
        <x:v>Diseño del modelo de datos (MER)</x:v>
      </x:c>
      <x:c r="C34" s="796" t="n">
        <x:v>46268</x:v>
      </x:c>
      <x:c r="D34" s="796" t="n">
        <x:v>46268</x:v>
      </x:c>
      <x:c r="E34" s="766" t="str">
        <x:v>—</x:v>
      </x:c>
    </x:row>
    <x:row r="35" ht="34" customHeight="1">
      <x:c r="A35" s="788" t="str">
        <x:v>3.3.3</x:v>
      </x:c>
      <x:c r="B35" s="764" t="str">
        <x:v>Creación de la base de datos en PostgreSQL</x:v>
      </x:c>
      <x:c r="C35" s="796" t="n">
        <x:v>46269</x:v>
      </x:c>
      <x:c r="D35" s="796" t="n">
        <x:v>46269</x:v>
      </x:c>
      <x:c r="E35" s="766" t="str">
        <x:v>—</x:v>
      </x:c>
    </x:row>
    <x:row r="36" ht="34" customHeight="1">
      <x:c r="A36" s="788" t="str">
        <x:v>3.3.4</x:v>
      </x:c>
      <x:c r="B36" s="764" t="str">
        <x:v>Configuración de repositorio Git y GitFlow</x:v>
      </x:c>
      <x:c r="C36" s="796" t="n">
        <x:v>46268</x:v>
      </x:c>
      <x:c r="D36" s="796" t="n">
        <x:v>46268</x:v>
      </x:c>
      <x:c r="E36" s="766" t="str">
        <x:v>—</x:v>
      </x:c>
    </x:row>
    <x:row r="37" ht="34" customHeight="1">
      <x:c r="A37" s="788" t="str">
        <x:v>3.3.5</x:v>
      </x:c>
      <x:c r="B37" s="764" t="str">
        <x:v>Configuración de entorno backend (Java 21, Spring Boot)</x:v>
      </x:c>
      <x:c r="C37" s="796" t="n">
        <x:v>46268</x:v>
      </x:c>
      <x:c r="D37" s="796" t="n">
        <x:v>46268</x:v>
      </x:c>
      <x:c r="E37" s="766" t="str">
        <x:v>—</x:v>
      </x:c>
    </x:row>
    <x:row r="38" ht="34" customHeight="1">
      <x:c r="A38" s="788" t="str">
        <x:v>3.3.6</x:v>
      </x:c>
      <x:c r="B38" s="764" t="str">
        <x:v>Configuración de entorno frontend Angular</x:v>
      </x:c>
      <x:c r="C38" s="796" t="n">
        <x:v>46268</x:v>
      </x:c>
      <x:c r="D38" s="796" t="n">
        <x:v>46268</x:v>
      </x:c>
      <x:c r="E38" s="766" t="str">
        <x:v>—</x:v>
      </x:c>
    </x:row>
    <x:row r="39" ht="34" customHeight="1">
      <x:c r="A39" s="788" t="str">
        <x:v>3.3.7</x:v>
      </x:c>
      <x:c r="B39" s="764" t="str">
        <x:v>Configuración de entorno móvil Flutter</x:v>
      </x:c>
      <x:c r="C39" s="796" t="n">
        <x:v>46268</x:v>
      </x:c>
      <x:c r="D39" s="796" t="n">
        <x:v>46268</x:v>
      </x:c>
      <x:c r="E39" s="766" t="str">
        <x:v>—</x:v>
      </x:c>
    </x:row>
    <x:row r="40" ht="34" customHeight="1">
      <x:c r="A40" s="788" t="str">
        <x:v>3.3.8</x:v>
      </x:c>
      <x:c r="B40" s="764" t="str">
        <x:v>Configuración de seguridad (Spring Security + JWT)</x:v>
      </x:c>
      <x:c r="C40" s="796" t="n">
        <x:v>46269</x:v>
      </x:c>
      <x:c r="D40" s="796" t="n">
        <x:v>46269</x:v>
      </x:c>
      <x:c r="E40" s="766" t="str">
        <x:v>—</x:v>
      </x:c>
    </x:row>
    <x:row r="41" ht="34" customHeight="1">
      <x:c r="A41" s="788" t="str">
        <x:v>3.3.9</x:v>
      </x:c>
      <x:c r="B41" s="764" t="str">
        <x:v>Configuración de integración continua (CI) básica</x:v>
      </x:c>
      <x:c r="C41" s="796" t="n">
        <x:v>46269</x:v>
      </x:c>
      <x:c r="D41" s="796" t="n">
        <x:v>46269</x:v>
      </x:c>
      <x:c r="E41" s="766" t="str">
        <x:v>—</x:v>
      </x:c>
    </x:row>
    <x:row r="42" ht="34" customHeight="1">
      <x:c r="A42" s="788" t="str">
        <x:v>3.4.1</x:v>
      </x:c>
      <x:c r="B42" s="764" t="str">
        <x:v>HU01: Desarrollo Web: Pantalla de Login (Angular)</x:v>
      </x:c>
      <x:c r="C42" s="796" t="n">
        <x:v>46271</x:v>
      </x:c>
      <x:c r="D42" s="796" t="n">
        <x:v>46271</x:v>
      </x:c>
      <x:c r="E42" s="768" t="str">
        <x:v>HU01: Como usuario del sistema, quiero iniciar sesión con mi correo y contraseña para acceder a mi cuenta de forma segura.</x:v>
      </x:c>
    </x:row>
    <x:row r="43" ht="34" customHeight="1">
      <x:c r="A43" s="788" t="str">
        <x:v>3.4.2</x:v>
      </x:c>
      <x:c r="B43" s="764" t="str">
        <x:v>HU02: Desarrollo Móvil: Pantalla de Login (Flutter)</x:v>
      </x:c>
      <x:c r="C43" s="796" t="n">
        <x:v>46271</x:v>
      </x:c>
      <x:c r="D43" s="796" t="n">
        <x:v>46271</x:v>
      </x:c>
      <x:c r="E43" s="768" t="str">
        <x:v>HU02: Como usuario del sistema, quiero iniciar sesión desde mi dispositivo móvil para acceder a mi cuenta de forma segura.</x:v>
      </x:c>
    </x:row>
    <x:row r="44" ht="34" customHeight="1">
      <x:c r="A44" s="788" t="str">
        <x:v>3.4.3</x:v>
      </x:c>
      <x:c r="B44" s="764" t="str">
        <x:v>HU03: Desarrollo Backend: Módulo de Autenticación</x:v>
      </x:c>
      <x:c r="C44" s="796" t="n">
        <x:v>46270</x:v>
      </x:c>
      <x:c r="D44" s="796" t="n">
        <x:v>46271</x:v>
      </x:c>
      <x:c r="E44" s="768" t="str">
        <x:v>HU03: Como usuario del sistema, quiero que mi sesión se mantenga activa para no tener que escribir mis credenciales cada vez que uso la aplicación.</x:v>
      </x:c>
    </x:row>
    <x:row r="45" ht="34" customHeight="1">
      <x:c r="A45" s="788" t="str">
        <x:v>3.4.4</x:v>
      </x:c>
      <x:c r="B45" s="764" t="str">
        <x:v>Pruebas de integración del módulo de autenticación</x:v>
      </x:c>
      <x:c r="C45" s="796" t="n">
        <x:v>46272</x:v>
      </x:c>
      <x:c r="D45" s="796" t="n">
        <x:v>46272</x:v>
      </x:c>
      <x:c r="E45" s="766" t="str">
        <x:v>—</x:v>
      </x:c>
    </x:row>
    <x:row r="46" ht="34" customHeight="1">
      <x:c r="A46" s="789" t="str">
        <x:v>4.1.1</x:v>
      </x:c>
      <x:c r="B46" s="770" t="str">
        <x:v>Sprint Planning Sprint 4</x:v>
      </x:c>
      <x:c r="C46" s="797" t="n">
        <x:v>46274</x:v>
      </x:c>
      <x:c r="D46" s="797" t="n">
        <x:v>46274</x:v>
      </x:c>
      <x:c r="E46" s="772" t="str">
        <x:v>—</x:v>
      </x:c>
    </x:row>
    <x:row r="47" ht="34" customHeight="1">
      <x:c r="A47" s="789" t="str">
        <x:v>4.1.2</x:v>
      </x:c>
      <x:c r="B47" s="770" t="str">
        <x:v>Sprint Review + Retrospectiva Sprint 4</x:v>
      </x:c>
      <x:c r="C47" s="797" t="n">
        <x:v>46280</x:v>
      </x:c>
      <x:c r="D47" s="797" t="n">
        <x:v>46280</x:v>
      </x:c>
      <x:c r="E47" s="772" t="str">
        <x:v>—</x:v>
      </x:c>
    </x:row>
    <x:row r="48" ht="34" customHeight="1">
      <x:c r="A48" s="789" t="str">
        <x:v>4.2.1</x:v>
      </x:c>
      <x:c r="B48" s="770" t="str">
        <x:v>HU04: Backend: CRUD de Productores (API REST)</x:v>
      </x:c>
      <x:c r="C48" s="797" t="n">
        <x:v>46274</x:v>
      </x:c>
      <x:c r="D48" s="797" t="n">
        <x:v>46275</x:v>
      </x:c>
      <x:c r="E48" s="768" t="str">
        <x:v>HU04: Como administrador, quiero registrar, listar, editar y eliminar productores de leche para mantener actualizada la base de datos de proveedores.</x:v>
      </x:c>
    </x:row>
    <x:row r="49" ht="34" customHeight="1">
      <x:c r="A49" s="789" t="str">
        <x:v>4.2.2</x:v>
      </x:c>
      <x:c r="B49" s="770" t="str">
        <x:v>HU05: Backend: CRUD de Acopiadores y Rutas</x:v>
      </x:c>
      <x:c r="C49" s="797" t="n">
        <x:v>46275</x:v>
      </x:c>
      <x:c r="D49" s="797" t="n">
        <x:v>46276</x:v>
      </x:c>
      <x:c r="E49" s="768" t="str">
        <x:v>HU05: Como administrador, quiero registrar, listar, editar y eliminar acopiadores para gestionar el personal que recolecta la leche en campo.</x:v>
      </x:c>
    </x:row>
    <x:row r="50" ht="34" customHeight="1">
      <x:c r="A50" s="789" t="str">
        <x:v>4.2.3</x:v>
      </x:c>
      <x:c r="B50" s="770" t="str">
        <x:v>HU06: Backend: CRUD de Centros de Acopio</x:v>
      </x:c>
      <x:c r="C50" s="797" t="n">
        <x:v>46276</x:v>
      </x:c>
      <x:c r="D50" s="797" t="n">
        <x:v>46276</x:v>
      </x:c>
      <x:c r="E50" s="768" t="str">
        <x:v>HU06: Como administrador, quiero registrar, listar, editar y eliminar centros de acopio para tener control de los puntos de recepción de leche.</x:v>
      </x:c>
    </x:row>
    <x:row r="51" ht="34" customHeight="1">
      <x:c r="A51" s="789" t="str">
        <x:v>4.2.4</x:v>
      </x:c>
      <x:c r="B51" s="770" t="str">
        <x:v>HU07: Web: Módulo de gestión de Productores</x:v>
      </x:c>
      <x:c r="C51" s="797" t="n">
        <x:v>46276</x:v>
      </x:c>
      <x:c r="D51" s="797" t="n">
        <x:v>46277</x:v>
      </x:c>
      <x:c r="E51" s="768" t="str">
        <x:v>HU07: Como administrador, quiero gestionar los productores desde la web para mantener actualizada la base de datos de proveedores.</x:v>
      </x:c>
    </x:row>
    <x:row r="52" ht="34" customHeight="1">
      <x:c r="A52" s="789" t="str">
        <x:v>4.2.5</x:v>
      </x:c>
      <x:c r="B52" s="770" t="str">
        <x:v>HU08: Web: Módulo de gestión de Rutas y Centros de Acopio</x:v>
      </x:c>
      <x:c r="C52" s="797" t="n">
        <x:v>46277</x:v>
      </x:c>
      <x:c r="D52" s="797" t="n">
        <x:v>46278</x:v>
      </x:c>
      <x:c r="E52" s="768" t="str">
        <x:v>HU08: Como administrador, quiero gestionar las rutas y centros de acopio desde la web para organizar la logística de recolección.</x:v>
      </x:c>
    </x:row>
    <x:row r="53" ht="34" customHeight="1">
      <x:c r="A53" s="789" t="str">
        <x:v>4.2.6</x:v>
      </x:c>
      <x:c r="B53" s="770" t="str">
        <x:v>HU09: Móvil: Módulo de consulta de productores asignados</x:v>
      </x:c>
      <x:c r="C53" s="797" t="n">
        <x:v>46276</x:v>
      </x:c>
      <x:c r="D53" s="797" t="n">
        <x:v>46277</x:v>
      </x:c>
      <x:c r="E53" s="768" t="str">
        <x:v>HU09: Como acopiador, quiero consultar los productores que tengo asignados en mi ruta para saber a quiénes debo visitar durante el día.</x:v>
      </x:c>
    </x:row>
    <x:row r="54" ht="34" customHeight="1">
      <x:c r="A54" s="789" t="str">
        <x:v>4.2.7</x:v>
      </x:c>
      <x:c r="B54" s="770" t="str">
        <x:v>HU10: Móvil: Módulo de gestión de ruta del día</x:v>
      </x:c>
      <x:c r="C54" s="797" t="n">
        <x:v>46277</x:v>
      </x:c>
      <x:c r="D54" s="797" t="n">
        <x:v>46278</x:v>
      </x:c>
      <x:c r="E54" s="768" t="str">
        <x:v>HU10: Como acopiador, quiero ver mi ruta del día con los productores y centros de acopio asignados para organizar mi recorrido de forma eficiente.</x:v>
      </x:c>
    </x:row>
    <x:row r="55" ht="34" customHeight="1">
      <x:c r="A55" s="789" t="str">
        <x:v>4.2.8</x:v>
      </x:c>
      <x:c r="B55" s="770" t="str">
        <x:v>Pruebas unitarias backend (JUnit)</x:v>
      </x:c>
      <x:c r="C55" s="797" t="n">
        <x:v>46279</x:v>
      </x:c>
      <x:c r="D55" s="797" t="n">
        <x:v>46279</x:v>
      </x:c>
      <x:c r="E55" s="772" t="str">
        <x:v>—</x:v>
      </x:c>
    </x:row>
    <x:row r="56" ht="34" customHeight="1">
      <x:c r="A56" s="789" t="str">
        <x:v>4.2.9</x:v>
      </x:c>
      <x:c r="B56" s="770" t="str">
        <x:v>Pruebas funcionales módulo Productores (Web y Móvil)</x:v>
      </x:c>
      <x:c r="C56" s="797" t="n">
        <x:v>46279</x:v>
      </x:c>
      <x:c r="D56" s="797" t="n">
        <x:v>46279</x:v>
      </x:c>
      <x:c r="E56" s="772" t="str">
        <x:v>—</x:v>
      </x:c>
    </x:row>
    <x:row r="57" ht="34" customHeight="1">
      <x:c r="A57" s="789" t="str">
        <x:v>4.3.1</x:v>
      </x:c>
      <x:c r="B57" s="770" t="str">
        <x:v>Documentación técnica de API (Swagger / OpenAPI)</x:v>
      </x:c>
      <x:c r="C57" s="797" t="n">
        <x:v>46279</x:v>
      </x:c>
      <x:c r="D57" s="797" t="n">
        <x:v>46279</x:v>
      </x:c>
      <x:c r="E57" s="772" t="str">
        <x:v>—</x:v>
      </x:c>
    </x:row>
    <x:row r="58" ht="34" customHeight="1">
      <x:c r="A58" s="790" t="str">
        <x:v>5.1.1</x:v>
      </x:c>
      <x:c r="B58" s="774" t="str">
        <x:v>Sprint Planning Sprint 5</x:v>
      </x:c>
      <x:c r="C58" s="798" t="n">
        <x:v>46281</x:v>
      </x:c>
      <x:c r="D58" s="798" t="n">
        <x:v>46281</x:v>
      </x:c>
      <x:c r="E58" s="776" t="str">
        <x:v>—</x:v>
      </x:c>
    </x:row>
    <x:row r="59" ht="34" customHeight="1">
      <x:c r="A59" s="790" t="str">
        <x:v>5.1.2</x:v>
      </x:c>
      <x:c r="B59" s="774" t="str">
        <x:v>Sprint Review + Retrospectiva Sprint 5</x:v>
      </x:c>
      <x:c r="C59" s="798" t="n">
        <x:v>46287</x:v>
      </x:c>
      <x:c r="D59" s="798" t="n">
        <x:v>46287</x:v>
      </x:c>
      <x:c r="E59" s="776" t="str">
        <x:v>—</x:v>
      </x:c>
    </x:row>
    <x:row r="60" ht="34" customHeight="1">
      <x:c r="A60" s="790" t="str">
        <x:v>5.2.1</x:v>
      </x:c>
      <x:c r="B60" s="774" t="str">
        <x:v>HU11: Backend: API de Registro de Recojo de Leche</x:v>
      </x:c>
      <x:c r="C60" s="798" t="n">
        <x:v>46281</x:v>
      </x:c>
      <x:c r="D60" s="798" t="n">
        <x:v>46282</x:v>
      </x:c>
      <x:c r="E60" s="768" t="str">
        <x:v>HU11: Como acopiador, quiero registrar la cantidad de leche recolectada de cada productor para llevar un control preciso de la producción diaria.</x:v>
      </x:c>
    </x:row>
    <x:row r="61" ht="34" customHeight="1">
      <x:c r="A61" s="790" t="str">
        <x:v>5.2.2</x:v>
      </x:c>
      <x:c r="B61" s="774" t="str">
        <x:v>HU12: Web: Módulo de consulta de liquidaciones</x:v>
      </x:c>
      <x:c r="C61" s="798" t="n">
        <x:v>46285</x:v>
      </x:c>
      <x:c r="D61" s="798" t="n">
        <x:v>46285</x:v>
      </x:c>
      <x:c r="E61" s="768" t="str">
        <x:v>HU12: Como administrador, quiero consultar las liquidaciones por productor y por fecha para revisar y validar los pagos realizados.</x:v>
      </x:c>
    </x:row>
    <x:row r="62" ht="34" customHeight="1">
      <x:c r="A62" s="790" t="str">
        <x:v>5.3.1</x:v>
      </x:c>
      <x:c r="B62" s="774" t="str">
        <x:v>HU13: Backend: Registro de parámetros de calidad</x:v>
      </x:c>
      <x:c r="C62" s="798" t="n">
        <x:v>46282</x:v>
      </x:c>
      <x:c r="D62" s="798" t="n">
        <x:v>46282</x:v>
      </x:c>
      <x:c r="E62" s="768" t="str">
        <x:v>HU13: Como acopiador, quiero registrar los parámetros de calidad de la leche (densidad, acidez, temperatura) para asegurar que cumple con los estándares requeridos.</x:v>
      </x:c>
    </x:row>
    <x:row r="63" ht="34" customHeight="1">
      <x:c r="A63" s="790" t="str">
        <x:v>5.3.2</x:v>
      </x:c>
      <x:c r="B63" s="774" t="str">
        <x:v>HU14: Backend: Cálculo de pago / liquidación</x:v>
      </x:c>
      <x:c r="C63" s="798" t="n">
        <x:v>46283</x:v>
      </x:c>
      <x:c r="D63" s="798" t="n">
        <x:v>46284</x:v>
      </x:c>
      <x:c r="E63" s="768" t="str">
        <x:v>HU14: Como acopiador, quiero que el sistema calcule automáticamente el pago del productor según los litros recolectados para liquidar de forma rápida y sin errores.</x:v>
      </x:c>
    </x:row>
    <x:row r="64" ht="34" customHeight="1">
      <x:c r="A64" s="790" t="str">
        <x:v>5.3.3</x:v>
      </x:c>
      <x:c r="B64" s="774" t="str">
        <x:v>HU15: Web: Módulo de registro y consulta de recojos</x:v>
      </x:c>
      <x:c r="C64" s="798" t="n">
        <x:v>46283</x:v>
      </x:c>
      <x:c r="D64" s="798" t="n">
        <x:v>46284</x:v>
      </x:c>
      <x:c r="E64" s="768" t="str">
        <x:v>HU15: Como administrador, quiero registrar y consultar los recojos de leche desde la web para llevar un control centralizado de la producción.</x:v>
      </x:c>
    </x:row>
    <x:row r="65" ht="34" customHeight="1">
      <x:c r="A65" s="790" t="str">
        <x:v>5.3.4</x:v>
      </x:c>
      <x:c r="B65" s="774" t="str">
        <x:v>HU16: Móvil: Pantalla de registro de recojo de leche (offline-first)</x:v>
      </x:c>
      <x:c r="C65" s="798" t="n">
        <x:v>46283</x:v>
      </x:c>
      <x:c r="D65" s="798" t="n">
        <x:v>46284</x:v>
      </x:c>
      <x:c r="E65" s="768" t="str">
        <x:v>HU16: Como acopiador, quiero registrar el recojo de leche aunque no tenga conexión a internet para seguir trabajando en zonas rurales sin cobertura.</x:v>
      </x:c>
    </x:row>
    <x:row r="66" ht="34" customHeight="1">
      <x:c r="A66" s="790" t="str">
        <x:v>5.3.5</x:v>
      </x:c>
      <x:c r="B66" s="774" t="str">
        <x:v>HU17: Móvil: Almacenamiento local (SQLite) y sincronización</x:v>
      </x:c>
      <x:c r="C66" s="798" t="n">
        <x:v>46284</x:v>
      </x:c>
      <x:c r="D66" s="798" t="n">
        <x:v>46285</x:v>
      </x:c>
      <x:c r="E66" s="768" t="str">
        <x:v>HU17: Como acopiador, quiero que los datos registrados sin conexión se sincronicen automáticamente cuando tenga internet para no perder información.</x:v>
      </x:c>
    </x:row>
    <x:row r="67" ht="34" customHeight="1">
      <x:c r="A67" s="790" t="str">
        <x:v>5.3.6</x:v>
      </x:c>
      <x:c r="B67" s="774" t="str">
        <x:v>HU18: Móvil: Captura de evidencia (firma digital / foto)</x:v>
      </x:c>
      <x:c r="C67" s="798" t="n">
        <x:v>46286</x:v>
      </x:c>
      <x:c r="D67" s="798" t="n">
        <x:v>46286</x:v>
      </x:c>
      <x:c r="E67" s="768" t="str">
        <x:v>HU18: Como acopiador, quiero tomar una foto o capturar la firma del productor como evidencia del recojo para tener un respaldo del registro.</x:v>
      </x:c>
    </x:row>
    <x:row r="68" ht="34" customHeight="1">
      <x:c r="A68" s="790" t="str">
        <x:v>5.3.7</x:v>
      </x:c>
      <x:c r="B68" s="774" t="str">
        <x:v>Pruebas unitarias e integración del módulo de Recojo</x:v>
      </x:c>
      <x:c r="C68" s="798" t="n">
        <x:v>46286</x:v>
      </x:c>
      <x:c r="D68" s="798" t="n">
        <x:v>46286</x:v>
      </x:c>
      <x:c r="E68" s="776" t="str">
        <x:v>—</x:v>
      </x:c>
    </x:row>
    <x:row r="69" ht="34" customHeight="1">
      <x:c r="A69" s="791" t="str">
        <x:v>6.1.1</x:v>
      </x:c>
      <x:c r="B69" s="778" t="str">
        <x:v>Sprint Planning Sprint 6</x:v>
      </x:c>
      <x:c r="C69" s="799" t="n">
        <x:v>46288</x:v>
      </x:c>
      <x:c r="D69" s="799" t="n">
        <x:v>46288</x:v>
      </x:c>
      <x:c r="E69" s="780" t="str">
        <x:v>—</x:v>
      </x:c>
    </x:row>
    <x:row r="70" ht="34" customHeight="1">
      <x:c r="A70" s="791" t="str">
        <x:v>6.1.2</x:v>
      </x:c>
      <x:c r="B70" s="778" t="str">
        <x:v>Sprint Review + Retrospectiva Sprint 6</x:v>
      </x:c>
      <x:c r="C70" s="799" t="n">
        <x:v>46294</x:v>
      </x:c>
      <x:c r="D70" s="799" t="n">
        <x:v>46294</x:v>
      </x:c>
      <x:c r="E70" s="780" t="str">
        <x:v>—</x:v>
      </x:c>
    </x:row>
    <x:row r="71" ht="34" customHeight="1">
      <x:c r="A71" s="791" t="str">
        <x:v>6.2.1</x:v>
      </x:c>
      <x:c r="B71" s="778" t="str">
        <x:v>HU19: Backend: Módulo de reportes gerenciales</x:v>
      </x:c>
      <x:c r="C71" s="799" t="n">
        <x:v>46288</x:v>
      </x:c>
      <x:c r="D71" s="799" t="n">
        <x:v>46289</x:v>
      </x:c>
      <x:c r="E71" s="768" t="str">
        <x:v>HU19: Como administrador, quiero ver reportes gerenciales de producción total, por ruta y por productor para evaluar el desempeño de cada zona.</x:v>
      </x:c>
    </x:row>
    <x:row r="72" ht="34" customHeight="1">
      <x:c r="A72" s="791" t="str">
        <x:v>6.2.2</x:v>
      </x:c>
      <x:c r="B72" s="778" t="str">
        <x:v>HU20: Backend: Módulo de notificaciones (email / push)</x:v>
      </x:c>
      <x:c r="C72" s="799" t="n">
        <x:v>46289</x:v>
      </x:c>
      <x:c r="D72" s="799" t="n">
        <x:v>46289</x:v>
      </x:c>
      <x:c r="E72" s="768" t="str">
        <x:v>HU20: Como administrador, quiero recibir notificaciones por correo electrónico para estar al tanto de eventos importantes del sistema.</x:v>
      </x:c>
    </x:row>
    <x:row r="73" ht="34" customHeight="1">
      <x:c r="A73" s="791" t="str">
        <x:v>6.2.3</x:v>
      </x:c>
      <x:c r="B73" s="778" t="str">
        <x:v>HU21: Web: Dashboard de reportes con gráficos</x:v>
      </x:c>
      <x:c r="C73" s="799" t="n">
        <x:v>46290</x:v>
      </x:c>
      <x:c r="D73" s="799" t="n">
        <x:v>46291</x:v>
      </x:c>
      <x:c r="E73" s="768" t="str">
        <x:v>HU21: Como administrador, quiero ver un dashboard con gráficos de producción y tendencias para tener una visión rápida del estado del negocio.</x:v>
      </x:c>
    </x:row>
    <x:row r="74" ht="34" customHeight="1">
      <x:c r="A74" s="791" t="str">
        <x:v>6.2.4</x:v>
      </x:c>
      <x:c r="B74" s="778" t="str">
        <x:v>HU22: Web: Módulo de administración de usuarios y roles</x:v>
      </x:c>
      <x:c r="C74" s="799" t="n">
        <x:v>46291</x:v>
      </x:c>
      <x:c r="D74" s="799" t="n">
        <x:v>46291</x:v>
      </x:c>
      <x:c r="E74" s="768" t="str">
        <x:v>HU22: Como administrador, quiero gestionar los usuarios del sistema y sus roles para controlar quién tiene acceso a cada funcionalidad.</x:v>
      </x:c>
    </x:row>
    <x:row r="75" ht="34" customHeight="1">
      <x:c r="A75" s="791" t="str">
        <x:v>6.2.5</x:v>
      </x:c>
      <x:c r="B75" s="778" t="str">
        <x:v>HU23: Móvil: Notificaciones push (Firebase Cloud Messaging)</x:v>
      </x:c>
      <x:c r="C75" s="799" t="n">
        <x:v>46290</x:v>
      </x:c>
      <x:c r="D75" s="799" t="n">
        <x:v>46290</x:v>
      </x:c>
      <x:c r="E75" s="768" t="str">
        <x:v>HU23: Como acopiador, quiero recibir notificaciones push en mi dispositivo móvil para estar informado sobre novedades y alertas en el campo.</x:v>
      </x:c>
    </x:row>
    <x:row r="76" ht="34" customHeight="1">
      <x:c r="A76" s="791" t="str">
        <x:v>6.2.6</x:v>
      </x:c>
      <x:c r="B76" s="778" t="str">
        <x:v>HU24: Móvil: Pantalla de historial de recojos y reportes personales</x:v>
      </x:c>
      <x:c r="C76" s="799" t="n">
        <x:v>46290</x:v>
      </x:c>
      <x:c r="D76" s="799" t="n">
        <x:v>46291</x:v>
      </x:c>
      <x:c r="E76" s="768" t="str">
        <x:v>HU24: Como acopiador, quiero consultar mi historial de recojos y reportes personales desde la app móvil para llevar un control de mi trabajo diario.</x:v>
      </x:c>
    </x:row>
    <x:row r="77" ht="34" customHeight="1">
      <x:c r="A77" s="791" t="str">
        <x:v>6.2.7</x:v>
      </x:c>
      <x:c r="B77" s="778" t="str">
        <x:v>Pruebas unitarias módulo de Reportes y Notificaciones</x:v>
      </x:c>
      <x:c r="C77" s="799" t="n">
        <x:v>46292</x:v>
      </x:c>
      <x:c r="D77" s="799" t="n">
        <x:v>46292</x:v>
      </x:c>
      <x:c r="E77" s="780" t="str">
        <x:v>—</x:v>
      </x:c>
    </x:row>
    <x:row r="78" ht="34" customHeight="1">
      <x:c r="A78" s="791" t="str">
        <x:v>6.3.1</x:v>
      </x:c>
      <x:c r="B78" s="778" t="str">
        <x:v>Ajustes de UI/UX según pruebas internas</x:v>
      </x:c>
      <x:c r="C78" s="799" t="n">
        <x:v>46292</x:v>
      </x:c>
      <x:c r="D78" s="799" t="n">
        <x:v>46292</x:v>
      </x:c>
      <x:c r="E78" s="780" t="str">
        <x:v>—</x:v>
      </x:c>
    </x:row>
    <x:row r="79" ht="34" customHeight="1">
      <x:c r="A79" s="791" t="str">
        <x:v>6.4.1</x:v>
      </x:c>
      <x:c r="B79" s="778" t="str">
        <x:v>Congelamiento de funcionalidades (Feature Freeze)</x:v>
      </x:c>
      <x:c r="C79" s="799" t="n">
        <x:v>46293</x:v>
      </x:c>
      <x:c r="D79" s="799" t="n">
        <x:v>46293</x:v>
      </x:c>
      <x:c r="E79" s="780" t="str">
        <x:v>—</x:v>
      </x:c>
    </x:row>
    <x:row r="80" ht="34" customHeight="1">
      <x:c r="A80" s="789" t="str">
        <x:v>7.1.1</x:v>
      </x:c>
      <x:c r="B80" s="770" t="str">
        <x:v>Sprint Planning Sprint 7</x:v>
      </x:c>
      <x:c r="C80" s="797" t="n">
        <x:v>46295</x:v>
      </x:c>
      <x:c r="D80" s="797" t="n">
        <x:v>46295</x:v>
      </x:c>
      <x:c r="E80" s="772" t="str">
        <x:v>—</x:v>
      </x:c>
    </x:row>
    <x:row r="81" ht="34" customHeight="1">
      <x:c r="A81" s="789" t="str">
        <x:v>7.1.2</x:v>
      </x:c>
      <x:c r="B81" s="770" t="str">
        <x:v>Sprint Review + Retrospectiva Sprint 7</x:v>
      </x:c>
      <x:c r="C81" s="797" t="n">
        <x:v>46301</x:v>
      </x:c>
      <x:c r="D81" s="797" t="n">
        <x:v>46301</x:v>
      </x:c>
      <x:c r="E81" s="772" t="str">
        <x:v>—</x:v>
      </x:c>
    </x:row>
    <x:row r="82" ht="34" customHeight="1">
      <x:c r="A82" s="789" t="str">
        <x:v>7.2.1</x:v>
      </x:c>
      <x:c r="B82" s="770" t="str">
        <x:v>Elaboración del Plan de Pruebas y Casos de Prueba</x:v>
      </x:c>
      <x:c r="C82" s="797" t="n">
        <x:v>46295</x:v>
      </x:c>
      <x:c r="D82" s="797" t="n">
        <x:v>46295</x:v>
      </x:c>
      <x:c r="E82" s="772" t="str">
        <x:v>—</x:v>
      </x:c>
    </x:row>
    <x:row r="83" ht="34" customHeight="1">
      <x:c r="A83" s="789" t="str">
        <x:v>7.2.2</x:v>
      </x:c>
      <x:c r="B83" s="770" t="str">
        <x:v>Pruebas de integración Backend - Web</x:v>
      </x:c>
      <x:c r="C83" s="797" t="n">
        <x:v>46296</x:v>
      </x:c>
      <x:c r="D83" s="797" t="n">
        <x:v>46296</x:v>
      </x:c>
      <x:c r="E83" s="772" t="str">
        <x:v>—</x:v>
      </x:c>
    </x:row>
    <x:row r="84" ht="34" customHeight="1">
      <x:c r="A84" s="789" t="str">
        <x:v>7.2.3</x:v>
      </x:c>
      <x:c r="B84" s="770" t="str">
        <x:v>Pruebas de integración Backend - Móvil</x:v>
      </x:c>
      <x:c r="C84" s="797" t="n">
        <x:v>46296</x:v>
      </x:c>
      <x:c r="D84" s="797" t="n">
        <x:v>46296</x:v>
      </x:c>
      <x:c r="E84" s="772" t="str">
        <x:v>—</x:v>
      </x:c>
    </x:row>
    <x:row r="85" ht="34" customHeight="1">
      <x:c r="A85" s="789" t="str">
        <x:v>7.2.4</x:v>
      </x:c>
      <x:c r="B85" s="770" t="str">
        <x:v>Pruebas funcionales completas</x:v>
      </x:c>
      <x:c r="C85" s="797" t="n">
        <x:v>46297</x:v>
      </x:c>
      <x:c r="D85" s="797" t="n">
        <x:v>46297</x:v>
      </x:c>
      <x:c r="E85" s="772" t="str">
        <x:v>—</x:v>
      </x:c>
    </x:row>
    <x:row r="86" ht="34" customHeight="1">
      <x:c r="A86" s="789" t="str">
        <x:v>7.2.5</x:v>
      </x:c>
      <x:c r="B86" s="770" t="str">
        <x:v>Pruebas de aceptación de usuario (UAT)</x:v>
      </x:c>
      <x:c r="C86" s="797" t="n">
        <x:v>46298</x:v>
      </x:c>
      <x:c r="D86" s="797" t="n">
        <x:v>46298</x:v>
      </x:c>
      <x:c r="E86" s="772" t="str">
        <x:v>—</x:v>
      </x:c>
    </x:row>
    <x:row r="87" ht="34" customHeight="1">
      <x:c r="A87" s="789" t="str">
        <x:v>7.2.6</x:v>
      </x:c>
      <x:c r="B87" s="770" t="str">
        <x:v>Registro y priorización de incidencias/bugs</x:v>
      </x:c>
      <x:c r="C87" s="797" t="n">
        <x:v>46298</x:v>
      </x:c>
      <x:c r="D87" s="797" t="n">
        <x:v>46298</x:v>
      </x:c>
      <x:c r="E87" s="772" t="str">
        <x:v>—</x:v>
      </x:c>
    </x:row>
    <x:row r="88" ht="34" customHeight="1">
      <x:c r="A88" s="789" t="str">
        <x:v>7.2.7</x:v>
      </x:c>
      <x:c r="B88" s="770" t="str">
        <x:v>Corrección de bugs críticos y altos</x:v>
      </x:c>
      <x:c r="C88" s="797" t="n">
        <x:v>46299</x:v>
      </x:c>
      <x:c r="D88" s="797" t="n">
        <x:v>46300</x:v>
      </x:c>
      <x:c r="E88" s="772" t="str">
        <x:v>—</x:v>
      </x:c>
    </x:row>
    <x:row r="89" ht="34" customHeight="1">
      <x:c r="A89" s="789" t="str">
        <x:v>7.2.8</x:v>
      </x:c>
      <x:c r="B89" s="770" t="str">
        <x:v>Pruebas de regresión</x:v>
      </x:c>
      <x:c r="C89" s="797" t="n">
        <x:v>46300</x:v>
      </x:c>
      <x:c r="D89" s="797" t="n">
        <x:v>46300</x:v>
      </x:c>
      <x:c r="E89" s="772" t="str">
        <x:v>—</x:v>
      </x:c>
    </x:row>
    <x:row r="90" ht="34" customHeight="1">
      <x:c r="A90" s="789" t="str">
        <x:v>7.2.9</x:v>
      </x:c>
      <x:c r="B90" s="770" t="str">
        <x:v>Pruebas no funcionales (rendimiento, seguridad)</x:v>
      </x:c>
      <x:c r="C90" s="797" t="n">
        <x:v>46297</x:v>
      </x:c>
      <x:c r="D90" s="797" t="n">
        <x:v>46297</x:v>
      </x:c>
      <x:c r="E90" s="772" t="str">
        <x:v>—</x:v>
      </x:c>
    </x:row>
    <x:row r="91" ht="34" customHeight="1">
      <x:c r="A91" s="789" t="str">
        <x:v>7.3.1</x:v>
      </x:c>
      <x:c r="B91" s="770" t="str">
        <x:v>Elaboración del Manual de Usuario (Web y Móvil)</x:v>
      </x:c>
      <x:c r="C91" s="797" t="n">
        <x:v>46299</x:v>
      </x:c>
      <x:c r="D91" s="797" t="n">
        <x:v>46299</x:v>
      </x:c>
      <x:c r="E91" s="772" t="str">
        <x:v>—</x:v>
      </x:c>
    </x:row>
    <x:row r="92" ht="34" customHeight="1">
      <x:c r="A92" s="789" t="str">
        <x:v>7.3.2</x:v>
      </x:c>
      <x:c r="B92" s="770" t="str">
        <x:v>Elaboración del Manual Técnico</x:v>
      </x:c>
      <x:c r="C92" s="797" t="n">
        <x:v>46299</x:v>
      </x:c>
      <x:c r="D92" s="797" t="n">
        <x:v>46299</x:v>
      </x:c>
      <x:c r="E92" s="772" t="str">
        <x:v>—</x:v>
      </x:c>
    </x:row>
    <x:row r="93" ht="34" customHeight="1">
      <x:c r="A93" s="787" t="str">
        <x:v>8.1.1</x:v>
      </x:c>
      <x:c r="B93" s="760" t="str">
        <x:v>Sprint Planning Sprint 8</x:v>
      </x:c>
      <x:c r="C93" s="795" t="n">
        <x:v>46302</x:v>
      </x:c>
      <x:c r="D93" s="795" t="n">
        <x:v>46302</x:v>
      </x:c>
      <x:c r="E93" s="762" t="str">
        <x:v>—</x:v>
      </x:c>
    </x:row>
    <x:row r="94" ht="34" customHeight="1">
      <x:c r="A94" s="787" t="str">
        <x:v>8.1.2</x:v>
      </x:c>
      <x:c r="B94" s="760" t="str">
        <x:v>Sprint Review + Retrospectiva Sprint 8</x:v>
      </x:c>
      <x:c r="C94" s="795" t="n">
        <x:v>46308</x:v>
      </x:c>
      <x:c r="D94" s="795" t="n">
        <x:v>46308</x:v>
      </x:c>
      <x:c r="E94" s="762" t="str">
        <x:v>—</x:v>
      </x:c>
    </x:row>
    <x:row r="95" ht="34" customHeight="1">
      <x:c r="A95" s="787" t="str">
        <x:v>8.2.1</x:v>
      </x:c>
      <x:c r="B95" s="760" t="str">
        <x:v>Preparación del entorno de producción</x:v>
      </x:c>
      <x:c r="C95" s="795" t="n">
        <x:v>46302</x:v>
      </x:c>
      <x:c r="D95" s="795" t="n">
        <x:v>46302</x:v>
      </x:c>
      <x:c r="E95" s="762" t="str">
        <x:v>—</x:v>
      </x:c>
    </x:row>
    <x:row r="96" ht="34" customHeight="1">
      <x:c r="A96" s="787" t="str">
        <x:v>8.2.2</x:v>
      </x:c>
      <x:c r="B96" s="760" t="str">
        <x:v>Despliegue del Backend en producción</x:v>
      </x:c>
      <x:c r="C96" s="795" t="n">
        <x:v>46303</x:v>
      </x:c>
      <x:c r="D96" s="795" t="n">
        <x:v>46303</x:v>
      </x:c>
      <x:c r="E96" s="762" t="str">
        <x:v>—</x:v>
      </x:c>
    </x:row>
    <x:row r="97" ht="34" customHeight="1">
      <x:c r="A97" s="787" t="str">
        <x:v>8.2.3</x:v>
      </x:c>
      <x:c r="B97" s="760" t="str">
        <x:v>Despliegue del Frontend Web en producción</x:v>
      </x:c>
      <x:c r="C97" s="795" t="n">
        <x:v>46303</x:v>
      </x:c>
      <x:c r="D97" s="795" t="n">
        <x:v>46303</x:v>
      </x:c>
      <x:c r="E97" s="762" t="str">
        <x:v>—</x:v>
      </x:c>
    </x:row>
    <x:row r="98" ht="34" customHeight="1">
      <x:c r="A98" s="787" t="str">
        <x:v>8.2.4</x:v>
      </x:c>
      <x:c r="B98" s="760" t="str">
        <x:v>Generación y distribución de la app móvil (APK)</x:v>
      </x:c>
      <x:c r="C98" s="795" t="n">
        <x:v>46303</x:v>
      </x:c>
      <x:c r="D98" s="795" t="n">
        <x:v>46303</x:v>
      </x:c>
      <x:c r="E98" s="762" t="str">
        <x:v>—</x:v>
      </x:c>
    </x:row>
    <x:row r="99" ht="34" customHeight="1">
      <x:c r="A99" s="787" t="str">
        <x:v>8.3.1</x:v>
      </x:c>
      <x:c r="B99" s="760" t="str">
        <x:v>Migración y carga inicial de datos maestros</x:v>
      </x:c>
      <x:c r="C99" s="795" t="n">
        <x:v>46304</x:v>
      </x:c>
      <x:c r="D99" s="795" t="n">
        <x:v>46304</x:v>
      </x:c>
      <x:c r="E99" s="762" t="str">
        <x:v>—</x:v>
      </x:c>
    </x:row>
    <x:row r="100" ht="34" customHeight="1">
      <x:c r="A100" s="787" t="str">
        <x:v>8.4.1</x:v>
      </x:c>
      <x:c r="B100" s="760" t="str">
        <x:v>Pruebas de humo (smoke testing) en producción</x:v>
      </x:c>
      <x:c r="C100" s="795" t="n">
        <x:v>46304</x:v>
      </x:c>
      <x:c r="D100" s="795" t="n">
        <x:v>46304</x:v>
      </x:c>
      <x:c r="E100" s="762" t="str">
        <x:v>—</x:v>
      </x:c>
    </x:row>
    <x:row r="101" ht="34" customHeight="1">
      <x:c r="A101" s="787" t="str">
        <x:v>8.5.1</x:v>
      </x:c>
      <x:c r="B101" s="760" t="str">
        <x:v>Elaboración de material de capacitación</x:v>
      </x:c>
      <x:c r="C101" s="795" t="n">
        <x:v>46303</x:v>
      </x:c>
      <x:c r="D101" s="795" t="n">
        <x:v>46303</x:v>
      </x:c>
      <x:c r="E101" s="762" t="str">
        <x:v>—</x:v>
      </x:c>
    </x:row>
    <x:row r="102" ht="34" customHeight="1">
      <x:c r="A102" s="787" t="str">
        <x:v>8.5.2</x:v>
      </x:c>
      <x:c r="B102" s="760" t="str">
        <x:v>HU25: Capacitación a administradores del sistema (módulo Web)</x:v>
      </x:c>
      <x:c r="C102" s="795" t="n">
        <x:v>46305</x:v>
      </x:c>
      <x:c r="D102" s="795" t="n">
        <x:v>46305</x:v>
      </x:c>
      <x:c r="E102" s="768" t="str">
        <x:v>HU25: Como administrador, quiero recibir capacitación sobre el uso del sistema web para gestionar eficientemente las operaciones.</x:v>
      </x:c>
    </x:row>
    <x:row r="103" ht="34" customHeight="1">
      <x:c r="A103" s="787" t="str">
        <x:v>8.5.3</x:v>
      </x:c>
      <x:c r="B103" s="760" t="str">
        <x:v>HU26: Capacitación a acopiadores / usuarios finales (App Móvil) en Huata</x:v>
      </x:c>
      <x:c r="C103" s="795" t="n">
        <x:v>46306</x:v>
      </x:c>
      <x:c r="D103" s="795" t="n">
        <x:v>46306</x:v>
      </x:c>
      <x:c r="E103" s="768" t="str">
        <x:v>HU26: Como acopiador, quiero recibir capacitación sobre el uso de la aplicación móvil en campo para aprender a registrar los recojos de leche correctamente.</x:v>
      </x:c>
    </x:row>
    <x:row r="104" ht="34" customHeight="1">
      <x:c r="A104" s="787" t="str">
        <x:v>8.5.4</x:v>
      </x:c>
      <x:c r="B104" s="760" t="str">
        <x:v>HU27: Soporte post-implementación (hipercare)</x:v>
      </x:c>
      <x:c r="C104" s="795" t="n">
        <x:v>46306</x:v>
      </x:c>
      <x:c r="D104" s="795" t="n">
        <x:v>46307</x:v>
      </x:c>
      <x:c r="E104" s="768" t="str">
        <x:v>HU27: Como usuario del sistema, quiero contar con soporte post-implementación para resolver dudas o problemas durante los primeros días de uso.</x:v>
      </x:c>
    </x:row>
    <x:row r="105" ht="34" customHeight="1">
      <x:c r="A105" s="788" t="str">
        <x:v>9.1.1</x:v>
      </x:c>
      <x:c r="B105" s="764" t="str">
        <x:v>Elaboración del Acta de Cierre del Proyecto</x:v>
      </x:c>
      <x:c r="C105" s="796" t="n">
        <x:v>46309</x:v>
      </x:c>
      <x:c r="D105" s="796" t="n">
        <x:v>46309</x:v>
      </x:c>
      <x:c r="E105" s="766" t="str">
        <x:v>—</x:v>
      </x:c>
    </x:row>
    <x:row r="106" ht="34" customHeight="1">
      <x:c r="A106" s="788" t="str">
        <x:v>9.1.2</x:v>
      </x:c>
      <x:c r="B106" s="764" t="str">
        <x:v>Firma de conformidad final del cliente</x:v>
      </x:c>
      <x:c r="C106" s="796" t="n">
        <x:v>46310</x:v>
      </x:c>
      <x:c r="D106" s="796" t="n">
        <x:v>46310</x:v>
      </x:c>
      <x:c r="E106" s="766" t="str">
        <x:v>—</x:v>
      </x:c>
    </x:row>
    <x:row r="107" ht="34" customHeight="1">
      <x:c r="A107" s="788" t="str">
        <x:v>9.1.3</x:v>
      </x:c>
      <x:c r="B107" s="764" t="str">
        <x:v>Reunión de cierre con stakeholders</x:v>
      </x:c>
      <x:c r="C107" s="796" t="n">
        <x:v>46310</x:v>
      </x:c>
      <x:c r="D107" s="796" t="n">
        <x:v>46310</x:v>
      </x:c>
      <x:c r="E107" s="766" t="str">
        <x:v>—</x:v>
      </x:c>
    </x:row>
    <x:row r="108" ht="34" customHeight="1">
      <x:c r="A108" s="792" t="str">
        <x:v>9.2.1</x:v>
      </x:c>
      <x:c r="B108" s="782" t="str">
        <x:v>Entrega final de documentación</x:v>
      </x:c>
      <x:c r="C108" s="800" t="n">
        <x:v>46309</x:v>
      </x:c>
      <x:c r="D108" s="800" t="n">
        <x:v>46309</x:v>
      </x:c>
      <x:c r="E108" s="784" t="str">
        <x:v>—</x:v>
      </x:c>
    </x:row>
  </x:sheetData>
  <x:mergeCells>
    <x:mergeCell ref="A25:S25"/>
    <x:mergeCell ref="A4:D4"/>
    <x:mergeCell ref="E4:G4"/>
    <x:mergeCell ref="H4:J4"/>
    <x:mergeCell ref="K4:M4"/>
    <x:mergeCell ref="N4:O4"/>
    <x:mergeCell ref="P4:Q4"/>
    <x:mergeCell ref="R4:S4"/>
    <x:mergeCell ref="H6:J6"/>
    <x:mergeCell ref="K6:M6"/>
    <x:mergeCell ref="P6:Q6"/>
    <x:mergeCell ref="R6:S6"/>
    <x:mergeCell ref="A2:S2"/>
    <x:mergeCell ref="A19:S19"/>
    <x:mergeCell ref="A1:E1"/>
    <x:mergeCell ref="A2:E2"/>
  </x:mergeCells>
  <x:conditionalFormatting sqref="G8:G23">
    <x:cfRule type="expression" dxfId="9" priority="1">
      <x:formula>G8="Completado"</x:formula>
    </x:cfRule>
    <x:cfRule type="expression" dxfId="10" priority="2">
      <x:formula>G8="En curso"</x:formula>
    </x:cfRule>
    <x:cfRule type="expression" dxfId="11" priority="3">
      <x:formula>G8="Bloqueado"</x:formula>
    </x:cfRule>
  </x:conditionalFormatting>
  <x:conditionalFormatting sqref="G8:G17">
    <x:cfRule type="expression" dxfId="12" priority="4">
      <x:formula>G8="Cerrado"</x:formula>
    </x:cfRule>
    <x:cfRule type="expression" dxfId="13" priority="5">
      <x:formula>G8="En progreso"</x:formula>
    </x:cfRule>
    <x:cfRule type="expression" dxfId="14" priority="6">
      <x:formula>G8="Bloqueado"</x:formula>
    </x:cfRule>
  </x:conditionalFormatting>
  <x:dataValidations count="2">
    <x:dataValidation type="list" sqref="G8:G23">
      <x:formula1>"Planificado,En curso,Completado,Bloqueado"</x:formula1>
    </x:dataValidation>
    <x:dataValidation type="list" sqref="G8:G17">
      <x:formula1>"Cerrado,Planificado,En progreso,Bloqueado"</x:formula1>
    </x:dataValidation>
  </x:dataValidations>
  <x:pageMargins left="0.7" right="0.7" top="0.75" bottom="0.75" header="0.3" footer="0.3"/>
</x:worksheet>
</file>