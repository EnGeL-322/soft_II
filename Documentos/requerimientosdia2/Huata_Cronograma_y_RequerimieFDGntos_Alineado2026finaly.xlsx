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huata-Requerimientos\Huata-REQ-SOTW-MOVIL-WEB-DEPLOY\Documentos\requerimientosdia2\"/>
    </mc:Choice>
  </mc:AlternateContent>
  <xr:revisionPtr revIDLastSave="0" documentId="8_{9F2C458C-0AB3-4594-A4C9-EC5284E2289E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Resumen" sheetId="1" r:id="rId1"/>
    <sheet name="Interesados" sheetId="2" r:id="rId2"/>
    <sheet name="Reglas de Negocio" sheetId="3" r:id="rId3"/>
    <sheet name="Requerimientos" sheetId="4" r:id="rId4"/>
    <sheet name="Casos de Prueba" sheetId="5" r:id="rId5"/>
    <sheet name="Trazabilidad" sheetId="6" r:id="rId6"/>
    <sheet name="Cronograma" sheetId="7" r:id="rId7"/>
    <sheet name="Cambios" sheetId="8" r:id="rId8"/>
  </sheets>
  <calcPr calcId="191029"/>
  <fileRecoveryPr repairLoad="1"/>
</workbook>
</file>

<file path=xl/calcChain.xml><?xml version="1.0" encoding="utf-8"?>
<calcChain xmlns="http://schemas.openxmlformats.org/spreadsheetml/2006/main">
  <c r="G8" i="1" l="1"/>
  <c r="F8" i="1"/>
  <c r="E8" i="1"/>
  <c r="D8" i="1"/>
  <c r="G6" i="1"/>
  <c r="F6" i="1"/>
  <c r="E6" i="1"/>
  <c r="D6" i="1"/>
</calcChain>
</file>

<file path=xl/sharedStrings.xml><?xml version="1.0" encoding="utf-8"?>
<sst xmlns="http://schemas.openxmlformats.org/spreadsheetml/2006/main" count="2028" uniqueCount="881">
  <si>
    <t>REQUERIMIENTOS DEL PROYECTO - HUATA LÁCTEOS</t>
  </si>
  <si>
    <t>Documento alineado con Project Charter y Cronograma_2026-2(2); RF/RNF vinculados a sprints, fechas y entregables.</t>
  </si>
  <si>
    <t>Dato</t>
  </si>
  <si>
    <t>Valor</t>
  </si>
  <si>
    <t>RESUMEN DE REQUERIMIENTOS</t>
  </si>
  <si>
    <t>Nombre oficial</t>
  </si>
  <si>
    <t>Desarrollo e Implementación de dos sistemas web y móvil para el acopio de leche en Huata.</t>
  </si>
  <si>
    <t>Total</t>
  </si>
  <si>
    <t>Funcionales</t>
  </si>
  <si>
    <t>No funcionales</t>
  </si>
  <si>
    <t>Must</t>
  </si>
  <si>
    <t>Patrocinador</t>
  </si>
  <si>
    <t>Gino Rodriguez</t>
  </si>
  <si>
    <t>Gerente del proyecto</t>
  </si>
  <si>
    <t>Huahuaccapa Ccama Alexander</t>
  </si>
  <si>
    <t>Aprobados</t>
  </si>
  <si>
    <t>Planificados</t>
  </si>
  <si>
    <t>Should</t>
  </si>
  <si>
    <t>Could</t>
  </si>
  <si>
    <t>Inicio</t>
  </si>
  <si>
    <t>19/08/2026</t>
  </si>
  <si>
    <t>Entrega / término de implementación</t>
  </si>
  <si>
    <t>14/10/2026</t>
  </si>
  <si>
    <t>Cierre administrativo</t>
  </si>
  <si>
    <t>15/10/2026</t>
  </si>
  <si>
    <t>Calendario</t>
  </si>
  <si>
    <t>7 días por semana (días corridos)</t>
  </si>
  <si>
    <t>Tecnologías</t>
  </si>
  <si>
    <t>Angular · Flutter · Spring Boot · PostgreSQL · SQLite · JWT · HTTPS</t>
  </si>
  <si>
    <t>ALCANCE CONSOLIDADO</t>
  </si>
  <si>
    <t>1</t>
  </si>
  <si>
    <t>Web administrativa</t>
  </si>
  <si>
    <t>Gestión de productores, acopiadores, rutas, centros de acopio, usuarios, liquidaciones y reportes.</t>
  </si>
  <si>
    <t>Project Charter D/G · Cronograma Sprints 4-6</t>
  </si>
  <si>
    <t>2</t>
  </si>
  <si>
    <t>App móvil Flutter</t>
  </si>
  <si>
    <t>Recojo de leche, ruta/productores asignados, historial y operación offline-first.</t>
  </si>
  <si>
    <t>3</t>
  </si>
  <si>
    <t>Backend REST</t>
  </si>
  <si>
    <t>Spring Boot, API REST, seguridad JWT y persistencia PostgreSQL.</t>
  </si>
  <si>
    <t>Project Charter B/D · Cronograma Sprint 3</t>
  </si>
  <si>
    <t>4</t>
  </si>
  <si>
    <t>Calidad y liquidación</t>
  </si>
  <si>
    <t>Registro de densidad, acidez y temperatura; liquidación basada en cantidad y calidad.</t>
  </si>
  <si>
    <t>Project Charter F/G · Cronograma Sprint 5</t>
  </si>
  <si>
    <t>5</t>
  </si>
  <si>
    <t>Pruebas y documentación</t>
  </si>
  <si>
    <t>Pruebas funcionales, integración, UAT, regresión, manuales y documentación técnica.</t>
  </si>
  <si>
    <t>Project Charter G · Cronograma Sprint 7</t>
  </si>
  <si>
    <t>6</t>
  </si>
  <si>
    <t>Despliegue y capacitación</t>
  </si>
  <si>
    <t>Producción, migración de datos maestros, APK, capacitación y soporte inicial.</t>
  </si>
  <si>
    <t>Project Charter G · Cronograma Sprint 8</t>
  </si>
  <si>
    <t>7</t>
  </si>
  <si>
    <t>Cierre</t>
  </si>
  <si>
    <t>Entrega documental el 14/10 y cierre administrativo/conformidad el 15/10.</t>
  </si>
  <si>
    <t>Project Charter F/J · Cronograma Cierre</t>
  </si>
  <si>
    <t>NOTA DE CONSISTENCIA</t>
  </si>
  <si>
    <t>El Cronograma_2026 trabaja con días corridos y lleva el cierre administrativo hasta el 15/10/2026, mientras el Project Charter fija el término del proyecto en 14/10/2026. En este archivo se distingue: entrega/término de implementación = 14/10/2026; firma y cierre administrativo = 15/10/2026. También se retiraron del archivo anterior las reglas no respaldadas por estas dos fuentes (precios S/ 1.75/S/ 1.30, pagos cada viernes, módulo de quesos, zonas específicas e importación/exportación Excel como módulo funcional).</t>
  </si>
  <si>
    <t>INTERESADOS DEL PROYECTO HUATA</t>
  </si>
  <si>
    <t>Actores alineados con los stakeholders del Project Charter y las responsabilidades del Cronograma_2026.</t>
  </si>
  <si>
    <t>ID</t>
  </si>
  <si>
    <t>Interesado / Rol</t>
  </si>
  <si>
    <t>Necesidad principal</t>
  </si>
  <si>
    <t>Influencia</t>
  </si>
  <si>
    <t>Fuente</t>
  </si>
  <si>
    <t>Participación</t>
  </si>
  <si>
    <t>INT-01</t>
  </si>
  <si>
    <t>Productores de leche de Huata</t>
  </si>
  <si>
    <t>Que sus recojos queden registrados con trazabilidad y que la liquidación se calcule a partir de cantidad y calidad.</t>
  </si>
  <si>
    <t>Media</t>
  </si>
  <si>
    <t>Project Charter G/F</t>
  </si>
  <si>
    <t>Stakeholder / usuario indirecto</t>
  </si>
  <si>
    <t>INT-02</t>
  </si>
  <si>
    <t>Acopiadores de leche</t>
  </si>
  <si>
    <t>Registrar recojos en campo desde la app móvil, incluso sin conexión, y sincronizar posteriormente.</t>
  </si>
  <si>
    <t>Alta</t>
  </si>
  <si>
    <t>Project Charter D/G · Cronograma IDs 73, 74, 94, 95</t>
  </si>
  <si>
    <t>Usuario principal móvil</t>
  </si>
  <si>
    <t>INT-03</t>
  </si>
  <si>
    <t>Administrador del sistema / Gerencia de operaciones</t>
  </si>
  <si>
    <t>Gestionar productores, rutas, centros, usuarios, liquidaciones y reportes gerenciales.</t>
  </si>
  <si>
    <t>Project Charter G · Cronograma IDs 68-72, 88, 107, 112</t>
  </si>
  <si>
    <t>Usuario principal web</t>
  </si>
  <si>
    <t>INT-04</t>
  </si>
  <si>
    <t>Personal de planta / centro de acopio</t>
  </si>
  <si>
    <t>Consultar y validar información de recepción y control de calidad de la leche.</t>
  </si>
  <si>
    <t>Project Charter G · Cronograma ID 91</t>
  </si>
  <si>
    <t>Usuario operativo</t>
  </si>
  <si>
    <t>INT-05</t>
  </si>
  <si>
    <t>Equipo de desarrollo JPK-RESOLUTION S.A.C.</t>
  </si>
  <si>
    <t>Diseñar, desarrollar, probar, desplegar y dar soporte inicial al sistema web y móvil.</t>
  </si>
  <si>
    <t>Project Charter B/L · Cronograma completo</t>
  </si>
  <si>
    <t>Equipo ejecutor</t>
  </si>
  <si>
    <t>INT-06</t>
  </si>
  <si>
    <t>Patrocinador / Cliente</t>
  </si>
  <si>
    <t>Validar requisitos, prototipos, UAT, entregables y conformidad final.</t>
  </si>
  <si>
    <t>Project Charter A/M · Cronograma IDs 23-25, 35, 43, 136, 175</t>
  </si>
  <si>
    <t>Aprobación y gobierno</t>
  </si>
  <si>
    <t>REGLAS, RESTRICCIONES Y CONDICIONES DEL PROYECTO</t>
  </si>
  <si>
    <t>Solo se mantienen reglas sustentadas por ProjectCharter2026 o Cronograma_2026.</t>
  </si>
  <si>
    <t>Nombre</t>
  </si>
  <si>
    <t>Regla / condición</t>
  </si>
  <si>
    <t>Tipo</t>
  </si>
  <si>
    <t>Requisitos relacionados</t>
  </si>
  <si>
    <t>RN-01</t>
  </si>
  <si>
    <t>Recojo trazable</t>
  </si>
  <si>
    <t>Cada recojo de leche debe vincular productor, cantidad, calidad y fecha.</t>
  </si>
  <si>
    <t>Proceso</t>
  </si>
  <si>
    <t>Project Charter F/G · Cronograma ID 87</t>
  </si>
  <si>
    <t>RF-05</t>
  </si>
  <si>
    <t>RN-02</t>
  </si>
  <si>
    <t>Control de calidad</t>
  </si>
  <si>
    <t>El control de calidad debe registrar como mínimo densidad, acidez y temperatura, además de observaciones cuando corresponda.</t>
  </si>
  <si>
    <t>Calidad</t>
  </si>
  <si>
    <t>Project Charter G.6 · Cronograma ID 91</t>
  </si>
  <si>
    <t>RF-06</t>
  </si>
  <si>
    <t>RN-03</t>
  </si>
  <si>
    <t>Liquidación por cantidad y calidad</t>
  </si>
  <si>
    <t>La liquidación debe calcularse considerando la cantidad recolectada y la calidad de la leche.</t>
  </si>
  <si>
    <t>Liquidación</t>
  </si>
  <si>
    <t>Project Charter F/G.7 · Cronograma ID 92</t>
  </si>
  <si>
    <t>RF-07</t>
  </si>
  <si>
    <t>RN-04</t>
  </si>
  <si>
    <t>Operación offline-first</t>
  </si>
  <si>
    <t>La app móvil debe permitir registrar recojos sin conexión mediante SQLite y sincronizar los datos al recuperar conectividad.</t>
  </si>
  <si>
    <t>Móvil / Datos</t>
  </si>
  <si>
    <t>Project Charter D · Cronograma IDs 94-95</t>
  </si>
  <si>
    <t>RF-09, RF-10</t>
  </si>
  <si>
    <t>RN-05</t>
  </si>
  <si>
    <t>Reportes gerenciales</t>
  </si>
  <si>
    <t>Los reportes deben permitir analizar producción total, por ruta, por productor y por periodo.</t>
  </si>
  <si>
    <t>Reportes</t>
  </si>
  <si>
    <t>Project Charter F/G.8 · Cronograma IDs 107, 111</t>
  </si>
  <si>
    <t>RF-14</t>
  </si>
  <si>
    <t>RN-06</t>
  </si>
  <si>
    <t>Seguridad y roles</t>
  </si>
  <si>
    <t>El acceso al sistema debe estar autenticado y autorizado mediante roles, JWT y protección HTTPS.</t>
  </si>
  <si>
    <t>Seguridad</t>
  </si>
  <si>
    <t>Project Charter D/F/G.9 · Cronograma IDs 53, 59, 112</t>
  </si>
  <si>
    <t>RF-15, RF-16, RNF-02</t>
  </si>
  <si>
    <t>RN-07</t>
  </si>
  <si>
    <t>Compatibilidad de la solución</t>
  </si>
  <si>
    <t>La app se entregará para Android mediante APK y la plataforma web debe operar en navegadores modernos.</t>
  </si>
  <si>
    <t>Restricción</t>
  </si>
  <si>
    <t>Project Charter G - Exclusiones/Restricciones</t>
  </si>
  <si>
    <t>RNF-03, RNF-04</t>
  </si>
  <si>
    <t>RN-08</t>
  </si>
  <si>
    <t>Sin pasarela financiera</t>
  </si>
  <si>
    <t>La versión actual no incluye pasarelas de pago ni transacciones financieras; el Charter también indica que los precios de leche no forman parte de esta versión.</t>
  </si>
  <si>
    <t>Exclusión</t>
  </si>
  <si>
    <t>Project Charter G - Exclusiones 2</t>
  </si>
  <si>
    <t>RN-09</t>
  </si>
  <si>
    <t>Soporte post-implementación</t>
  </si>
  <si>
    <t>Se contempla soporte y mantenimiento durante el primer mes posterior a la implementación; el cronograma base solo detalla hipercare inicial del 11 al 12 de octubre.</t>
  </si>
  <si>
    <t>Servicio</t>
  </si>
  <si>
    <t>Project Charter D.4 · Cronograma ID 170</t>
  </si>
  <si>
    <t>—</t>
  </si>
  <si>
    <t>RN-10</t>
  </si>
  <si>
    <t>Documentación y capacitación</t>
  </si>
  <si>
    <t>La entrega debe incluir manual de usuario, manual técnico y capacitación a administradores y acopiadores.</t>
  </si>
  <si>
    <t>Entrega</t>
  </si>
  <si>
    <t>Project Charter G.10-G.12 · Cronograma IDs 144,145,168,162,169</t>
  </si>
  <si>
    <t>MATRIZ DE REQUERIMIENTOS - HUATA LÁCTEOS</t>
  </si>
  <si>
    <t>Alineado con Cronograma_2026-2(2): cada RF/RNF incorpora sprint/periodo, fechas planificadas y entregables del cronograma oficial.</t>
  </si>
  <si>
    <t>Descripción (El sistema deberá...)</t>
  </si>
  <si>
    <t>Categoría RNF</t>
  </si>
  <si>
    <t>Actor</t>
  </si>
  <si>
    <t>Origen</t>
  </si>
  <si>
    <t>Referencia origen</t>
  </si>
  <si>
    <t>Prioridad</t>
  </si>
  <si>
    <t>Criterio de aceptación</t>
  </si>
  <si>
    <t>Componente</t>
  </si>
  <si>
    <t>Dependencias</t>
  </si>
  <si>
    <t>Estado</t>
  </si>
  <si>
    <t>Sprint / periodo</t>
  </si>
  <si>
    <t>Fecha inicio</t>
  </si>
  <si>
    <t>Fecha fin</t>
  </si>
  <si>
    <t>Entregable del cronograma</t>
  </si>
  <si>
    <t>RF-01</t>
  </si>
  <si>
    <t>Gestionar productores</t>
  </si>
  <si>
    <t>El sistema deberá registrar, consultar, editar y administrar productores de leche con la información necesaria para su operación.</t>
  </si>
  <si>
    <t>Funcional</t>
  </si>
  <si>
    <t>Administrador</t>
  </si>
  <si>
    <t>Project Charter</t>
  </si>
  <si>
    <t>G.4 · Cronograma 68,71</t>
  </si>
  <si>
    <t>Se puede crear, consultar y actualizar un productor; la información queda disponible para recojos y reportes.</t>
  </si>
  <si>
    <t>Productores</t>
  </si>
  <si>
    <t>Aprobado</t>
  </si>
  <si>
    <t>Sprint 4</t>
  </si>
  <si>
    <t>API Productores · Pantallas de Productores</t>
  </si>
  <si>
    <t>RF-02</t>
  </si>
  <si>
    <t>Gestionar acopiadores</t>
  </si>
  <si>
    <t>El sistema deberá registrar y administrar los acopiadores responsables del recojo de leche.</t>
  </si>
  <si>
    <t>Project Charter / Cronograma</t>
  </si>
  <si>
    <t>G.4 · Cronograma 69</t>
  </si>
  <si>
    <t>El administrador puede registrar y consultar acopiadores y asociarlos a la operación correspondiente.</t>
  </si>
  <si>
    <t>Acopiadores</t>
  </si>
  <si>
    <t>API Acopiadores/Rutas</t>
  </si>
  <si>
    <t>RF-03</t>
  </si>
  <si>
    <t>Gestionar rutas</t>
  </si>
  <si>
    <t>El sistema deberá registrar y administrar rutas de recojo y permitir su consulta desde web y móvil.</t>
  </si>
  <si>
    <t>Administrador / Acopiador</t>
  </si>
  <si>
    <t>G.4 · Cronograma 69,72,74</t>
  </si>
  <si>
    <t>Las rutas pueden registrarse y consultarse; el acopiador puede visualizar la ruta del día.</t>
  </si>
  <si>
    <t>Rutas</t>
  </si>
  <si>
    <t>API Acopiadores/Rutas · Pantallas de Rutas · Pantalla de Ruta del día</t>
  </si>
  <si>
    <t>RF-04</t>
  </si>
  <si>
    <t>Gestionar centros de acopio</t>
  </si>
  <si>
    <t>El sistema deberá registrar y administrar los centros de acopio utilizados por la operación.</t>
  </si>
  <si>
    <t>G.4 · Cronograma 70,72</t>
  </si>
  <si>
    <t>Los centros de acopio pueden crearse, consultarse y usarse en la gestión operativa.</t>
  </si>
  <si>
    <t>Centros de acopio</t>
  </si>
  <si>
    <t>API Centros de Acopio · Pantallas de Rutas</t>
  </si>
  <si>
    <t>Registrar recojo de leche</t>
  </si>
  <si>
    <t>El sistema deberá registrar cada recojo indicando productor, cantidad, calidad y fecha, desde web o móvil según el flujo operativo.</t>
  </si>
  <si>
    <t>Acopiador / Administrador</t>
  </si>
  <si>
    <t>G.5 · Cronograma 87,93,94</t>
  </si>
  <si>
    <t>Un recojo válido queda persistido con productor, cantidad, calidad y fecha y puede consultarse posteriormente.</t>
  </si>
  <si>
    <t>Recojo</t>
  </si>
  <si>
    <t>RF-01, RF-03</t>
  </si>
  <si>
    <t>Sprint 5</t>
  </si>
  <si>
    <t>API Recojo de Leche · Pantallas de Recojo (Web) · Pantalla de Registro móvil</t>
  </si>
  <si>
    <t>Registrar control de calidad</t>
  </si>
  <si>
    <t>El sistema deberá registrar parámetros de calidad de la leche, incluyendo densidad, acidez y temperatura.</t>
  </si>
  <si>
    <t>Personal de planta / Calidad</t>
  </si>
  <si>
    <t>G.6 · Cronograma 91</t>
  </si>
  <si>
    <t>El control queda asociado al recojo y conserva densidad, acidez, temperatura y observaciones disponibles.</t>
  </si>
  <si>
    <t>API Control de Calidad</t>
  </si>
  <si>
    <t>Calcular liquidación</t>
  </si>
  <si>
    <t>El sistema deberá calcular la liquidación del productor considerando cantidad recolectada y calidad, sin ejecutar una transacción financiera externa.</t>
  </si>
  <si>
    <t>F · G.7 · Cronograma 92</t>
  </si>
  <si>
    <t>El sistema genera una liquidación consistente con los datos de cantidad y calidad del recojo y permite su consulta.</t>
  </si>
  <si>
    <t>Liquidaciones</t>
  </si>
  <si>
    <t>RF-05, RF-06</t>
  </si>
  <si>
    <t>API de Liquidaciones</t>
  </si>
  <si>
    <t>RF-08</t>
  </si>
  <si>
    <t>Consultar liquidaciones por productor y fecha</t>
  </si>
  <si>
    <t>El sistema deberá permitir consultar las liquidaciones filtrando por productor y fecha desde el panel web.</t>
  </si>
  <si>
    <t>Cronograma_2026</t>
  </si>
  <si>
    <t>Cronograma 88</t>
  </si>
  <si>
    <t>El filtro por productor y fecha devuelve únicamente las liquidaciones correspondientes.</t>
  </si>
  <si>
    <t>Liquidaciones / Web</t>
  </si>
  <si>
    <t>Planificado</t>
  </si>
  <si>
    <t>Pantalla de Liquidaciones</t>
  </si>
  <si>
    <t>RF-09</t>
  </si>
  <si>
    <t>Registrar recojo sin conexión</t>
  </si>
  <si>
    <t>La aplicación móvil deberá permitir registrar recojos aunque no exista conexión a Internet.</t>
  </si>
  <si>
    <t>Acopiador</t>
  </si>
  <si>
    <t>D · G.5 · Cronograma 94</t>
  </si>
  <si>
    <t>El acopiador puede completar y guardar un recojo en modo offline sin perder los datos capturados.</t>
  </si>
  <si>
    <t>Móvil</t>
  </si>
  <si>
    <t>Pantalla de Registro móvil</t>
  </si>
  <si>
    <t>RF-10</t>
  </si>
  <si>
    <t>Sincronizar datos offline</t>
  </si>
  <si>
    <t>La aplicación móvil deberá almacenar temporalmente los datos en SQLite y sincronizarlos con el backend cuando exista conectividad.</t>
  </si>
  <si>
    <t>D · Cronograma 95</t>
  </si>
  <si>
    <t>Los registros pendientes se sincronizan posteriormente sin duplicarse y quedan disponibles en el servidor.</t>
  </si>
  <si>
    <t>Sincronización</t>
  </si>
  <si>
    <t>Módulo de sincronización</t>
  </si>
  <si>
    <t>RF-11</t>
  </si>
  <si>
    <t>Consultar productores asignados</t>
  </si>
  <si>
    <t>La aplicación móvil deberá permitir al acopiador consultar los productores asignados a su operación.</t>
  </si>
  <si>
    <t>Cronograma 73</t>
  </si>
  <si>
    <t>El acopiador visualiza la lista de productores asignados y puede seleccionar uno durante el recojo.</t>
  </si>
  <si>
    <t>Móvil / Productores</t>
  </si>
  <si>
    <t>RF-01, RF-02</t>
  </si>
  <si>
    <t>Pantalla de Productores móvil</t>
  </si>
  <si>
    <t>RF-12</t>
  </si>
  <si>
    <t>Gestionar ruta del día</t>
  </si>
  <si>
    <t>La aplicación móvil deberá mostrar al acopiador la ruta operativa del día.</t>
  </si>
  <si>
    <t>Cronograma 74</t>
  </si>
  <si>
    <t>La app muestra la ruta vigente y los elementos necesarios para ejecutar el recojo planificado.</t>
  </si>
  <si>
    <t>Móvil / Rutas</t>
  </si>
  <si>
    <t>Pantalla de Ruta del día</t>
  </si>
  <si>
    <t>RF-13</t>
  </si>
  <si>
    <t>Capturar evidencia por recojo</t>
  </si>
  <si>
    <t>La aplicación móvil deberá permitir asociar evidencia al recojo, como firma digital o fotografía.</t>
  </si>
  <si>
    <t>Cronograma 99</t>
  </si>
  <si>
    <t>La evidencia seleccionada queda vinculada al recojo correspondiente y puede recuperarse con él.</t>
  </si>
  <si>
    <t>Móvil / Evidencias</t>
  </si>
  <si>
    <t>Módulo de evidencias</t>
  </si>
  <si>
    <t>Generar reportes y dashboard</t>
  </si>
  <si>
    <t>El sistema deberá generar reportes y un dashboard de producción total, por ruta, por productor y por periodo.</t>
  </si>
  <si>
    <t>Administrador / Gerencia</t>
  </si>
  <si>
    <t>F · G.8 · Cronograma 107,111</t>
  </si>
  <si>
    <t>Los totales del dashboard y reportes coinciden con los recojos almacenados y pueden filtrarse por los criterios definidos.</t>
  </si>
  <si>
    <t>Reportes / Dashboard</t>
  </si>
  <si>
    <t>RF-05, RF-07</t>
  </si>
  <si>
    <t>Sprint 6</t>
  </si>
  <si>
    <t>API de Reportes · Dashboard Web</t>
  </si>
  <si>
    <t>RF-15</t>
  </si>
  <si>
    <t>Administrar usuarios y roles</t>
  </si>
  <si>
    <t>El sistema deberá permitir administrar usuarios y roles de acceso desde el panel web.</t>
  </si>
  <si>
    <t>G.9 · Cronograma 112</t>
  </si>
  <si>
    <t>Un administrador puede crear/actualizar usuarios y asignar roles; los permisos se aplican al iniciar sesión.</t>
  </si>
  <si>
    <t>Usuarios / Roles</t>
  </si>
  <si>
    <t>RF-16</t>
  </si>
  <si>
    <t>Pantalla de Usuarios y Roles</t>
  </si>
  <si>
    <t>Autenticar usuarios con JWT</t>
  </si>
  <si>
    <t>El backend deberá autenticar usuarios y controlar el acceso mediante Spring Security y JWT.</t>
  </si>
  <si>
    <t>Todos</t>
  </si>
  <si>
    <t>D · Cronograma 53,59</t>
  </si>
  <si>
    <t>Un usuario válido obtiene acceso autenticado y un usuario sin credenciales válidas no accede a funciones protegidas.</t>
  </si>
  <si>
    <t>Sprint 3</t>
  </si>
  <si>
    <t>Módulo de seguridad base · API de autenticación</t>
  </si>
  <si>
    <t>RF-17</t>
  </si>
  <si>
    <t>Consultar historial personal de recojos</t>
  </si>
  <si>
    <t>La aplicación móvil deberá permitir al acopiador consultar su historial de recojos y reportes personales.</t>
  </si>
  <si>
    <t>Cronograma 117</t>
  </si>
  <si>
    <t>El acopiador puede revisar sus recojos registrados y el historial mostrado corresponde a sus datos.</t>
  </si>
  <si>
    <t>Móvil / Historial</t>
  </si>
  <si>
    <t>Pantalla de Historial</t>
  </si>
  <si>
    <t>RF-18</t>
  </si>
  <si>
    <t>Recibir notificaciones</t>
  </si>
  <si>
    <t>El sistema deberá soportar notificaciones definidas en el cronograma mediante email y/o push en la aplicación móvil.</t>
  </si>
  <si>
    <t>Cronograma 110,113</t>
  </si>
  <si>
    <t>Una notificación configurada puede generarse y recibirse por el canal previsto sin afectar el resto de módulos.</t>
  </si>
  <si>
    <t>Notificaciones</t>
  </si>
  <si>
    <t>API de Notificaciones · Notificaciones móvil</t>
  </si>
  <si>
    <t>RNF-01</t>
  </si>
  <si>
    <t>Interfaz intuitiva y responsive</t>
  </si>
  <si>
    <t>La plataforma web deberá ser responsive y mantener una interfaz clara e intuitiva para usuarios con distintos niveles de alfabetización digital.</t>
  </si>
  <si>
    <t>No funcional</t>
  </si>
  <si>
    <t>Usabilidad</t>
  </si>
  <si>
    <t>F - Calidad</t>
  </si>
  <si>
    <t>Las funciones principales son legibles y utilizables en resoluciones comunes sin pérdida de controles esenciales.</t>
  </si>
  <si>
    <t>Transversal</t>
  </si>
  <si>
    <t>Transversal · Sprint 1–8 + Entrega</t>
  </si>
  <si>
    <t>Validación transversal durante diseño, desarrollo, pruebas y entrega</t>
  </si>
  <si>
    <t>RNF-02</t>
  </si>
  <si>
    <t>Seguridad de la información</t>
  </si>
  <si>
    <t>La solución deberá usar HTTPS, autenticación JWT y controles de autorización para proteger datos y accesos.</t>
  </si>
  <si>
    <t>F - Calidad · Cronograma 53,59</t>
  </si>
  <si>
    <t>Las funciones protegidas requieren autenticación y las comunicaciones de producción utilizan HTTPS.</t>
  </si>
  <si>
    <t>RNF-03</t>
  </si>
  <si>
    <t>Compatibilidad Android</t>
  </si>
  <si>
    <t>La aplicación móvil deberá ser compatible con dispositivos Android de gama media y baja y distribuirse mediante APK.</t>
  </si>
  <si>
    <t>Compatibilidad</t>
  </si>
  <si>
    <t>G - Exclusiones/Restricciones · Cronograma 158</t>
  </si>
  <si>
    <t>La APK se instala y permite ejecutar los flujos principales en dispositivos Android compatibles.</t>
  </si>
  <si>
    <t>Sprint 8</t>
  </si>
  <si>
    <t>App móvil distribuida</t>
  </si>
  <si>
    <t>RNF-04</t>
  </si>
  <si>
    <t>Compatibilidad web</t>
  </si>
  <si>
    <t>La plataforma web deberá funcionar en navegadores modernos Chrome, Firefox y Edge.</t>
  </si>
  <si>
    <t>G - Restricciones 3</t>
  </si>
  <si>
    <t>Las funciones críticas se ejecutan correctamente en los navegadores indicados.</t>
  </si>
  <si>
    <t>Web</t>
  </si>
  <si>
    <t>RNF-05</t>
  </si>
  <si>
    <t>Rendimiento y estabilidad</t>
  </si>
  <si>
    <t>La plataforma deberá ser estable, rápida y mantener un comportamiento consistente durante las operaciones habituales.</t>
  </si>
  <si>
    <t>Rendimiento</t>
  </si>
  <si>
    <t>Los flujos habituales se completan sin bloqueos y las pruebas no funcionales no detectan fallos críticos de rendimiento.</t>
  </si>
  <si>
    <t>Sprint 7</t>
  </si>
  <si>
    <t>RNF-06</t>
  </si>
  <si>
    <t>Persistencia de datos</t>
  </si>
  <si>
    <t>El backend deberá usar PostgreSQL y la aplicación móvil SQLite para almacenamiento local offline.</t>
  </si>
  <si>
    <t>Datos</t>
  </si>
  <si>
    <t>Equipo de desarrollo</t>
  </si>
  <si>
    <t>B/D · Cronograma 48,95</t>
  </si>
  <si>
    <t>Los datos del servidor se almacenan en PostgreSQL y los registros offline en SQLite hasta su sincronización.</t>
  </si>
  <si>
    <t>Sprint 3 / Sprint 5</t>
  </si>
  <si>
    <t>BD PostgreSQL creada · Módulo de sincronización</t>
  </si>
  <si>
    <t>RNF-07</t>
  </si>
  <si>
    <t>Disponibilidad en producción</t>
  </si>
  <si>
    <t>El sistema deberá desplegarse en un servidor de producción con dominio y certificado SSL, buscando funcionamiento continuo.</t>
  </si>
  <si>
    <t>Disponibilidad</t>
  </si>
  <si>
    <t>D.2 · Cronograma 153-155</t>
  </si>
  <si>
    <t>El backend y la web quedan accesibles en producción y superan las pruebas de humo posteriores al despliegue.</t>
  </si>
  <si>
    <t>Infraestructura</t>
  </si>
  <si>
    <t>Entorno de producción listo · Backend en producción · Web en producción</t>
  </si>
  <si>
    <t>RNF-08</t>
  </si>
  <si>
    <t>Integridad y respaldo</t>
  </si>
  <si>
    <t>La implementación deberá contemplar respaldo de datos y validación de la carga/migración inicial para reducir el riesgo de pérdida de información.</t>
  </si>
  <si>
    <t>Confiabilidad</t>
  </si>
  <si>
    <t>Administrador / Equipo</t>
  </si>
  <si>
    <t>R9 · Cronograma 161,170</t>
  </si>
  <si>
    <t>La carga inicial se valida y existe un procedimiento de respaldo/recuperación documentado para producción.</t>
  </si>
  <si>
    <t>Datos / Respaldo</t>
  </si>
  <si>
    <t>Datos maestros cargados · Bitácora de soporte</t>
  </si>
  <si>
    <t>RNF-09</t>
  </si>
  <si>
    <t>Mantenibilidad y documentación</t>
  </si>
  <si>
    <t>La solución deberá contar con documentación técnica y de usuario suficiente para facilitar soporte, despliegue y mantenimiento.</t>
  </si>
  <si>
    <t>Mantenibilidad</t>
  </si>
  <si>
    <t>G.12 · Cronograma 79,144,145,178</t>
  </si>
  <si>
    <t>Se entregan manual de usuario, manual técnico y documentación de API/código prevista por el cronograma.</t>
  </si>
  <si>
    <t>Documentación</t>
  </si>
  <si>
    <t>Sprint 4 / Sprint 7 / Cierre</t>
  </si>
  <si>
    <t>Documentación Swagger · Manual de usuario · Manual técnico · Repositorio + documentación entregada</t>
  </si>
  <si>
    <t>CASOS DE PRUEBA - HUATA LÁCTEOS</t>
  </si>
  <si>
    <t>Casos mínimos de validación derivados de los requerimientos corregidos.</t>
  </si>
  <si>
    <t>Requisito</t>
  </si>
  <si>
    <t>Escenario</t>
  </si>
  <si>
    <t>Datos / precondición</t>
  </si>
  <si>
    <t>Resultado esperado</t>
  </si>
  <si>
    <t>Resultado obtenido</t>
  </si>
  <si>
    <t>Sprint</t>
  </si>
  <si>
    <t>CP-01</t>
  </si>
  <si>
    <t>Validar: gestionar productores.</t>
  </si>
  <si>
    <t>Datos válidos del flujo y usuario con permisos correspondientes.</t>
  </si>
  <si>
    <t>Pendiente</t>
  </si>
  <si>
    <t>CP-02</t>
  </si>
  <si>
    <t>Validar: gestionar acopiadores.</t>
  </si>
  <si>
    <t>CP-03</t>
  </si>
  <si>
    <t>Validar: gestionar rutas.</t>
  </si>
  <si>
    <t>CP-04</t>
  </si>
  <si>
    <t>Validar: gestionar centros de acopio.</t>
  </si>
  <si>
    <t>CP-05</t>
  </si>
  <si>
    <t>Validar: registrar recojo de leche.</t>
  </si>
  <si>
    <t>CP-06</t>
  </si>
  <si>
    <t>Validar: registrar control de calidad.</t>
  </si>
  <si>
    <t>CP-07</t>
  </si>
  <si>
    <t>Validar: calcular liquidación.</t>
  </si>
  <si>
    <t>CP-08</t>
  </si>
  <si>
    <t>Validar: consultar liquidaciones por productor y fecha.</t>
  </si>
  <si>
    <t>CP-09</t>
  </si>
  <si>
    <t>Validar: registrar recojo sin conexión.</t>
  </si>
  <si>
    <t>CP-10</t>
  </si>
  <si>
    <t>Validar: sincronizar datos offline.</t>
  </si>
  <si>
    <t>CP-11</t>
  </si>
  <si>
    <t>Validar: consultar productores asignados.</t>
  </si>
  <si>
    <t>CP-12</t>
  </si>
  <si>
    <t>Validar: gestionar ruta del día.</t>
  </si>
  <si>
    <t>CP-13</t>
  </si>
  <si>
    <t>Validar: capturar evidencia por recojo.</t>
  </si>
  <si>
    <t>CP-14</t>
  </si>
  <si>
    <t>Validar: generar reportes y dashboard.</t>
  </si>
  <si>
    <t>CP-15</t>
  </si>
  <si>
    <t>Validar: administrar usuarios y roles.</t>
  </si>
  <si>
    <t>CP-16</t>
  </si>
  <si>
    <t>Validar: autenticar usuarios con jwt.</t>
  </si>
  <si>
    <t>CP-17</t>
  </si>
  <si>
    <t>Validar: consultar historial personal de recojos.</t>
  </si>
  <si>
    <t>CP-18</t>
  </si>
  <si>
    <t>Validar: recibir notificaciones.</t>
  </si>
  <si>
    <t>CP-19</t>
  </si>
  <si>
    <t>Verificar requisito no funcional: interfaz intuitiva y responsive.</t>
  </si>
  <si>
    <t>Ambiente de prueba configurado y datos representativos.</t>
  </si>
  <si>
    <t>CP-20</t>
  </si>
  <si>
    <t>Verificar requisito no funcional: seguridad de la información.</t>
  </si>
  <si>
    <t>Sprint 3 / 8</t>
  </si>
  <si>
    <t>CP-21</t>
  </si>
  <si>
    <t>Verificar requisito no funcional: compatibilidad android.</t>
  </si>
  <si>
    <t>CP-22</t>
  </si>
  <si>
    <t>Verificar requisito no funcional: compatibilidad web.</t>
  </si>
  <si>
    <t>CP-23</t>
  </si>
  <si>
    <t>Verificar requisito no funcional: rendimiento y estabilidad.</t>
  </si>
  <si>
    <t>CP-24</t>
  </si>
  <si>
    <t>Verificar requisito no funcional: persistencia de datos.</t>
  </si>
  <si>
    <t>Sprint 3 / 5</t>
  </si>
  <si>
    <t>CP-25</t>
  </si>
  <si>
    <t>Verificar requisito no funcional: disponibilidad en producción.</t>
  </si>
  <si>
    <t>CP-26</t>
  </si>
  <si>
    <t>Verificar requisito no funcional: integridad y respaldo.</t>
  </si>
  <si>
    <t>CP-27</t>
  </si>
  <si>
    <t>Verificar requisito no funcional: mantenibilidad y documentación.</t>
  </si>
  <si>
    <t>Sprint 4 / 7 / Cierre</t>
  </si>
  <si>
    <t>MATRIZ DE TRAZABILIDAD - HUATA LÁCTEOS</t>
  </si>
  <si>
    <t>Relación requisito -&gt; fuente -&gt; cronograma -&gt; prueba -&gt; componente.</t>
  </si>
  <si>
    <t>ID requisito</t>
  </si>
  <si>
    <t>Fuente Charter</t>
  </si>
  <si>
    <t>IDs Cronograma_2026</t>
  </si>
  <si>
    <t>Caso de prueba</t>
  </si>
  <si>
    <t>Entregable / evidencia</t>
  </si>
  <si>
    <t>Trazabilidad</t>
  </si>
  <si>
    <t>Sí</t>
  </si>
  <si>
    <t>68,71</t>
  </si>
  <si>
    <t>Prueba funcional / evidencia del módulo</t>
  </si>
  <si>
    <t>Completa</t>
  </si>
  <si>
    <t>69</t>
  </si>
  <si>
    <t>69,72,74</t>
  </si>
  <si>
    <t>70,72</t>
  </si>
  <si>
    <t>87,93,94</t>
  </si>
  <si>
    <t>91</t>
  </si>
  <si>
    <t>92</t>
  </si>
  <si>
    <t>No</t>
  </si>
  <si>
    <t>88</t>
  </si>
  <si>
    <t>94</t>
  </si>
  <si>
    <t>95</t>
  </si>
  <si>
    <t>73</t>
  </si>
  <si>
    <t>74</t>
  </si>
  <si>
    <t>99</t>
  </si>
  <si>
    <t>107,111</t>
  </si>
  <si>
    <t>112</t>
  </si>
  <si>
    <t>53,59</t>
  </si>
  <si>
    <t>117</t>
  </si>
  <si>
    <t>110,113</t>
  </si>
  <si>
    <t>Prueba no funcional / documentación</t>
  </si>
  <si>
    <t>158</t>
  </si>
  <si>
    <t>48,95</t>
  </si>
  <si>
    <t>153-155</t>
  </si>
  <si>
    <t>161,170</t>
  </si>
  <si>
    <t>79,144,145,178</t>
  </si>
  <si>
    <t>CRONOGRAMA OFICIAL DEL PROYECTO · HUATA LÁCTEOS</t>
  </si>
  <si>
    <t>Fuente: Cronograma_2026-2(2).xlsx · Sprint 1–8 + Cierre · 19/08/2026 al 15/10/2026 · IDs usados para vincular los requerimientos.</t>
  </si>
  <si>
    <t>Nivel de esquema</t>
  </si>
  <si>
    <t>Épica</t>
  </si>
  <si>
    <t>Historia de Usuario</t>
  </si>
  <si>
    <t>Nombre de tarea</t>
  </si>
  <si>
    <t>Duración</t>
  </si>
  <si>
    <t>Comienzo</t>
  </si>
  <si>
    <t>Fin</t>
  </si>
  <si>
    <t>Predecesoras</t>
  </si>
  <si>
    <t>Nombres de los recursos</t>
  </si>
  <si>
    <t>Entregable / Nota</t>
  </si>
  <si>
    <t>Sprint 1</t>
  </si>
  <si>
    <t>Periodo / time-box Scrum</t>
  </si>
  <si>
    <t>Gestión del proyecto</t>
  </si>
  <si>
    <t>Agrupa historias relacionadas</t>
  </si>
  <si>
    <t>Actividad de gestión</t>
  </si>
  <si>
    <t>Historia: Actividad de gestión</t>
  </si>
  <si>
    <t>Funcionalidad / resultado esperado</t>
  </si>
  <si>
    <t>Kick off del proyecto y conformación del equipo</t>
  </si>
  <si>
    <t>Jefe de Proyecto</t>
  </si>
  <si>
    <t>Acta de inicio</t>
  </si>
  <si>
    <t>Gestión y definición del producto</t>
  </si>
  <si>
    <t>Gestión del proyecto y requisitos</t>
  </si>
  <si>
    <t>Historia: Gestión del proyecto y requisitos</t>
  </si>
  <si>
    <t>Elaboración del Project Charter</t>
  </si>
  <si>
    <t>Project Charter v1</t>
  </si>
  <si>
    <t>Definición de objetivos, alcance y stakeholders</t>
  </si>
  <si>
    <t>Incluido en Charter</t>
  </si>
  <si>
    <t>Elaboración de cronograma preliminar en MS Project</t>
  </si>
  <si>
    <t>Cronograma v1</t>
  </si>
  <si>
    <t>Levantamiento de información en campo (Huata) - entrevistas a acopiadores y productores</t>
  </si>
  <si>
    <t>8</t>
  </si>
  <si>
    <t>Analista Funcional</t>
  </si>
  <si>
    <t>Actas de entrevista</t>
  </si>
  <si>
    <t>Identificación de actores del sistema (Productor, Acopiador, Administrador, Planta, Chofer/Ruta)</t>
  </si>
  <si>
    <t>10</t>
  </si>
  <si>
    <t>Matriz de actores</t>
  </si>
  <si>
    <t>Elaboración de Requerimientos Funcionales (RF)</t>
  </si>
  <si>
    <t>11</t>
  </si>
  <si>
    <t>Documento RF</t>
  </si>
  <si>
    <t>Elaboración de Requerimientos No Funcionales (RNF)</t>
  </si>
  <si>
    <t>Documento RNF</t>
  </si>
  <si>
    <t>Elaboración de Historias de Usuario / Casos de Uso (Product Backlog)</t>
  </si>
  <si>
    <t>12,13</t>
  </si>
  <si>
    <t>Analista Funcional / Scrum Master</t>
  </si>
  <si>
    <t>Product Backlog inicial</t>
  </si>
  <si>
    <t>Priorización del Backlog (MoSCoW / valor de negocio)</t>
  </si>
  <si>
    <t>14</t>
  </si>
  <si>
    <t>Product Owner</t>
  </si>
  <si>
    <t>Backlog priorizado</t>
  </si>
  <si>
    <t>Elaboración de Plan de Gestión del Proyecto (alcance, riesgos, comunicación)</t>
  </si>
  <si>
    <t>9</t>
  </si>
  <si>
    <t>Plan de gestión</t>
  </si>
  <si>
    <t>Revisión y consolidación de documentos de la Sprint 1</t>
  </si>
  <si>
    <t>15,16</t>
  </si>
  <si>
    <t>Equipo completo</t>
  </si>
  <si>
    <t>Documentos consolidados</t>
  </si>
  <si>
    <t>Sprint Review + Retrospectiva Sprint 1</t>
  </si>
  <si>
    <t>17</t>
  </si>
  <si>
    <t>Scrum Master</t>
  </si>
  <si>
    <t>Acta de Sprint Review</t>
  </si>
  <si>
    <t>Sprint 2</t>
  </si>
  <si>
    <t>Sprint Planning Sprint 2</t>
  </si>
  <si>
    <t>18</t>
  </si>
  <si>
    <t>Sprint Backlog 2</t>
  </si>
  <si>
    <t>Presentación de requerimientos (RF/RNF) al cliente</t>
  </si>
  <si>
    <t>22</t>
  </si>
  <si>
    <t>Reunión de validación</t>
  </si>
  <si>
    <t>Levantamiento de observaciones y ajustes a requerimientos</t>
  </si>
  <si>
    <t>23</t>
  </si>
  <si>
    <t>RF/RNF v2</t>
  </si>
  <si>
    <t>Firma de Acta de Aprobación de Requerimientos [NOTA: reubicado al cierre de Sprint 2; ajustar si el '23' se refería a otra fecha]</t>
  </si>
  <si>
    <t>24</t>
  </si>
  <si>
    <t>Jefe de Proyecto / Cliente</t>
  </si>
  <si>
    <t>Acta de aprobación de requerimientos</t>
  </si>
  <si>
    <t>Ajustes de prototipos según observaciones</t>
  </si>
  <si>
    <t>33</t>
  </si>
  <si>
    <t>Diseñador UX/UI</t>
  </si>
  <si>
    <t>Prototipos v2</t>
  </si>
  <si>
    <t>Sprint Review + Retrospectiva Sprint 2</t>
  </si>
  <si>
    <t>34</t>
  </si>
  <si>
    <t>Experiencia de usuario (UX/UI)</t>
  </si>
  <si>
    <t>Diseño y validación de interfaces</t>
  </si>
  <si>
    <t>Historia: Diseño y validación de interfaces</t>
  </si>
  <si>
    <t>Diseño de wireframes de baja fidelidad (Web y Móvil)</t>
  </si>
  <si>
    <t>Wireframes</t>
  </si>
  <si>
    <t>Definición de guía de estilos / Design System (colores, tipografía, componentes)</t>
  </si>
  <si>
    <t>26</t>
  </si>
  <si>
    <t>Design System</t>
  </si>
  <si>
    <t>Diseño de prototipo de alta fidelidad en Figma - Web</t>
  </si>
  <si>
    <t>27</t>
  </si>
  <si>
    <t>Prototipo Figma Web</t>
  </si>
  <si>
    <t>Diseño de prototipo de alta fidelidad en Figma - Móvil (App Flutter)</t>
  </si>
  <si>
    <t>Prototipo Figma Móvil</t>
  </si>
  <si>
    <t>Maquetación del prototipo navegable en HTML/CSS (Web)</t>
  </si>
  <si>
    <t>30</t>
  </si>
  <si>
    <t>Desarrollador Front-end</t>
  </si>
  <si>
    <t>Prototipo HTML</t>
  </si>
  <si>
    <t>Revisión de prototipos (Figma + HTML) con el cliente</t>
  </si>
  <si>
    <t>31,32</t>
  </si>
  <si>
    <t>Product Owner / Cliente</t>
  </si>
  <si>
    <t>Feedback de prototipos</t>
  </si>
  <si>
    <t>Sprint Planning Sprint 3</t>
  </si>
  <si>
    <t>35</t>
  </si>
  <si>
    <t>Sprint Backlog 3</t>
  </si>
  <si>
    <t>Sprint Review + Retrospectiva Sprint 3</t>
  </si>
  <si>
    <t>59</t>
  </si>
  <si>
    <t>Firma / Aprobación final de prototipos (Figma + HTML)</t>
  </si>
  <si>
    <t>39</t>
  </si>
  <si>
    <t>Acta de aprobación de prototipos</t>
  </si>
  <si>
    <t>Plataforma y arquitectura técnica</t>
  </si>
  <si>
    <t>Preparación de arquitectura y entornos</t>
  </si>
  <si>
    <t>Historia: Preparación de arquitectura y entornos</t>
  </si>
  <si>
    <t>Diseño de la arquitectura del sistema (cliente-servidor, API REST)</t>
  </si>
  <si>
    <t>Arquitecto de Software</t>
  </si>
  <si>
    <t>Documento de arquitectura</t>
  </si>
  <si>
    <t>Diseño del modelo de datos (Modelo Entidad-Relación)</t>
  </si>
  <si>
    <t>43</t>
  </si>
  <si>
    <t>Modelo E-R</t>
  </si>
  <si>
    <t>Creación de la base de datos en PostgreSQL (esquema inicial)</t>
  </si>
  <si>
    <t>46</t>
  </si>
  <si>
    <t>Desarrollador Backend</t>
  </si>
  <si>
    <t>BD PostgreSQL creada</t>
  </si>
  <si>
    <t>Configuración de repositorio Git y estrategia de ramas (GitFlow)</t>
  </si>
  <si>
    <t>Líder Técnico</t>
  </si>
  <si>
    <t>Repositorio configurado</t>
  </si>
  <si>
    <t>Configuración de entorno backend (Java 21, Spring Boot 3.x, Maven)</t>
  </si>
  <si>
    <t>48</t>
  </si>
  <si>
    <t>Proyecto base Spring Boot</t>
  </si>
  <si>
    <t>Configuración de entorno frontend Angular</t>
  </si>
  <si>
    <t>Proyecto base Angular</t>
  </si>
  <si>
    <t>Configuración de entorno móvil Flutter (SDK, emuladores, estructura del proyecto)</t>
  </si>
  <si>
    <t>Desarrollador Móvil</t>
  </si>
  <si>
    <t>Proyecto base Flutter</t>
  </si>
  <si>
    <t>Configuración de seguridad: autenticación y autorización (Spring Security + JWT)</t>
  </si>
  <si>
    <t>49</t>
  </si>
  <si>
    <t>Módulo de seguridad base</t>
  </si>
  <si>
    <t>Configuración de integración continua (CI) básica</t>
  </si>
  <si>
    <t>Pipeline CI</t>
  </si>
  <si>
    <t>Desarrollo Web: Pantalla de Login (Angular)</t>
  </si>
  <si>
    <t>50,54</t>
  </si>
  <si>
    <t>Pantalla de login web</t>
  </si>
  <si>
    <t>Desarrollo Móvil: Pantalla de Login (Flutter)</t>
  </si>
  <si>
    <t>51,54</t>
  </si>
  <si>
    <t>Pantalla de login móvil</t>
  </si>
  <si>
    <t>Autenticación y usuarios</t>
  </si>
  <si>
    <t>Autenticación e inicio de sesión</t>
  </si>
  <si>
    <t>Historia: Autenticación e inicio de sesión</t>
  </si>
  <si>
    <t>Desarrollo Backend: Módulo de Autenticación (login, roles, JWT)</t>
  </si>
  <si>
    <t>52</t>
  </si>
  <si>
    <t>API de autenticación</t>
  </si>
  <si>
    <t>Pruebas de integración del módulo de autenticación</t>
  </si>
  <si>
    <t>55,56</t>
  </si>
  <si>
    <t>QA Tester</t>
  </si>
  <si>
    <t>Reporte de pruebas</t>
  </si>
  <si>
    <t>Sprint Planning Sprint 4</t>
  </si>
  <si>
    <t>60</t>
  </si>
  <si>
    <t>Sprint Backlog 4</t>
  </si>
  <si>
    <t>Sprint Review + Retrospectiva Sprint 4</t>
  </si>
  <si>
    <t>74,75,76</t>
  </si>
  <si>
    <t>Gestión operativa</t>
  </si>
  <si>
    <t>Gestión de productores, acopiadores, rutas y centros</t>
  </si>
  <si>
    <t>Historia: Gestión de productores, acopiadores, rutas y centros</t>
  </si>
  <si>
    <t>Backend: CRUD de Productores (API REST)</t>
  </si>
  <si>
    <t>64</t>
  </si>
  <si>
    <t>API Productores</t>
  </si>
  <si>
    <t>Backend: CRUD de Acopiadores y Rutas</t>
  </si>
  <si>
    <t>Backend: CRUD de Centros de Acopio</t>
  </si>
  <si>
    <t>API Centros de Acopio</t>
  </si>
  <si>
    <t>Web: Módulo de gestión de Productores (listar, crear, editar, eliminar)</t>
  </si>
  <si>
    <t>65</t>
  </si>
  <si>
    <t>Pantallas de Productores</t>
  </si>
  <si>
    <t>Web: Módulo de gestión de Rutas y Centros de Acopio</t>
  </si>
  <si>
    <t>68,69</t>
  </si>
  <si>
    <t>Pantallas de Rutas</t>
  </si>
  <si>
    <t>Móvil: Módulo de consulta de productores asignados</t>
  </si>
  <si>
    <t>Móvil: Módulo de gestión de ruta del día (acopiador)</t>
  </si>
  <si>
    <t>68</t>
  </si>
  <si>
    <t>Pruebas unitarias backend (JUnit) - módulo Productores/Rutas</t>
  </si>
  <si>
    <t>70,71</t>
  </si>
  <si>
    <t>Reporte de pruebas unitarias</t>
  </si>
  <si>
    <t>Pruebas funcionales módulo Productores (Web y Móvil)</t>
  </si>
  <si>
    <t>72,73</t>
  </si>
  <si>
    <t>Reporte de pruebas funcionales</t>
  </si>
  <si>
    <t>Documentación técnica y de usuario</t>
  </si>
  <si>
    <t>Historia: Documentación técnica y de usuario</t>
  </si>
  <si>
    <t>Documentación técnica de API (Swagger / OpenAPI)</t>
  </si>
  <si>
    <t>Documentación Swagger</t>
  </si>
  <si>
    <t>Sprint Planning Sprint 5</t>
  </si>
  <si>
    <t>79</t>
  </si>
  <si>
    <t>Sprint Backlog 5</t>
  </si>
  <si>
    <t>Sprint Review + Retrospectiva Sprint 5</t>
  </si>
  <si>
    <t>96</t>
  </si>
  <si>
    <t>Backend: API de Registro de Recojo de Leche (cantidad, calidad, fecha, productor)</t>
  </si>
  <si>
    <t>83</t>
  </si>
  <si>
    <t>API Recojo de Leche</t>
  </si>
  <si>
    <t>Web: Módulo de consulta de liquidaciones por productor/fecha</t>
  </si>
  <si>
    <t>Recolección y liquidación de leche</t>
  </si>
  <si>
    <t>Registro de recojos, calidad y liquidaciones</t>
  </si>
  <si>
    <t>Historia: Registro de recojos, calidad y liquidaciones</t>
  </si>
  <si>
    <t>Backend: Registro de parámetros de calidad (densidad, acidez, temperatura, etc.)</t>
  </si>
  <si>
    <t>84</t>
  </si>
  <si>
    <t>Backend: Cálculo de pago / liquidación por litros acopiados</t>
  </si>
  <si>
    <t>Web: Módulo de registro y consulta de recojos de leche</t>
  </si>
  <si>
    <t>Pantallas de Recojo (Web)</t>
  </si>
  <si>
    <t>Móvil: Pantalla de registro de recojo de leche (offline-first)</t>
  </si>
  <si>
    <t>Móvil: Almacenamiento local (SQLite) y sincronización online/offline</t>
  </si>
  <si>
    <t>93</t>
  </si>
  <si>
    <t>Pruebas unitarias e integración del módulo de Recojo (Backend/Web/Móvil)</t>
  </si>
  <si>
    <t>91,92,94,95</t>
  </si>
  <si>
    <t>Móvil: Captura de evidencia (firma digital / foto) por recojo</t>
  </si>
  <si>
    <t>Sprint Planning Sprint 6</t>
  </si>
  <si>
    <t>Sprint Backlog 6</t>
  </si>
  <si>
    <t>Sprint Review + Retrospectiva Sprint 6</t>
  </si>
  <si>
    <t>120</t>
  </si>
  <si>
    <t>Backend: Módulo de reportes gerenciales (producción total, por ruta, por productor)</t>
  </si>
  <si>
    <t>103</t>
  </si>
  <si>
    <t>API de Reportes</t>
  </si>
  <si>
    <t>Reportes y administración</t>
  </si>
  <si>
    <t>Reportes, notificaciones y administración</t>
  </si>
  <si>
    <t>Historia: Reportes, notificaciones y administración</t>
  </si>
  <si>
    <t>Backend: Módulo de notificaciones (email / push)</t>
  </si>
  <si>
    <t>API de Notificaciones</t>
  </si>
  <si>
    <t>Web: Dashboard de reportes con gráficos (producción, tendencias)</t>
  </si>
  <si>
    <t>104</t>
  </si>
  <si>
    <t>Dashboard Web</t>
  </si>
  <si>
    <t>Web: Módulo de administración de usuarios y roles</t>
  </si>
  <si>
    <t>54</t>
  </si>
  <si>
    <t>Móvil: Notificaciones push (Firebase Cloud Messaging)</t>
  </si>
  <si>
    <t>107</t>
  </si>
  <si>
    <t>Notificaciones móvil</t>
  </si>
  <si>
    <t>Pruebas unitarias módulo de Reportes y Notificaciones</t>
  </si>
  <si>
    <t>110,112</t>
  </si>
  <si>
    <t>Móvil: Pantalla de historial de recojos y reportes personales</t>
  </si>
  <si>
    <t>Ajustes de UI/UX según pruebas internas (Web y Móvil)</t>
  </si>
  <si>
    <t>110,111,112,113</t>
  </si>
  <si>
    <t>Ajustes aplicados</t>
  </si>
  <si>
    <t>Congelamiento de funcionalidades (Feature Freeze)</t>
  </si>
  <si>
    <t>114,117</t>
  </si>
  <si>
    <t>Alcance funcional cerrado</t>
  </si>
  <si>
    <t>Sprint Planning Sprint 7 (Sprint de Estabilización / QA)</t>
  </si>
  <si>
    <t>123</t>
  </si>
  <si>
    <t>Sprint Backlog 7</t>
  </si>
  <si>
    <t>Registro y priorización de incidencias/bugs detectados</t>
  </si>
  <si>
    <t>135</t>
  </si>
  <si>
    <t>Backlog de bugs</t>
  </si>
  <si>
    <t>Sprint Review + Retrospectiva Sprint 7</t>
  </si>
  <si>
    <t>138,141,144</t>
  </si>
  <si>
    <t>Calidad y estabilización</t>
  </si>
  <si>
    <t>Pruebas, aceptación y corrección de incidencias</t>
  </si>
  <si>
    <t>Historia: Pruebas, aceptación y corrección de incidencias</t>
  </si>
  <si>
    <t>Elaboración del Plan de Pruebas y Casos de Prueba (basados en RF)</t>
  </si>
  <si>
    <t>127</t>
  </si>
  <si>
    <t>Plan de pruebas</t>
  </si>
  <si>
    <t>Pruebas de integración Backend - Web (end to end)</t>
  </si>
  <si>
    <t>128</t>
  </si>
  <si>
    <t>Reporte de integración Web</t>
  </si>
  <si>
    <t>Pruebas de integración Backend - Móvil (end to end, incluye sync offline)</t>
  </si>
  <si>
    <t>Reporte de integración Móvil</t>
  </si>
  <si>
    <t>Pruebas funcionales completas (todos los módulos)</t>
  </si>
  <si>
    <t>129,132</t>
  </si>
  <si>
    <t>Pruebas de aceptación de usuario (UAT) con usuarios reales en Huata</t>
  </si>
  <si>
    <t>133,134</t>
  </si>
  <si>
    <t>Product Owner / Usuarios finales</t>
  </si>
  <si>
    <t>Acta de UAT</t>
  </si>
  <si>
    <t>Corrección de bugs críticos y altos</t>
  </si>
  <si>
    <t>136</t>
  </si>
  <si>
    <t>Equipo de Desarrollo</t>
  </si>
  <si>
    <t>Bugs corregidos</t>
  </si>
  <si>
    <t>Pruebas de regresión</t>
  </si>
  <si>
    <t>137</t>
  </si>
  <si>
    <t>Reporte de regresión</t>
  </si>
  <si>
    <t>Pruebas no funcionales (rendimiento, seguridad, usabilidad)</t>
  </si>
  <si>
    <t>Reporte de pruebas no funcionales</t>
  </si>
  <si>
    <t>Elaboración del Manual de Usuario (Web y Móvil)</t>
  </si>
  <si>
    <t>133</t>
  </si>
  <si>
    <t>Manual de usuario</t>
  </si>
  <si>
    <t>Elaboración del Manual Técnico / Documento de instalación</t>
  </si>
  <si>
    <t>Manual técnico</t>
  </si>
  <si>
    <t>Sprint Planning Sprint 8 (Despliegue y Capacitación)</t>
  </si>
  <si>
    <t>145</t>
  </si>
  <si>
    <t>Sprint Backlog 8</t>
  </si>
  <si>
    <t>Sprint Review + Retrospectiva Sprint 8</t>
  </si>
  <si>
    <t>169</t>
  </si>
  <si>
    <t>Puesta en producción</t>
  </si>
  <si>
    <t>Despliegue y validación en producción</t>
  </si>
  <si>
    <t>Historia: Despliegue y validación en producción</t>
  </si>
  <si>
    <t>Preparación del entorno de producción (servidor, dominio, certificado SSL)</t>
  </si>
  <si>
    <t>149</t>
  </si>
  <si>
    <t>Entorno de producción listo</t>
  </si>
  <si>
    <t>Despliegue del Backend en producción</t>
  </si>
  <si>
    <t>150,138</t>
  </si>
  <si>
    <t>Backend en producción</t>
  </si>
  <si>
    <t>Despliegue del Frontend Web en producción</t>
  </si>
  <si>
    <t>153</t>
  </si>
  <si>
    <t>Web en producción</t>
  </si>
  <si>
    <t>Generación y distribución de la app móvil (APK / paquete interno)</t>
  </si>
  <si>
    <t>Migración y carga inicial de datos maestros (productores, rutas, centros de acopio)</t>
  </si>
  <si>
    <t>Datos maestros cargados</t>
  </si>
  <si>
    <t>Capacitación a acopiadores / usuarios finales (App Móvil) en Huata</t>
  </si>
  <si>
    <t>161,162</t>
  </si>
  <si>
    <t>Acta de capacitación Móvil</t>
  </si>
  <si>
    <t>Pruebas de humo (smoke testing) en producción</t>
  </si>
  <si>
    <t>154,155,158</t>
  </si>
  <si>
    <t>Reporte de smoke testing</t>
  </si>
  <si>
    <t>Adopción y soporte</t>
  </si>
  <si>
    <t>Capacitación y soporte inicial</t>
  </si>
  <si>
    <t>Historia: Capacitación y soporte inicial</t>
  </si>
  <si>
    <t>Elaboración de material de capacitación (guías rápidas, videos)</t>
  </si>
  <si>
    <t>141</t>
  </si>
  <si>
    <t>Material de capacitación</t>
  </si>
  <si>
    <t>Capacitación a administradores del sistema (módulo Web)</t>
  </si>
  <si>
    <t>Acta de capacitación Web</t>
  </si>
  <si>
    <t>Soporte post-implementación (hipercare) y monitoreo inicial</t>
  </si>
  <si>
    <t>165,168</t>
  </si>
  <si>
    <t>Bitácora de soporte</t>
  </si>
  <si>
    <t>Cierre del proyecto</t>
  </si>
  <si>
    <t>Cierre y conformidad</t>
  </si>
  <si>
    <t>Historia: Cierre y conformidad</t>
  </si>
  <si>
    <t>Elaboración del Acta de Cierre del Proyecto</t>
  </si>
  <si>
    <t>170</t>
  </si>
  <si>
    <t>Acta de cierre</t>
  </si>
  <si>
    <t>Firma de conformidad final del cliente</t>
  </si>
  <si>
    <t>181</t>
  </si>
  <si>
    <t>Cliente</t>
  </si>
  <si>
    <t>Acta de conformidad final</t>
  </si>
  <si>
    <t>Entrega final de documentación (código fuente, manuales, actas)</t>
  </si>
  <si>
    <t>174</t>
  </si>
  <si>
    <t>Repositorio + documentación entregada</t>
  </si>
  <si>
    <t>Reunión de cierre con stakeholders y lecciones aprendidas</t>
  </si>
  <si>
    <t>178</t>
  </si>
  <si>
    <t>Acta de lecciones aprendidas</t>
  </si>
  <si>
    <t>CAMBIOS REALIZADOS SOBRE HUATA_CRONOGRAMA_Y_REQUERIMIENTOS</t>
  </si>
  <si>
    <t>Correcciones aplicadas para dejar el archivo consistente con ProjectCharter2026 y Cronograma_2026.</t>
  </si>
  <si>
    <t>#</t>
  </si>
  <si>
    <t>Elemento anterior</t>
  </si>
  <si>
    <t>Acción</t>
  </si>
  <si>
    <t>Motivo</t>
  </si>
  <si>
    <t>Fuente que manda</t>
  </si>
  <si>
    <t>Resultado en este archivo</t>
  </si>
  <si>
    <t>Cronograma de 3 meses / 12 semanas</t>
  </si>
  <si>
    <t>Reemplazado</t>
  </si>
  <si>
    <t>No coincide con el Cronograma_2026 de 8 sprints.</t>
  </si>
  <si>
    <t>8 sprints (19/08-13/10) + entrega 14/10 + cierre 15/10.</t>
  </si>
  <si>
    <t>Duración expresada como 57 días hábiles</t>
  </si>
  <si>
    <t>Corregido conceptualmente</t>
  </si>
  <si>
    <t>El Cronograma_2026 usa días corridos.</t>
  </si>
  <si>
    <t>Cronograma_2026 - Notas y calendario</t>
  </si>
  <si>
    <t>Se documenta calendario de 7 días y 57 días hasta la entrega del 14/10.</t>
  </si>
  <si>
    <t>Precio S/ 1.75 y S/ 1.30</t>
  </si>
  <si>
    <t>Retirado</t>
  </si>
  <si>
    <t>El Charter indica que los precios de leche no serán incluidos en esta versión.</t>
  </si>
  <si>
    <t>La liquidación queda definida por cantidad y calidad, sin fijar precios.</t>
  </si>
  <si>
    <t>Pagos semanales cada viernes</t>
  </si>
  <si>
    <t>No aparece en el Charter ni en el Cronograma_2026.</t>
  </si>
  <si>
    <t>Project Charter + Cronograma_2026</t>
  </si>
  <si>
    <t>Se conserva el módulo de liquidaciones, no una regla de viernes.</t>
  </si>
  <si>
    <t>Módulo de producción/venta de quesos</t>
  </si>
  <si>
    <t>No está en los entregables del Charter ni en las actividades del Cronograma_2026.</t>
  </si>
  <si>
    <t>Fuera de la matriz principal.</t>
  </si>
  <si>
    <t>Resumen por nueve zonas específicas</t>
  </si>
  <si>
    <t>El Charter pide reportes por ruta, productor y periodo, no una lista fija de zonas.</t>
  </si>
  <si>
    <t>Project Charter F/G.8</t>
  </si>
  <si>
    <t>Reportes por ruta/productor/periodo.</t>
  </si>
  <si>
    <t>Importar/exportar Excel como módulo funcional</t>
  </si>
  <si>
    <t>No figura en el Charter; el Cronograma solo contempla migración/carga inicial de datos maestros.</t>
  </si>
  <si>
    <t>Project Charter + Cronograma ID 161</t>
  </si>
  <si>
    <t>Se mantiene migración/carga inicial y respaldo.</t>
  </si>
  <si>
    <t>Término único 14/10 vs actividades 15/10</t>
  </si>
  <si>
    <t>Reconciliado</t>
  </si>
  <si>
    <t>Las fuentes difieren en el cierre.</t>
  </si>
  <si>
    <t>Project Charter F/J + Cronograma Cierre</t>
  </si>
  <si>
    <t>Entrega/término de implementación 14/10; cierre administrativo 15/10.</t>
  </si>
  <si>
    <t>Término 'Proveedor' como actor principal</t>
  </si>
  <si>
    <t>Normalizado</t>
  </si>
  <si>
    <t>El Charter y el Cronograma usan principalmente 'Productor'.</t>
  </si>
  <si>
    <t>Se utiliza 'Productor' como término principal.</t>
  </si>
  <si>
    <t>Tercer mes dedicado a mantenimiento</t>
  </si>
  <si>
    <t>Retirado del cronograma base</t>
  </si>
  <si>
    <t>No existe en el Cronograma_2026.</t>
  </si>
  <si>
    <t>Mantenimiento queda como obligación/documentación y soporte post-implementación del Charter.</t>
  </si>
  <si>
    <t>Evidencia por firma/foto y notificaciones</t>
  </si>
  <si>
    <t>Incorporado</t>
  </si>
  <si>
    <t>Sí aparecen como actividades planificadas en Cronograma_2026.</t>
  </si>
  <si>
    <t>Cronograma IDs 99,110,113</t>
  </si>
  <si>
    <t>Se incluyen como requisitos planificados (no como aprobados por Charter).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</si>
</sst>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6">
    <font>
      <sz val="11"/>
      <name val="Carlito"/>
    </font>
    <font>
      <b/>
      <sz val="16"/>
      <color rgb="FFFFFFFF"/>
      <name val="Carlito"/>
    </font>
    <font>
      <i/>
      <sz val="10"/>
      <color rgb="FF5B6573"/>
      <name val="Carlito"/>
    </font>
    <font>
      <b/>
      <sz val="10"/>
      <color rgb="FFFFFFFF"/>
      <name val="Carlito"/>
    </font>
    <font>
      <sz val="9"/>
      <color rgb="FF1F2937"/>
      <name val="Carlito"/>
    </font>
    <font>
      <b/>
      <sz val="9"/>
      <color rgb="FF17365D"/>
      <name val="Carlito"/>
    </font>
    <font>
      <b/>
      <sz val="14"/>
      <color rgb="FF17365D"/>
      <name val="Carlito"/>
    </font>
    <font>
      <b/>
      <sz val="11"/>
      <color rgb="FFFFFFFF"/>
      <name val="Carlito"/>
    </font>
    <font>
      <b/>
      <sz val="15"/>
      <color rgb="FFFFFFFF"/>
      <name val="Carlito"/>
    </font>
    <font>
      <i/>
      <sz val="10"/>
      <color rgb="FF5C4300"/>
      <name val="Carlito"/>
    </font>
    <font>
      <b/>
      <sz val="10"/>
      <color rgb="FF3A2A00"/>
      <name val="Carlito"/>
    </font>
    <font>
      <b/>
      <sz val="11"/>
      <color rgb="FF3A2A00"/>
      <name val="Carlito"/>
    </font>
    <font>
      <sz val="9"/>
      <color rgb="FF2F2A1F"/>
      <name val="Carlito"/>
    </font>
    <font>
      <b/>
      <sz val="9"/>
      <color rgb="FF6B4F00"/>
      <name val="Carlito"/>
    </font>
    <font>
      <b/>
      <sz val="9"/>
      <color rgb="FF5C4300"/>
      <name val="Carlito"/>
    </font>
    <font>
      <b/>
      <sz val="9"/>
      <color rgb="FF6B520C"/>
      <name val="Carlito"/>
    </font>
  </fonts>
  <fills count="1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FF4D6"/>
      </patternFill>
    </fill>
    <fill>
      <patternFill patternType="solid">
        <fgColor rgb="FFD9EAF7"/>
      </patternFill>
    </fill>
    <fill>
      <patternFill patternType="solid">
        <fgColor rgb="FFFCE4D6"/>
      </patternFill>
    </fill>
    <fill>
      <patternFill patternType="solid">
        <fgColor rgb="FF8A6508"/>
      </patternFill>
    </fill>
    <fill>
      <patternFill patternType="solid">
        <fgColor rgb="FFFFF0B3"/>
      </patternFill>
    </fill>
    <fill>
      <patternFill patternType="solid">
        <fgColor rgb="FFE8B84A"/>
      </patternFill>
    </fill>
    <fill>
      <patternFill patternType="solid">
        <fgColor rgb="FFFFF9E6"/>
      </patternFill>
    </fill>
    <fill>
      <patternFill patternType="solid">
        <fgColor rgb="FFFFF2C7"/>
      </patternFill>
    </fill>
    <fill>
      <patternFill patternType="solid">
        <fgColor rgb="FFFFFDF4"/>
      </patternFill>
    </fill>
    <fill>
      <patternFill patternType="solid">
        <fgColor rgb="FFC69214"/>
      </patternFill>
    </fill>
    <fill>
      <patternFill patternType="solid">
        <fgColor rgb="FFF6E3A1"/>
      </patternFill>
    </fill>
    <fill>
      <patternFill patternType="solid">
        <fgColor rgb="FFFFF1BF"/>
      </patternFill>
    </fill>
  </fills>
  <borders count="3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C79A2E"/>
      </left>
      <right/>
      <top style="thin">
        <color rgb="FF8A6508"/>
      </top>
      <bottom style="thin">
        <color rgb="FF8A6508"/>
      </bottom>
      <diagonal/>
    </border>
    <border>
      <left/>
      <right/>
      <top style="thin">
        <color rgb="FF8A6508"/>
      </top>
      <bottom style="thin">
        <color rgb="FF8A6508"/>
      </bottom>
      <diagonal/>
    </border>
    <border>
      <left/>
      <right/>
      <top style="thin">
        <color rgb="FF8A6508"/>
      </top>
      <bottom style="thin">
        <color rgb="FF8A6508"/>
      </bottom>
      <diagonal/>
    </border>
    <border>
      <left/>
      <right style="thin">
        <color rgb="FFC79A2E"/>
      </right>
      <top style="thin">
        <color rgb="FF8A6508"/>
      </top>
      <bottom style="thin">
        <color rgb="FF8A6508"/>
      </bottom>
      <diagonal/>
    </border>
    <border>
      <left style="hair">
        <color rgb="FFEFE2B8"/>
      </left>
      <right/>
      <top/>
      <bottom/>
      <diagonal/>
    </border>
    <border>
      <left/>
      <right style="hair">
        <color rgb="FFEFE2B8"/>
      </right>
      <top/>
      <bottom/>
      <diagonal/>
    </border>
    <border>
      <left style="hair">
        <color rgb="FFEFE2B8"/>
      </left>
      <right/>
      <top/>
      <bottom/>
      <diagonal/>
    </border>
    <border>
      <left/>
      <right style="hair">
        <color rgb="FFEFE2B8"/>
      </right>
      <top/>
      <bottom/>
      <diagonal/>
    </border>
    <border>
      <left style="hair">
        <color rgb="FFEFE2B8"/>
      </left>
      <right/>
      <top/>
      <bottom style="hair">
        <color rgb="FFE6D7A8"/>
      </bottom>
      <diagonal/>
    </border>
    <border>
      <left/>
      <right/>
      <top/>
      <bottom style="hair">
        <color rgb="FFE6D7A8"/>
      </bottom>
      <diagonal/>
    </border>
    <border>
      <left/>
      <right/>
      <top/>
      <bottom style="hair">
        <color rgb="FFE6D7A8"/>
      </bottom>
      <diagonal/>
    </border>
    <border>
      <left/>
      <right style="hair">
        <color rgb="FFEFE2B8"/>
      </right>
      <top/>
      <bottom style="hair">
        <color rgb="FFE6D7A8"/>
      </bottom>
      <diagonal/>
    </border>
    <border>
      <left style="hair">
        <color rgb="FFF0E7CA"/>
      </left>
      <right/>
      <top/>
      <bottom/>
      <diagonal/>
    </border>
    <border>
      <left/>
      <right style="hair">
        <color rgb="FFF0E7CA"/>
      </right>
      <top/>
      <bottom/>
      <diagonal/>
    </border>
    <border>
      <left style="hair">
        <color rgb="FFF0E7CA"/>
      </left>
      <right/>
      <top/>
      <bottom style="hair">
        <color rgb="FFE8DDBB"/>
      </bottom>
      <diagonal/>
    </border>
    <border>
      <left/>
      <right/>
      <top/>
      <bottom style="hair">
        <color rgb="FFE8DDBB"/>
      </bottom>
      <diagonal/>
    </border>
    <border>
      <left/>
      <right style="hair">
        <color rgb="FFF0E7CA"/>
      </right>
      <top/>
      <bottom style="hair">
        <color rgb="FFE8DDBB"/>
      </bottom>
      <diagonal/>
    </border>
    <border>
      <left style="hair">
        <color rgb="FFF0E7CA"/>
      </left>
      <right/>
      <top style="thin">
        <color rgb="FF8A6508"/>
      </top>
      <bottom style="thin">
        <color rgb="FF8A6508"/>
      </bottom>
      <diagonal/>
    </border>
    <border>
      <left/>
      <right style="hair">
        <color rgb="FFF0E7CA"/>
      </right>
      <top style="thin">
        <color rgb="FF8A6508"/>
      </top>
      <bottom style="thin">
        <color rgb="FF8A6508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vertical="top" wrapText="1"/>
    </xf>
    <xf numFmtId="0" fontId="4" fillId="3" borderId="4" xfId="0" applyFont="1" applyFill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3" borderId="6" xfId="0" applyFont="1" applyFill="1" applyBorder="1" applyAlignment="1">
      <alignment vertical="top" wrapText="1"/>
    </xf>
    <xf numFmtId="0" fontId="4" fillId="3" borderId="7" xfId="0" applyFont="1" applyFill="1" applyBorder="1" applyAlignment="1">
      <alignment vertical="top" wrapText="1"/>
    </xf>
    <xf numFmtId="0" fontId="4" fillId="3" borderId="8" xfId="0" applyFont="1" applyFill="1" applyBorder="1" applyAlignment="1">
      <alignment vertical="top" wrapText="1"/>
    </xf>
    <xf numFmtId="0" fontId="5" fillId="3" borderId="3" xfId="0" applyFont="1" applyFill="1" applyBorder="1" applyAlignment="1">
      <alignment vertical="top" wrapText="1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3" fillId="2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4" fillId="3" borderId="11" xfId="0" applyFont="1" applyFill="1" applyBorder="1" applyAlignment="1">
      <alignment vertical="top" wrapText="1"/>
    </xf>
    <xf numFmtId="0" fontId="5" fillId="4" borderId="12" xfId="0" applyFont="1" applyFill="1" applyBorder="1" applyAlignment="1">
      <alignment horizontal="center" vertical="top" wrapText="1"/>
    </xf>
    <xf numFmtId="0" fontId="5" fillId="4" borderId="13" xfId="0" applyFont="1" applyFill="1" applyBorder="1" applyAlignment="1">
      <alignment horizontal="center" vertical="top" wrapText="1"/>
    </xf>
    <xf numFmtId="0" fontId="5" fillId="4" borderId="14" xfId="0" applyFont="1" applyFill="1" applyBorder="1" applyAlignment="1">
      <alignment horizontal="center" vertical="top" wrapText="1"/>
    </xf>
    <xf numFmtId="0" fontId="6" fillId="3" borderId="5" xfId="0" applyFont="1" applyFill="1" applyBorder="1" applyAlignment="1">
      <alignment horizontal="center" vertical="top" wrapText="1"/>
    </xf>
    <xf numFmtId="0" fontId="6" fillId="3" borderId="0" xfId="0" applyFont="1" applyFill="1" applyAlignment="1">
      <alignment horizontal="center" vertical="top" wrapText="1"/>
    </xf>
    <xf numFmtId="0" fontId="6" fillId="3" borderId="6" xfId="0" applyFont="1" applyFill="1" applyBorder="1" applyAlignment="1">
      <alignment horizontal="center" vertical="top" wrapText="1"/>
    </xf>
    <xf numFmtId="0" fontId="6" fillId="3" borderId="7" xfId="0" applyFont="1" applyFill="1" applyBorder="1" applyAlignment="1">
      <alignment horizontal="center" vertical="top" wrapText="1"/>
    </xf>
    <xf numFmtId="0" fontId="6" fillId="3" borderId="11" xfId="0" applyFont="1" applyFill="1" applyBorder="1" applyAlignment="1">
      <alignment horizontal="center" vertical="top" wrapText="1"/>
    </xf>
    <xf numFmtId="0" fontId="6" fillId="3" borderId="8" xfId="0" applyFont="1" applyFill="1" applyBorder="1" applyAlignment="1">
      <alignment horizontal="center" vertical="top" wrapText="1"/>
    </xf>
    <xf numFmtId="0" fontId="4" fillId="3" borderId="14" xfId="0" applyFont="1" applyFill="1" applyBorder="1" applyAlignment="1">
      <alignment vertical="top" wrapText="1"/>
    </xf>
    <xf numFmtId="0" fontId="5" fillId="3" borderId="12" xfId="0" applyFont="1" applyFill="1" applyBorder="1" applyAlignment="1">
      <alignment horizontal="center" vertical="top" wrapText="1"/>
    </xf>
    <xf numFmtId="0" fontId="5" fillId="3" borderId="13" xfId="0" applyFont="1" applyFill="1" applyBorder="1" applyAlignment="1">
      <alignment vertical="top" wrapText="1"/>
    </xf>
    <xf numFmtId="0" fontId="10" fillId="8" borderId="15" xfId="0" applyFont="1" applyFill="1" applyBorder="1" applyAlignment="1">
      <alignment horizontal="center" vertical="center" wrapText="1"/>
    </xf>
    <xf numFmtId="0" fontId="10" fillId="8" borderId="16" xfId="0" applyFont="1" applyFill="1" applyBorder="1" applyAlignment="1">
      <alignment horizontal="center" vertical="center" wrapText="1"/>
    </xf>
    <xf numFmtId="0" fontId="10" fillId="8" borderId="17" xfId="0" applyFont="1" applyFill="1" applyBorder="1" applyAlignment="1">
      <alignment horizontal="center" vertical="center" wrapText="1"/>
    </xf>
    <xf numFmtId="0" fontId="11" fillId="8" borderId="16" xfId="0" applyFont="1" applyFill="1" applyBorder="1" applyAlignment="1">
      <alignment horizontal="center" vertical="center" wrapText="1"/>
    </xf>
    <xf numFmtId="0" fontId="11" fillId="8" borderId="18" xfId="0" applyFont="1" applyFill="1" applyBorder="1" applyAlignment="1">
      <alignment horizontal="center" vertical="center" wrapText="1"/>
    </xf>
    <xf numFmtId="0" fontId="12" fillId="9" borderId="10" xfId="0" applyFont="1" applyFill="1" applyBorder="1" applyAlignment="1">
      <alignment vertical="top" wrapText="1"/>
    </xf>
    <xf numFmtId="0" fontId="12" fillId="9" borderId="0" xfId="0" applyFont="1" applyFill="1" applyAlignment="1">
      <alignment vertical="top" wrapText="1"/>
    </xf>
    <xf numFmtId="0" fontId="12" fillId="9" borderId="24" xfId="0" applyFont="1" applyFill="1" applyBorder="1" applyAlignment="1">
      <alignment vertical="top" wrapText="1"/>
    </xf>
    <xf numFmtId="0" fontId="12" fillId="10" borderId="0" xfId="0" applyFont="1" applyFill="1" applyAlignment="1">
      <alignment vertical="top" wrapText="1"/>
    </xf>
    <xf numFmtId="0" fontId="12" fillId="7" borderId="4" xfId="0" applyFont="1" applyFill="1" applyBorder="1" applyAlignment="1">
      <alignment vertical="top" wrapText="1"/>
    </xf>
    <xf numFmtId="164" fontId="12" fillId="7" borderId="10" xfId="0" applyNumberFormat="1" applyFont="1" applyFill="1" applyBorder="1" applyAlignment="1">
      <alignment vertical="top" wrapText="1"/>
    </xf>
    <xf numFmtId="0" fontId="12" fillId="7" borderId="20" xfId="0" applyFont="1" applyFill="1" applyBorder="1" applyAlignment="1">
      <alignment vertical="top" wrapText="1"/>
    </xf>
    <xf numFmtId="0" fontId="12" fillId="7" borderId="6" xfId="0" applyFont="1" applyFill="1" applyBorder="1" applyAlignment="1">
      <alignment vertical="top" wrapText="1"/>
    </xf>
    <xf numFmtId="164" fontId="12" fillId="7" borderId="0" xfId="0" applyNumberFormat="1" applyFont="1" applyFill="1" applyAlignment="1">
      <alignment vertical="top" wrapText="1"/>
    </xf>
    <xf numFmtId="0" fontId="12" fillId="7" borderId="22" xfId="0" applyFont="1" applyFill="1" applyBorder="1" applyAlignment="1">
      <alignment vertical="top" wrapText="1"/>
    </xf>
    <xf numFmtId="0" fontId="12" fillId="7" borderId="25" xfId="0" applyFont="1" applyFill="1" applyBorder="1" applyAlignment="1">
      <alignment vertical="top" wrapText="1"/>
    </xf>
    <xf numFmtId="164" fontId="12" fillId="7" borderId="24" xfId="0" applyNumberFormat="1" applyFont="1" applyFill="1" applyBorder="1" applyAlignment="1">
      <alignment vertical="top" wrapText="1"/>
    </xf>
    <xf numFmtId="0" fontId="12" fillId="7" borderId="26" xfId="0" applyFont="1" applyFill="1" applyBorder="1" applyAlignment="1">
      <alignment vertical="top" wrapText="1"/>
    </xf>
    <xf numFmtId="0" fontId="13" fillId="9" borderId="19" xfId="0" applyFont="1" applyFill="1" applyBorder="1" applyAlignment="1">
      <alignment vertical="top" wrapText="1"/>
    </xf>
    <xf numFmtId="0" fontId="13" fillId="10" borderId="21" xfId="0" applyFont="1" applyFill="1" applyBorder="1" applyAlignment="1">
      <alignment vertical="top" wrapText="1"/>
    </xf>
    <xf numFmtId="0" fontId="13" fillId="9" borderId="21" xfId="0" applyFont="1" applyFill="1" applyBorder="1" applyAlignment="1">
      <alignment vertical="top" wrapText="1"/>
    </xf>
    <xf numFmtId="0" fontId="13" fillId="9" borderId="23" xfId="0" applyFont="1" applyFill="1" applyBorder="1" applyAlignment="1">
      <alignment vertical="top" wrapText="1"/>
    </xf>
    <xf numFmtId="0" fontId="11" fillId="8" borderId="15" xfId="0" applyFont="1" applyFill="1" applyBorder="1" applyAlignment="1">
      <alignment horizontal="center" vertical="center" wrapText="1"/>
    </xf>
    <xf numFmtId="0" fontId="12" fillId="11" borderId="27" xfId="0" applyFont="1" applyFill="1" applyBorder="1" applyAlignment="1">
      <alignment vertical="top" wrapText="1"/>
    </xf>
    <xf numFmtId="0" fontId="12" fillId="11" borderId="0" xfId="0" applyFont="1" applyFill="1" applyAlignment="1">
      <alignment vertical="top" wrapText="1"/>
    </xf>
    <xf numFmtId="164" fontId="12" fillId="11" borderId="0" xfId="0" applyNumberFormat="1" applyFont="1" applyFill="1" applyAlignment="1">
      <alignment vertical="top" wrapText="1"/>
    </xf>
    <xf numFmtId="0" fontId="12" fillId="11" borderId="28" xfId="0" applyFont="1" applyFill="1" applyBorder="1" applyAlignment="1">
      <alignment vertical="top" wrapText="1"/>
    </xf>
    <xf numFmtId="0" fontId="12" fillId="11" borderId="29" xfId="0" applyFont="1" applyFill="1" applyBorder="1" applyAlignment="1">
      <alignment vertical="top" wrapText="1"/>
    </xf>
    <xf numFmtId="0" fontId="12" fillId="11" borderId="30" xfId="0" applyFont="1" applyFill="1" applyBorder="1" applyAlignment="1">
      <alignment vertical="top" wrapText="1"/>
    </xf>
    <xf numFmtId="164" fontId="12" fillId="11" borderId="30" xfId="0" applyNumberFormat="1" applyFont="1" applyFill="1" applyBorder="1" applyAlignment="1">
      <alignment vertical="top" wrapText="1"/>
    </xf>
    <xf numFmtId="0" fontId="12" fillId="11" borderId="31" xfId="0" applyFont="1" applyFill="1" applyBorder="1" applyAlignment="1">
      <alignment vertical="top" wrapText="1"/>
    </xf>
    <xf numFmtId="0" fontId="3" fillId="12" borderId="32" xfId="0" applyFont="1" applyFill="1" applyBorder="1" applyAlignment="1">
      <alignment vertical="center" wrapText="1"/>
    </xf>
    <xf numFmtId="0" fontId="3" fillId="12" borderId="16" xfId="0" applyFont="1" applyFill="1" applyBorder="1" applyAlignment="1">
      <alignment vertical="center" wrapText="1"/>
    </xf>
    <xf numFmtId="164" fontId="3" fillId="12" borderId="16" xfId="0" applyNumberFormat="1" applyFont="1" applyFill="1" applyBorder="1" applyAlignment="1">
      <alignment vertical="center" wrapText="1"/>
    </xf>
    <xf numFmtId="0" fontId="3" fillId="12" borderId="33" xfId="0" applyFont="1" applyFill="1" applyBorder="1" applyAlignment="1">
      <alignment vertical="center" wrapText="1"/>
    </xf>
    <xf numFmtId="0" fontId="14" fillId="13" borderId="27" xfId="0" applyFont="1" applyFill="1" applyBorder="1" applyAlignment="1">
      <alignment vertical="top" wrapText="1"/>
    </xf>
    <xf numFmtId="0" fontId="14" fillId="13" borderId="0" xfId="0" applyFont="1" applyFill="1" applyAlignment="1">
      <alignment vertical="top" wrapText="1"/>
    </xf>
    <xf numFmtId="164" fontId="14" fillId="13" borderId="0" xfId="0" applyNumberFormat="1" applyFont="1" applyFill="1" applyAlignment="1">
      <alignment vertical="top" wrapText="1"/>
    </xf>
    <xf numFmtId="0" fontId="14" fillId="13" borderId="28" xfId="0" applyFont="1" applyFill="1" applyBorder="1" applyAlignment="1">
      <alignment vertical="top" wrapText="1"/>
    </xf>
    <xf numFmtId="0" fontId="15" fillId="14" borderId="27" xfId="0" applyFont="1" applyFill="1" applyBorder="1" applyAlignment="1">
      <alignment vertical="top" wrapText="1"/>
    </xf>
    <xf numFmtId="0" fontId="15" fillId="14" borderId="0" xfId="0" applyFont="1" applyFill="1" applyAlignment="1">
      <alignment vertical="top" wrapText="1"/>
    </xf>
    <xf numFmtId="164" fontId="15" fillId="14" borderId="0" xfId="0" applyNumberFormat="1" applyFont="1" applyFill="1" applyAlignment="1">
      <alignment vertical="top" wrapText="1"/>
    </xf>
    <xf numFmtId="0" fontId="15" fillId="14" borderId="28" xfId="0" applyFont="1" applyFill="1" applyBorder="1" applyAlignment="1">
      <alignment vertical="top" wrapText="1"/>
    </xf>
    <xf numFmtId="0" fontId="8" fillId="6" borderId="0" xfId="0" applyFont="1" applyFill="1" applyAlignment="1">
      <alignment horizontal="left" vertical="center"/>
    </xf>
    <xf numFmtId="0" fontId="2" fillId="7" borderId="0" xfId="0" applyFont="1" applyFill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8" borderId="9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7" fillId="8" borderId="0" xfId="0" applyFont="1" applyFill="1" applyAlignment="1">
      <alignment horizontal="left"/>
    </xf>
    <xf numFmtId="0" fontId="4" fillId="5" borderId="3" xfId="0" applyFont="1" applyFill="1" applyBorder="1" applyAlignment="1">
      <alignment vertical="top" wrapText="1"/>
    </xf>
    <xf numFmtId="0" fontId="4" fillId="5" borderId="10" xfId="0" applyFont="1" applyFill="1" applyBorder="1" applyAlignment="1">
      <alignment vertical="top" wrapText="1"/>
    </xf>
    <xf numFmtId="0" fontId="4" fillId="5" borderId="4" xfId="0" applyFont="1" applyFill="1" applyBorder="1" applyAlignment="1">
      <alignment vertical="top" wrapText="1"/>
    </xf>
    <xf numFmtId="0" fontId="4" fillId="5" borderId="5" xfId="0" applyFont="1" applyFill="1" applyBorder="1" applyAlignment="1">
      <alignment vertical="top" wrapText="1"/>
    </xf>
    <xf numFmtId="0" fontId="4" fillId="5" borderId="0" xfId="0" applyFont="1" applyFill="1" applyAlignment="1">
      <alignment vertical="top" wrapText="1"/>
    </xf>
    <xf numFmtId="0" fontId="4" fillId="5" borderId="6" xfId="0" applyFont="1" applyFill="1" applyBorder="1" applyAlignment="1">
      <alignment vertical="top" wrapText="1"/>
    </xf>
    <xf numFmtId="0" fontId="4" fillId="5" borderId="7" xfId="0" applyFont="1" applyFill="1" applyBorder="1" applyAlignment="1">
      <alignment vertical="top" wrapText="1"/>
    </xf>
    <xf numFmtId="0" fontId="4" fillId="5" borderId="11" xfId="0" applyFont="1" applyFill="1" applyBorder="1" applyAlignment="1">
      <alignment vertical="top" wrapText="1"/>
    </xf>
    <xf numFmtId="0" fontId="4" fillId="5" borderId="8" xfId="0" applyFont="1" applyFill="1" applyBorder="1" applyAlignment="1">
      <alignment vertical="top" wrapText="1"/>
    </xf>
    <xf numFmtId="0" fontId="4" fillId="3" borderId="13" xfId="0" applyFont="1" applyFill="1" applyBorder="1" applyAlignment="1">
      <alignment vertical="top" wrapText="1"/>
    </xf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vertical="center"/>
    </xf>
    <xf numFmtId="0" fontId="9" fillId="7" borderId="0" xfId="0" applyFont="1" applyFill="1" applyAlignment="1">
      <alignment vertical="center"/>
    </xf>
    <xf numFmtId="0" fontId="0" fillId="0" borderId="0" xfId="0"/>
  </cellXfs>
  <cellStyles count="1">
    <cellStyle name="Normal" xfId="0" builtinId="0"/>
  </cellStyles>
  <dxfs count="6">
    <dxf>
      <fill>
        <patternFill>
          <bgColor rgb="FFE2F0D9"/>
        </patternFill>
      </fill>
    </dxf>
    <dxf>
      <fill>
        <patternFill>
          <bgColor rgb="FFF4CCCC"/>
        </patternFill>
      </fill>
    </dxf>
    <dxf>
      <fill>
        <patternFill>
          <bgColor rgb="FFE2F0D9"/>
        </patternFill>
      </fill>
    </dxf>
    <dxf>
      <font>
        <b/>
        <color rgb="FF244A6B"/>
      </font>
      <fill>
        <patternFill patternType="solid">
          <bgColor rgb="FFE3EEF9"/>
        </patternFill>
      </fill>
    </dxf>
    <dxf>
      <font>
        <b/>
        <color rgb="FF285B24"/>
      </font>
      <fill>
        <patternFill patternType="solid">
          <bgColor rgb="FFDDF2D8"/>
        </patternFill>
      </fill>
    </dxf>
    <dxf>
      <font>
        <b/>
        <color rgb="FF6E4A00"/>
      </font>
      <fill>
        <patternFill patternType="solid">
          <bgColor rgb="FFFFE08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topLeftCell="A13" workbookViewId="0">
      <selection sqref="A1:G1"/>
    </sheetView>
  </sheetViews>
  <sheetFormatPr baseColWidth="10" defaultColWidth="9" defaultRowHeight="14.25"/>
  <cols>
    <col min="1" max="1" width="18" customWidth="1"/>
    <col min="2" max="2" width="30" customWidth="1"/>
    <col min="3" max="6" width="17" customWidth="1"/>
    <col min="7" max="7" width="36" customWidth="1"/>
  </cols>
  <sheetData>
    <row r="1" spans="1:7" ht="19.149999999999999" customHeight="1">
      <c r="A1" s="71" t="s">
        <v>0</v>
      </c>
      <c r="B1" s="71"/>
      <c r="C1" s="71"/>
      <c r="D1" s="71"/>
      <c r="E1" s="71"/>
      <c r="F1" s="71"/>
      <c r="G1" s="71"/>
    </row>
    <row r="2" spans="1:7" ht="15" customHeight="1">
      <c r="A2" s="72" t="s">
        <v>1</v>
      </c>
      <c r="B2" s="72"/>
      <c r="C2" s="72"/>
      <c r="D2" s="72"/>
      <c r="E2" s="72"/>
      <c r="F2" s="72"/>
      <c r="G2" s="72"/>
    </row>
    <row r="4" spans="1:7" ht="15" customHeight="1">
      <c r="A4" s="1" t="s">
        <v>2</v>
      </c>
      <c r="B4" s="2" t="s">
        <v>3</v>
      </c>
      <c r="D4" s="73" t="s">
        <v>4</v>
      </c>
      <c r="E4" s="74"/>
      <c r="F4" s="74"/>
      <c r="G4" s="75"/>
    </row>
    <row r="5" spans="1:7" ht="21.6" customHeight="1">
      <c r="A5" s="9" t="s">
        <v>5</v>
      </c>
      <c r="B5" s="4" t="s">
        <v>6</v>
      </c>
      <c r="D5" s="16" t="s">
        <v>7</v>
      </c>
      <c r="E5" s="17" t="s">
        <v>8</v>
      </c>
      <c r="F5" s="17" t="s">
        <v>9</v>
      </c>
      <c r="G5" s="18" t="s">
        <v>10</v>
      </c>
    </row>
    <row r="6" spans="1:7" ht="16.7" customHeight="1">
      <c r="A6" s="10" t="s">
        <v>11</v>
      </c>
      <c r="B6" s="6" t="s">
        <v>12</v>
      </c>
      <c r="D6" s="19">
        <f>COUNTA(Requerimientos!A5:A40)</f>
        <v>27</v>
      </c>
      <c r="E6" s="20">
        <f>COUNTIF(Requerimientos!D5:D40,"Funcional")</f>
        <v>18</v>
      </c>
      <c r="F6" s="20">
        <f>COUNTIF(Requerimientos!D5:D40,"No funcional")</f>
        <v>9</v>
      </c>
      <c r="G6" s="21">
        <f>COUNTIF(Requerimientos!I5:I40,"Must")</f>
        <v>18</v>
      </c>
    </row>
    <row r="7" spans="1:7" ht="15" customHeight="1">
      <c r="A7" s="10" t="s">
        <v>13</v>
      </c>
      <c r="B7" s="6" t="s">
        <v>14</v>
      </c>
      <c r="D7" s="16" t="s">
        <v>15</v>
      </c>
      <c r="E7" s="17" t="s">
        <v>16</v>
      </c>
      <c r="F7" s="17" t="s">
        <v>17</v>
      </c>
      <c r="G7" s="18" t="s">
        <v>18</v>
      </c>
    </row>
    <row r="8" spans="1:7" ht="16.7" customHeight="1">
      <c r="A8" s="10" t="s">
        <v>19</v>
      </c>
      <c r="B8" s="6" t="s">
        <v>20</v>
      </c>
      <c r="D8" s="22">
        <f>COUNTIF(Requerimientos!M5:M40,"Aprobado")</f>
        <v>21</v>
      </c>
      <c r="E8" s="23">
        <f>COUNTIF(Requerimientos!M5:M40,"Planificado")</f>
        <v>6</v>
      </c>
      <c r="F8" s="23">
        <f>COUNTIF(Requerimientos!I5:I40,"Should")</f>
        <v>7</v>
      </c>
      <c r="G8" s="24">
        <f>COUNTIF(Requerimientos!I5:I40,"Could")</f>
        <v>2</v>
      </c>
    </row>
    <row r="9" spans="1:7" ht="21.6" customHeight="1">
      <c r="A9" s="10" t="s">
        <v>21</v>
      </c>
      <c r="B9" s="6" t="s">
        <v>22</v>
      </c>
    </row>
    <row r="10" spans="1:7" ht="15" customHeight="1">
      <c r="A10" s="10" t="s">
        <v>23</v>
      </c>
      <c r="B10" s="6" t="s">
        <v>24</v>
      </c>
    </row>
    <row r="11" spans="1:7" ht="15" customHeight="1">
      <c r="A11" s="10" t="s">
        <v>25</v>
      </c>
      <c r="B11" s="6" t="s">
        <v>26</v>
      </c>
    </row>
    <row r="12" spans="1:7" ht="15" customHeight="1">
      <c r="A12" s="11" t="s">
        <v>27</v>
      </c>
      <c r="B12" s="8" t="s">
        <v>28</v>
      </c>
    </row>
    <row r="14" spans="1:7" ht="15" customHeight="1">
      <c r="A14" s="76" t="s">
        <v>29</v>
      </c>
      <c r="B14" s="77"/>
      <c r="C14" s="77"/>
      <c r="D14" s="77"/>
      <c r="E14" s="77"/>
      <c r="F14" s="77"/>
      <c r="G14" s="78"/>
    </row>
    <row r="15" spans="1:7" ht="42" customHeight="1">
      <c r="A15" s="26" t="s">
        <v>30</v>
      </c>
      <c r="B15" s="27" t="s">
        <v>31</v>
      </c>
      <c r="C15" s="89" t="s">
        <v>32</v>
      </c>
      <c r="D15" s="89"/>
      <c r="E15" s="89"/>
      <c r="F15" s="89"/>
      <c r="G15" s="25" t="s">
        <v>33</v>
      </c>
    </row>
    <row r="16" spans="1:7" ht="42" customHeight="1">
      <c r="A16" s="26" t="s">
        <v>34</v>
      </c>
      <c r="B16" s="27" t="s">
        <v>35</v>
      </c>
      <c r="C16" s="89" t="s">
        <v>36</v>
      </c>
      <c r="D16" s="89"/>
      <c r="E16" s="89"/>
      <c r="F16" s="89"/>
      <c r="G16" s="25" t="s">
        <v>33</v>
      </c>
    </row>
    <row r="17" spans="1:7" ht="42" customHeight="1">
      <c r="A17" s="26" t="s">
        <v>37</v>
      </c>
      <c r="B17" s="27" t="s">
        <v>38</v>
      </c>
      <c r="C17" s="89" t="s">
        <v>39</v>
      </c>
      <c r="D17" s="89"/>
      <c r="E17" s="89"/>
      <c r="F17" s="89"/>
      <c r="G17" s="25" t="s">
        <v>40</v>
      </c>
    </row>
    <row r="18" spans="1:7" ht="42" customHeight="1">
      <c r="A18" s="26" t="s">
        <v>41</v>
      </c>
      <c r="B18" s="27" t="s">
        <v>42</v>
      </c>
      <c r="C18" s="89" t="s">
        <v>43</v>
      </c>
      <c r="D18" s="89"/>
      <c r="E18" s="89"/>
      <c r="F18" s="89"/>
      <c r="G18" s="25" t="s">
        <v>44</v>
      </c>
    </row>
    <row r="19" spans="1:7" ht="42" customHeight="1">
      <c r="A19" s="26" t="s">
        <v>45</v>
      </c>
      <c r="B19" s="27" t="s">
        <v>46</v>
      </c>
      <c r="C19" s="89" t="s">
        <v>47</v>
      </c>
      <c r="D19" s="89"/>
      <c r="E19" s="89"/>
      <c r="F19" s="89"/>
      <c r="G19" s="25" t="s">
        <v>48</v>
      </c>
    </row>
    <row r="20" spans="1:7" ht="42" customHeight="1">
      <c r="A20" s="26" t="s">
        <v>49</v>
      </c>
      <c r="B20" s="27" t="s">
        <v>50</v>
      </c>
      <c r="C20" s="89" t="s">
        <v>51</v>
      </c>
      <c r="D20" s="89"/>
      <c r="E20" s="89"/>
      <c r="F20" s="89"/>
      <c r="G20" s="25" t="s">
        <v>52</v>
      </c>
    </row>
    <row r="21" spans="1:7" ht="42" customHeight="1">
      <c r="A21" s="26" t="s">
        <v>53</v>
      </c>
      <c r="B21" s="27" t="s">
        <v>54</v>
      </c>
      <c r="C21" s="89" t="s">
        <v>55</v>
      </c>
      <c r="D21" s="89"/>
      <c r="E21" s="89"/>
      <c r="F21" s="89"/>
      <c r="G21" s="25" t="s">
        <v>56</v>
      </c>
    </row>
    <row r="23" spans="1:7" ht="15" customHeight="1">
      <c r="A23" s="79" t="s">
        <v>57</v>
      </c>
      <c r="B23" s="79"/>
      <c r="C23" s="79"/>
      <c r="D23" s="79"/>
      <c r="E23" s="79"/>
      <c r="F23" s="79"/>
      <c r="G23" s="79"/>
    </row>
    <row r="24" spans="1:7" ht="27.95" customHeight="1">
      <c r="A24" s="80" t="s">
        <v>58</v>
      </c>
      <c r="B24" s="81"/>
      <c r="C24" s="81"/>
      <c r="D24" s="81"/>
      <c r="E24" s="81"/>
      <c r="F24" s="81"/>
      <c r="G24" s="82"/>
    </row>
    <row r="25" spans="1:7" ht="27.95" customHeight="1">
      <c r="A25" s="83"/>
      <c r="B25" s="84"/>
      <c r="C25" s="84"/>
      <c r="D25" s="84"/>
      <c r="E25" s="84"/>
      <c r="F25" s="84"/>
      <c r="G25" s="85"/>
    </row>
    <row r="26" spans="1:7" ht="27.95" customHeight="1">
      <c r="A26" s="83"/>
      <c r="B26" s="84"/>
      <c r="C26" s="84"/>
      <c r="D26" s="84"/>
      <c r="E26" s="84"/>
      <c r="F26" s="84"/>
      <c r="G26" s="85"/>
    </row>
    <row r="27" spans="1:7" ht="27.95" customHeight="1">
      <c r="A27" s="86"/>
      <c r="B27" s="87"/>
      <c r="C27" s="87"/>
      <c r="D27" s="87"/>
      <c r="E27" s="87"/>
      <c r="F27" s="87"/>
      <c r="G27" s="88"/>
    </row>
  </sheetData>
  <mergeCells count="13">
    <mergeCell ref="A24:G27"/>
    <mergeCell ref="C15:F15"/>
    <mergeCell ref="C16:F16"/>
    <mergeCell ref="C17:F17"/>
    <mergeCell ref="C18:F18"/>
    <mergeCell ref="C19:F19"/>
    <mergeCell ref="C20:F20"/>
    <mergeCell ref="C21:F21"/>
    <mergeCell ref="A1:G1"/>
    <mergeCell ref="A2:G2"/>
    <mergeCell ref="D4:G4"/>
    <mergeCell ref="A14:G14"/>
    <mergeCell ref="A23:G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workbookViewId="0">
      <selection sqref="A1:F1"/>
    </sheetView>
  </sheetViews>
  <sheetFormatPr baseColWidth="10" defaultColWidth="9" defaultRowHeight="14.25"/>
  <cols>
    <col min="1" max="1" width="11" customWidth="1"/>
    <col min="2" max="2" width="31" customWidth="1"/>
    <col min="3" max="3" width="55" customWidth="1"/>
    <col min="4" max="4" width="14" customWidth="1"/>
    <col min="5" max="5" width="40" customWidth="1"/>
    <col min="6" max="6" width="24" customWidth="1"/>
  </cols>
  <sheetData>
    <row r="1" spans="1:6" ht="19.149999999999999" customHeight="1">
      <c r="A1" s="90" t="s">
        <v>59</v>
      </c>
      <c r="B1" s="90"/>
      <c r="C1" s="90"/>
      <c r="D1" s="90"/>
      <c r="E1" s="90"/>
      <c r="F1" s="90"/>
    </row>
    <row r="2" spans="1:6" ht="15" customHeight="1">
      <c r="A2" s="91" t="s">
        <v>60</v>
      </c>
      <c r="B2" s="91"/>
      <c r="C2" s="91"/>
      <c r="D2" s="91"/>
      <c r="E2" s="91"/>
      <c r="F2" s="91"/>
    </row>
    <row r="4" spans="1:6" ht="15" customHeight="1">
      <c r="A4" s="1" t="s">
        <v>61</v>
      </c>
      <c r="B4" s="12" t="s">
        <v>62</v>
      </c>
      <c r="C4" s="12" t="s">
        <v>63</v>
      </c>
      <c r="D4" s="12" t="s">
        <v>64</v>
      </c>
      <c r="E4" s="12" t="s">
        <v>65</v>
      </c>
      <c r="F4" s="2" t="s">
        <v>66</v>
      </c>
    </row>
    <row r="5" spans="1:6" ht="53.25" customHeight="1">
      <c r="A5" s="3" t="s">
        <v>67</v>
      </c>
      <c r="B5" s="13" t="s">
        <v>68</v>
      </c>
      <c r="C5" s="13" t="s">
        <v>69</v>
      </c>
      <c r="D5" s="13" t="s">
        <v>70</v>
      </c>
      <c r="E5" s="13" t="s">
        <v>71</v>
      </c>
      <c r="F5" s="4" t="s">
        <v>72</v>
      </c>
    </row>
    <row r="6" spans="1:6" ht="38.25" customHeight="1">
      <c r="A6" s="5" t="s">
        <v>73</v>
      </c>
      <c r="B6" s="14" t="s">
        <v>74</v>
      </c>
      <c r="C6" s="14" t="s">
        <v>75</v>
      </c>
      <c r="D6" s="14" t="s">
        <v>76</v>
      </c>
      <c r="E6" s="14" t="s">
        <v>77</v>
      </c>
      <c r="F6" s="6" t="s">
        <v>78</v>
      </c>
    </row>
    <row r="7" spans="1:6" ht="37.5" customHeight="1">
      <c r="A7" s="5" t="s">
        <v>79</v>
      </c>
      <c r="B7" s="14" t="s">
        <v>80</v>
      </c>
      <c r="C7" s="14" t="s">
        <v>81</v>
      </c>
      <c r="D7" s="14" t="s">
        <v>76</v>
      </c>
      <c r="E7" s="14" t="s">
        <v>82</v>
      </c>
      <c r="F7" s="6" t="s">
        <v>83</v>
      </c>
    </row>
    <row r="8" spans="1:6" ht="24.75" customHeight="1">
      <c r="A8" s="5" t="s">
        <v>84</v>
      </c>
      <c r="B8" s="14" t="s">
        <v>85</v>
      </c>
      <c r="C8" s="14" t="s">
        <v>86</v>
      </c>
      <c r="D8" s="14" t="s">
        <v>76</v>
      </c>
      <c r="E8" s="14" t="s">
        <v>87</v>
      </c>
      <c r="F8" s="6" t="s">
        <v>88</v>
      </c>
    </row>
    <row r="9" spans="1:6" ht="28.5" customHeight="1">
      <c r="A9" s="5" t="s">
        <v>89</v>
      </c>
      <c r="B9" s="14" t="s">
        <v>90</v>
      </c>
      <c r="C9" s="14" t="s">
        <v>91</v>
      </c>
      <c r="D9" s="14" t="s">
        <v>76</v>
      </c>
      <c r="E9" s="14" t="s">
        <v>92</v>
      </c>
      <c r="F9" s="6" t="s">
        <v>93</v>
      </c>
    </row>
    <row r="10" spans="1:6" ht="15" customHeight="1">
      <c r="A10" s="7" t="s">
        <v>94</v>
      </c>
      <c r="B10" s="15" t="s">
        <v>95</v>
      </c>
      <c r="C10" s="15" t="s">
        <v>96</v>
      </c>
      <c r="D10" s="15" t="s">
        <v>76</v>
      </c>
      <c r="E10" s="15" t="s">
        <v>97</v>
      </c>
      <c r="F10" s="8" t="s">
        <v>98</v>
      </c>
    </row>
  </sheetData>
  <mergeCells count="2">
    <mergeCell ref="A1:F1"/>
    <mergeCell ref="A2:F2"/>
  </mergeCells>
  <dataValidations count="1">
    <dataValidation type="list" sqref="D5:D10" xr:uid="{00000000-0002-0000-0100-000000000000}">
      <formula1>"Alta,Media,Baja"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"/>
  <sheetViews>
    <sheetView workbookViewId="0">
      <selection sqref="A1:F1"/>
    </sheetView>
  </sheetViews>
  <sheetFormatPr baseColWidth="10" defaultColWidth="9" defaultRowHeight="14.25"/>
  <cols>
    <col min="1" max="1" width="11" customWidth="1"/>
    <col min="2" max="2" width="25" customWidth="1"/>
    <col min="3" max="3" width="65" customWidth="1"/>
    <col min="4" max="4" width="18" customWidth="1"/>
    <col min="5" max="5" width="42" customWidth="1"/>
    <col min="6" max="6" width="25" customWidth="1"/>
  </cols>
  <sheetData>
    <row r="1" spans="1:6" ht="19.149999999999999" customHeight="1">
      <c r="A1" s="90" t="s">
        <v>99</v>
      </c>
      <c r="B1" s="90"/>
      <c r="C1" s="90"/>
      <c r="D1" s="90"/>
      <c r="E1" s="90"/>
      <c r="F1" s="90"/>
    </row>
    <row r="2" spans="1:6" ht="15" customHeight="1">
      <c r="A2" s="91" t="s">
        <v>100</v>
      </c>
      <c r="B2" s="91"/>
      <c r="C2" s="91"/>
      <c r="D2" s="91"/>
      <c r="E2" s="91"/>
      <c r="F2" s="91"/>
    </row>
    <row r="4" spans="1:6" ht="15" customHeight="1">
      <c r="A4" s="1" t="s">
        <v>61</v>
      </c>
      <c r="B4" s="12" t="s">
        <v>101</v>
      </c>
      <c r="C4" s="12" t="s">
        <v>102</v>
      </c>
      <c r="D4" s="12" t="s">
        <v>103</v>
      </c>
      <c r="E4" s="12" t="s">
        <v>65</v>
      </c>
      <c r="F4" s="2" t="s">
        <v>104</v>
      </c>
    </row>
    <row r="5" spans="1:6" ht="15" customHeight="1">
      <c r="A5" s="3" t="s">
        <v>105</v>
      </c>
      <c r="B5" s="13" t="s">
        <v>106</v>
      </c>
      <c r="C5" s="13" t="s">
        <v>107</v>
      </c>
      <c r="D5" s="13" t="s">
        <v>108</v>
      </c>
      <c r="E5" s="13" t="s">
        <v>109</v>
      </c>
      <c r="F5" s="4" t="s">
        <v>110</v>
      </c>
    </row>
    <row r="6" spans="1:6" ht="21.6" customHeight="1">
      <c r="A6" s="5" t="s">
        <v>111</v>
      </c>
      <c r="B6" s="14" t="s">
        <v>112</v>
      </c>
      <c r="C6" s="14" t="s">
        <v>113</v>
      </c>
      <c r="D6" s="14" t="s">
        <v>114</v>
      </c>
      <c r="E6" s="14" t="s">
        <v>115</v>
      </c>
      <c r="F6" s="6" t="s">
        <v>116</v>
      </c>
    </row>
    <row r="7" spans="1:6" ht="15" customHeight="1">
      <c r="A7" s="5" t="s">
        <v>117</v>
      </c>
      <c r="B7" s="14" t="s">
        <v>118</v>
      </c>
      <c r="C7" s="14" t="s">
        <v>119</v>
      </c>
      <c r="D7" s="14" t="s">
        <v>120</v>
      </c>
      <c r="E7" s="14" t="s">
        <v>121</v>
      </c>
      <c r="F7" s="6" t="s">
        <v>122</v>
      </c>
    </row>
    <row r="8" spans="1:6" ht="21.6" customHeight="1">
      <c r="A8" s="5" t="s">
        <v>123</v>
      </c>
      <c r="B8" s="14" t="s">
        <v>124</v>
      </c>
      <c r="C8" s="14" t="s">
        <v>125</v>
      </c>
      <c r="D8" s="14" t="s">
        <v>126</v>
      </c>
      <c r="E8" s="14" t="s">
        <v>127</v>
      </c>
      <c r="F8" s="6" t="s">
        <v>128</v>
      </c>
    </row>
    <row r="9" spans="1:6" ht="15" customHeight="1">
      <c r="A9" s="5" t="s">
        <v>129</v>
      </c>
      <c r="B9" s="14" t="s">
        <v>130</v>
      </c>
      <c r="C9" s="14" t="s">
        <v>131</v>
      </c>
      <c r="D9" s="14" t="s">
        <v>132</v>
      </c>
      <c r="E9" s="14" t="s">
        <v>133</v>
      </c>
      <c r="F9" s="6" t="s">
        <v>134</v>
      </c>
    </row>
    <row r="10" spans="1:6" ht="15" customHeight="1">
      <c r="A10" s="5" t="s">
        <v>135</v>
      </c>
      <c r="B10" s="14" t="s">
        <v>136</v>
      </c>
      <c r="C10" s="14" t="s">
        <v>137</v>
      </c>
      <c r="D10" s="14" t="s">
        <v>138</v>
      </c>
      <c r="E10" s="14" t="s">
        <v>139</v>
      </c>
      <c r="F10" s="6" t="s">
        <v>140</v>
      </c>
    </row>
    <row r="11" spans="1:6" ht="21.6" customHeight="1">
      <c r="A11" s="5" t="s">
        <v>141</v>
      </c>
      <c r="B11" s="14" t="s">
        <v>142</v>
      </c>
      <c r="C11" s="14" t="s">
        <v>143</v>
      </c>
      <c r="D11" s="14" t="s">
        <v>144</v>
      </c>
      <c r="E11" s="14" t="s">
        <v>145</v>
      </c>
      <c r="F11" s="6" t="s">
        <v>146</v>
      </c>
    </row>
    <row r="12" spans="1:6" ht="21.6" customHeight="1">
      <c r="A12" s="5" t="s">
        <v>147</v>
      </c>
      <c r="B12" s="14" t="s">
        <v>148</v>
      </c>
      <c r="C12" s="14" t="s">
        <v>149</v>
      </c>
      <c r="D12" s="14" t="s">
        <v>150</v>
      </c>
      <c r="E12" s="14" t="s">
        <v>151</v>
      </c>
      <c r="F12" s="6" t="s">
        <v>122</v>
      </c>
    </row>
    <row r="13" spans="1:6" ht="21.6" customHeight="1">
      <c r="A13" s="5" t="s">
        <v>152</v>
      </c>
      <c r="B13" s="14" t="s">
        <v>153</v>
      </c>
      <c r="C13" s="14" t="s">
        <v>154</v>
      </c>
      <c r="D13" s="14" t="s">
        <v>155</v>
      </c>
      <c r="E13" s="14" t="s">
        <v>156</v>
      </c>
      <c r="F13" s="6" t="s">
        <v>157</v>
      </c>
    </row>
    <row r="14" spans="1:6" ht="21.6" customHeight="1">
      <c r="A14" s="7" t="s">
        <v>158</v>
      </c>
      <c r="B14" s="15" t="s">
        <v>159</v>
      </c>
      <c r="C14" s="15" t="s">
        <v>160</v>
      </c>
      <c r="D14" s="15" t="s">
        <v>161</v>
      </c>
      <c r="E14" s="15" t="s">
        <v>162</v>
      </c>
      <c r="F14" s="8" t="s">
        <v>157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1"/>
  <sheetViews>
    <sheetView topLeftCell="A28" workbookViewId="0">
      <selection sqref="A1:Q1"/>
    </sheetView>
  </sheetViews>
  <sheetFormatPr baseColWidth="10" defaultColWidth="9" defaultRowHeight="14.25"/>
  <cols>
    <col min="1" max="1" width="10" customWidth="1"/>
    <col min="2" max="2" width="25" customWidth="1"/>
    <col min="3" max="3" width="54" customWidth="1"/>
    <col min="4" max="4" width="13" customWidth="1"/>
    <col min="5" max="5" width="17" customWidth="1"/>
    <col min="6" max="6" width="23" customWidth="1"/>
    <col min="7" max="7" width="25" customWidth="1"/>
    <col min="8" max="8" width="27" customWidth="1"/>
    <col min="9" max="9" width="12" customWidth="1"/>
    <col min="10" max="10" width="48" customWidth="1"/>
    <col min="11" max="12" width="24" customWidth="1"/>
    <col min="13" max="13" width="14" customWidth="1"/>
    <col min="14" max="14" width="21" customWidth="1"/>
    <col min="15" max="16" width="14" customWidth="1"/>
    <col min="17" max="17" width="42" customWidth="1"/>
  </cols>
  <sheetData>
    <row r="1" spans="1:17" ht="24.95" customHeight="1">
      <c r="A1" s="71" t="s">
        <v>163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</row>
    <row r="2" spans="1:17" ht="24" customHeight="1">
      <c r="A2" s="92" t="s">
        <v>164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</row>
    <row r="4" spans="1:17" ht="33.950000000000003" customHeight="1">
      <c r="A4" s="28" t="s">
        <v>61</v>
      </c>
      <c r="B4" s="29" t="s">
        <v>101</v>
      </c>
      <c r="C4" s="29" t="s">
        <v>165</v>
      </c>
      <c r="D4" s="29" t="s">
        <v>103</v>
      </c>
      <c r="E4" s="29" t="s">
        <v>166</v>
      </c>
      <c r="F4" s="29" t="s">
        <v>167</v>
      </c>
      <c r="G4" s="29" t="s">
        <v>168</v>
      </c>
      <c r="H4" s="29" t="s">
        <v>169</v>
      </c>
      <c r="I4" s="29" t="s">
        <v>170</v>
      </c>
      <c r="J4" s="29" t="s">
        <v>171</v>
      </c>
      <c r="K4" s="29" t="s">
        <v>172</v>
      </c>
      <c r="L4" s="29" t="s">
        <v>173</v>
      </c>
      <c r="M4" s="29" t="s">
        <v>174</v>
      </c>
      <c r="N4" s="30" t="s">
        <v>175</v>
      </c>
      <c r="O4" s="31" t="s">
        <v>176</v>
      </c>
      <c r="P4" s="31" t="s">
        <v>177</v>
      </c>
      <c r="Q4" s="32" t="s">
        <v>178</v>
      </c>
    </row>
    <row r="5" spans="1:17" ht="51.95" customHeight="1">
      <c r="A5" s="46" t="s">
        <v>179</v>
      </c>
      <c r="B5" s="33" t="s">
        <v>180</v>
      </c>
      <c r="C5" s="33" t="s">
        <v>181</v>
      </c>
      <c r="D5" s="33" t="s">
        <v>182</v>
      </c>
      <c r="E5" s="33" t="s">
        <v>157</v>
      </c>
      <c r="F5" s="33" t="s">
        <v>183</v>
      </c>
      <c r="G5" s="33" t="s">
        <v>184</v>
      </c>
      <c r="H5" s="33" t="s">
        <v>185</v>
      </c>
      <c r="I5" s="33" t="s">
        <v>10</v>
      </c>
      <c r="J5" s="33" t="s">
        <v>186</v>
      </c>
      <c r="K5" s="33" t="s">
        <v>187</v>
      </c>
      <c r="L5" s="33" t="s">
        <v>157</v>
      </c>
      <c r="M5" s="33" t="s">
        <v>188</v>
      </c>
      <c r="N5" s="37" t="s">
        <v>189</v>
      </c>
      <c r="O5" s="38">
        <v>46274</v>
      </c>
      <c r="P5" s="38">
        <v>46277</v>
      </c>
      <c r="Q5" s="39" t="s">
        <v>190</v>
      </c>
    </row>
    <row r="6" spans="1:17" ht="51.95" customHeight="1">
      <c r="A6" s="47" t="s">
        <v>191</v>
      </c>
      <c r="B6" s="36" t="s">
        <v>192</v>
      </c>
      <c r="C6" s="36" t="s">
        <v>193</v>
      </c>
      <c r="D6" s="36" t="s">
        <v>182</v>
      </c>
      <c r="E6" s="36" t="s">
        <v>157</v>
      </c>
      <c r="F6" s="36" t="s">
        <v>183</v>
      </c>
      <c r="G6" s="36" t="s">
        <v>194</v>
      </c>
      <c r="H6" s="36" t="s">
        <v>195</v>
      </c>
      <c r="I6" s="36" t="s">
        <v>10</v>
      </c>
      <c r="J6" s="36" t="s">
        <v>196</v>
      </c>
      <c r="K6" s="36" t="s">
        <v>197</v>
      </c>
      <c r="L6" s="36" t="s">
        <v>179</v>
      </c>
      <c r="M6" s="36" t="s">
        <v>188</v>
      </c>
      <c r="N6" s="40" t="s">
        <v>189</v>
      </c>
      <c r="O6" s="41">
        <v>46275</v>
      </c>
      <c r="P6" s="41">
        <v>46276</v>
      </c>
      <c r="Q6" s="42" t="s">
        <v>198</v>
      </c>
    </row>
    <row r="7" spans="1:17" ht="51.95" customHeight="1">
      <c r="A7" s="48" t="s">
        <v>199</v>
      </c>
      <c r="B7" s="34" t="s">
        <v>200</v>
      </c>
      <c r="C7" s="34" t="s">
        <v>201</v>
      </c>
      <c r="D7" s="34" t="s">
        <v>182</v>
      </c>
      <c r="E7" s="34" t="s">
        <v>157</v>
      </c>
      <c r="F7" s="34" t="s">
        <v>202</v>
      </c>
      <c r="G7" s="34" t="s">
        <v>194</v>
      </c>
      <c r="H7" s="34" t="s">
        <v>203</v>
      </c>
      <c r="I7" s="34" t="s">
        <v>10</v>
      </c>
      <c r="J7" s="34" t="s">
        <v>204</v>
      </c>
      <c r="K7" s="34" t="s">
        <v>205</v>
      </c>
      <c r="L7" s="34" t="s">
        <v>191</v>
      </c>
      <c r="M7" s="34" t="s">
        <v>188</v>
      </c>
      <c r="N7" s="40" t="s">
        <v>189</v>
      </c>
      <c r="O7" s="41">
        <v>46275</v>
      </c>
      <c r="P7" s="41">
        <v>46278</v>
      </c>
      <c r="Q7" s="42" t="s">
        <v>206</v>
      </c>
    </row>
    <row r="8" spans="1:17" ht="51.95" customHeight="1">
      <c r="A8" s="47" t="s">
        <v>207</v>
      </c>
      <c r="B8" s="36" t="s">
        <v>208</v>
      </c>
      <c r="C8" s="36" t="s">
        <v>209</v>
      </c>
      <c r="D8" s="36" t="s">
        <v>182</v>
      </c>
      <c r="E8" s="36" t="s">
        <v>157</v>
      </c>
      <c r="F8" s="36" t="s">
        <v>183</v>
      </c>
      <c r="G8" s="36" t="s">
        <v>194</v>
      </c>
      <c r="H8" s="36" t="s">
        <v>210</v>
      </c>
      <c r="I8" s="36" t="s">
        <v>10</v>
      </c>
      <c r="J8" s="36" t="s">
        <v>211</v>
      </c>
      <c r="K8" s="36" t="s">
        <v>212</v>
      </c>
      <c r="L8" s="36" t="s">
        <v>157</v>
      </c>
      <c r="M8" s="36" t="s">
        <v>188</v>
      </c>
      <c r="N8" s="40" t="s">
        <v>189</v>
      </c>
      <c r="O8" s="41">
        <v>46276</v>
      </c>
      <c r="P8" s="41">
        <v>46278</v>
      </c>
      <c r="Q8" s="42" t="s">
        <v>213</v>
      </c>
    </row>
    <row r="9" spans="1:17" ht="51.95" customHeight="1">
      <c r="A9" s="48" t="s">
        <v>110</v>
      </c>
      <c r="B9" s="34" t="s">
        <v>214</v>
      </c>
      <c r="C9" s="34" t="s">
        <v>215</v>
      </c>
      <c r="D9" s="34" t="s">
        <v>182</v>
      </c>
      <c r="E9" s="34" t="s">
        <v>157</v>
      </c>
      <c r="F9" s="34" t="s">
        <v>216</v>
      </c>
      <c r="G9" s="34" t="s">
        <v>194</v>
      </c>
      <c r="H9" s="34" t="s">
        <v>217</v>
      </c>
      <c r="I9" s="34" t="s">
        <v>10</v>
      </c>
      <c r="J9" s="34" t="s">
        <v>218</v>
      </c>
      <c r="K9" s="34" t="s">
        <v>219</v>
      </c>
      <c r="L9" s="34" t="s">
        <v>220</v>
      </c>
      <c r="M9" s="34" t="s">
        <v>188</v>
      </c>
      <c r="N9" s="40" t="s">
        <v>221</v>
      </c>
      <c r="O9" s="41">
        <v>46281</v>
      </c>
      <c r="P9" s="41">
        <v>46284</v>
      </c>
      <c r="Q9" s="42" t="s">
        <v>222</v>
      </c>
    </row>
    <row r="10" spans="1:17" ht="51.95" customHeight="1">
      <c r="A10" s="47" t="s">
        <v>116</v>
      </c>
      <c r="B10" s="36" t="s">
        <v>223</v>
      </c>
      <c r="C10" s="36" t="s">
        <v>224</v>
      </c>
      <c r="D10" s="36" t="s">
        <v>182</v>
      </c>
      <c r="E10" s="36" t="s">
        <v>157</v>
      </c>
      <c r="F10" s="36" t="s">
        <v>225</v>
      </c>
      <c r="G10" s="36" t="s">
        <v>194</v>
      </c>
      <c r="H10" s="36" t="s">
        <v>226</v>
      </c>
      <c r="I10" s="36" t="s">
        <v>10</v>
      </c>
      <c r="J10" s="36" t="s">
        <v>227</v>
      </c>
      <c r="K10" s="36" t="s">
        <v>114</v>
      </c>
      <c r="L10" s="36" t="s">
        <v>110</v>
      </c>
      <c r="M10" s="36" t="s">
        <v>188</v>
      </c>
      <c r="N10" s="40" t="s">
        <v>221</v>
      </c>
      <c r="O10" s="41">
        <v>46282</v>
      </c>
      <c r="P10" s="41">
        <v>46282</v>
      </c>
      <c r="Q10" s="42" t="s">
        <v>228</v>
      </c>
    </row>
    <row r="11" spans="1:17" ht="51.95" customHeight="1">
      <c r="A11" s="48" t="s">
        <v>122</v>
      </c>
      <c r="B11" s="34" t="s">
        <v>229</v>
      </c>
      <c r="C11" s="34" t="s">
        <v>230</v>
      </c>
      <c r="D11" s="34" t="s">
        <v>182</v>
      </c>
      <c r="E11" s="34" t="s">
        <v>157</v>
      </c>
      <c r="F11" s="34" t="s">
        <v>183</v>
      </c>
      <c r="G11" s="34" t="s">
        <v>194</v>
      </c>
      <c r="H11" s="34" t="s">
        <v>231</v>
      </c>
      <c r="I11" s="34" t="s">
        <v>10</v>
      </c>
      <c r="J11" s="34" t="s">
        <v>232</v>
      </c>
      <c r="K11" s="34" t="s">
        <v>233</v>
      </c>
      <c r="L11" s="34" t="s">
        <v>234</v>
      </c>
      <c r="M11" s="34" t="s">
        <v>188</v>
      </c>
      <c r="N11" s="40" t="s">
        <v>221</v>
      </c>
      <c r="O11" s="41">
        <v>46283</v>
      </c>
      <c r="P11" s="41">
        <v>46284</v>
      </c>
      <c r="Q11" s="42" t="s">
        <v>235</v>
      </c>
    </row>
    <row r="12" spans="1:17" ht="51.95" customHeight="1">
      <c r="A12" s="47" t="s">
        <v>236</v>
      </c>
      <c r="B12" s="36" t="s">
        <v>237</v>
      </c>
      <c r="C12" s="36" t="s">
        <v>238</v>
      </c>
      <c r="D12" s="36" t="s">
        <v>182</v>
      </c>
      <c r="E12" s="36" t="s">
        <v>157</v>
      </c>
      <c r="F12" s="36" t="s">
        <v>183</v>
      </c>
      <c r="G12" s="36" t="s">
        <v>239</v>
      </c>
      <c r="H12" s="36" t="s">
        <v>240</v>
      </c>
      <c r="I12" s="36" t="s">
        <v>17</v>
      </c>
      <c r="J12" s="36" t="s">
        <v>241</v>
      </c>
      <c r="K12" s="36" t="s">
        <v>242</v>
      </c>
      <c r="L12" s="36" t="s">
        <v>122</v>
      </c>
      <c r="M12" s="36" t="s">
        <v>243</v>
      </c>
      <c r="N12" s="40" t="s">
        <v>221</v>
      </c>
      <c r="O12" s="41">
        <v>46285</v>
      </c>
      <c r="P12" s="41">
        <v>46285</v>
      </c>
      <c r="Q12" s="42" t="s">
        <v>244</v>
      </c>
    </row>
    <row r="13" spans="1:17" ht="51.95" customHeight="1">
      <c r="A13" s="48" t="s">
        <v>245</v>
      </c>
      <c r="B13" s="34" t="s">
        <v>246</v>
      </c>
      <c r="C13" s="34" t="s">
        <v>247</v>
      </c>
      <c r="D13" s="34" t="s">
        <v>182</v>
      </c>
      <c r="E13" s="34" t="s">
        <v>157</v>
      </c>
      <c r="F13" s="34" t="s">
        <v>248</v>
      </c>
      <c r="G13" s="34" t="s">
        <v>194</v>
      </c>
      <c r="H13" s="34" t="s">
        <v>249</v>
      </c>
      <c r="I13" s="34" t="s">
        <v>10</v>
      </c>
      <c r="J13" s="34" t="s">
        <v>250</v>
      </c>
      <c r="K13" s="34" t="s">
        <v>251</v>
      </c>
      <c r="L13" s="34" t="s">
        <v>110</v>
      </c>
      <c r="M13" s="34" t="s">
        <v>188</v>
      </c>
      <c r="N13" s="40" t="s">
        <v>221</v>
      </c>
      <c r="O13" s="41">
        <v>46283</v>
      </c>
      <c r="P13" s="41">
        <v>46284</v>
      </c>
      <c r="Q13" s="42" t="s">
        <v>252</v>
      </c>
    </row>
    <row r="14" spans="1:17" ht="51.95" customHeight="1">
      <c r="A14" s="47" t="s">
        <v>253</v>
      </c>
      <c r="B14" s="36" t="s">
        <v>254</v>
      </c>
      <c r="C14" s="36" t="s">
        <v>255</v>
      </c>
      <c r="D14" s="36" t="s">
        <v>182</v>
      </c>
      <c r="E14" s="36" t="s">
        <v>157</v>
      </c>
      <c r="F14" s="36" t="s">
        <v>248</v>
      </c>
      <c r="G14" s="36" t="s">
        <v>194</v>
      </c>
      <c r="H14" s="36" t="s">
        <v>256</v>
      </c>
      <c r="I14" s="36" t="s">
        <v>10</v>
      </c>
      <c r="J14" s="36" t="s">
        <v>257</v>
      </c>
      <c r="K14" s="36" t="s">
        <v>258</v>
      </c>
      <c r="L14" s="36" t="s">
        <v>245</v>
      </c>
      <c r="M14" s="36" t="s">
        <v>188</v>
      </c>
      <c r="N14" s="40" t="s">
        <v>221</v>
      </c>
      <c r="O14" s="41">
        <v>46284</v>
      </c>
      <c r="P14" s="41">
        <v>46285</v>
      </c>
      <c r="Q14" s="42" t="s">
        <v>259</v>
      </c>
    </row>
    <row r="15" spans="1:17" ht="51.95" customHeight="1">
      <c r="A15" s="48" t="s">
        <v>260</v>
      </c>
      <c r="B15" s="34" t="s">
        <v>261</v>
      </c>
      <c r="C15" s="34" t="s">
        <v>262</v>
      </c>
      <c r="D15" s="34" t="s">
        <v>182</v>
      </c>
      <c r="E15" s="34" t="s">
        <v>157</v>
      </c>
      <c r="F15" s="34" t="s">
        <v>248</v>
      </c>
      <c r="G15" s="34" t="s">
        <v>239</v>
      </c>
      <c r="H15" s="34" t="s">
        <v>263</v>
      </c>
      <c r="I15" s="34" t="s">
        <v>17</v>
      </c>
      <c r="J15" s="34" t="s">
        <v>264</v>
      </c>
      <c r="K15" s="34" t="s">
        <v>265</v>
      </c>
      <c r="L15" s="34" t="s">
        <v>266</v>
      </c>
      <c r="M15" s="34" t="s">
        <v>243</v>
      </c>
      <c r="N15" s="40" t="s">
        <v>189</v>
      </c>
      <c r="O15" s="41">
        <v>46276</v>
      </c>
      <c r="P15" s="41">
        <v>46277</v>
      </c>
      <c r="Q15" s="42" t="s">
        <v>267</v>
      </c>
    </row>
    <row r="16" spans="1:17" ht="51.95" customHeight="1">
      <c r="A16" s="47" t="s">
        <v>268</v>
      </c>
      <c r="B16" s="36" t="s">
        <v>269</v>
      </c>
      <c r="C16" s="36" t="s">
        <v>270</v>
      </c>
      <c r="D16" s="36" t="s">
        <v>182</v>
      </c>
      <c r="E16" s="36" t="s">
        <v>157</v>
      </c>
      <c r="F16" s="36" t="s">
        <v>248</v>
      </c>
      <c r="G16" s="36" t="s">
        <v>239</v>
      </c>
      <c r="H16" s="36" t="s">
        <v>271</v>
      </c>
      <c r="I16" s="36" t="s">
        <v>17</v>
      </c>
      <c r="J16" s="36" t="s">
        <v>272</v>
      </c>
      <c r="K16" s="36" t="s">
        <v>273</v>
      </c>
      <c r="L16" s="36" t="s">
        <v>199</v>
      </c>
      <c r="M16" s="36" t="s">
        <v>243</v>
      </c>
      <c r="N16" s="40" t="s">
        <v>189</v>
      </c>
      <c r="O16" s="41">
        <v>46277</v>
      </c>
      <c r="P16" s="41">
        <v>46278</v>
      </c>
      <c r="Q16" s="42" t="s">
        <v>274</v>
      </c>
    </row>
    <row r="17" spans="1:17" ht="51.95" customHeight="1">
      <c r="A17" s="48" t="s">
        <v>275</v>
      </c>
      <c r="B17" s="34" t="s">
        <v>276</v>
      </c>
      <c r="C17" s="34" t="s">
        <v>277</v>
      </c>
      <c r="D17" s="34" t="s">
        <v>182</v>
      </c>
      <c r="E17" s="34" t="s">
        <v>157</v>
      </c>
      <c r="F17" s="34" t="s">
        <v>248</v>
      </c>
      <c r="G17" s="34" t="s">
        <v>239</v>
      </c>
      <c r="H17" s="34" t="s">
        <v>278</v>
      </c>
      <c r="I17" s="34" t="s">
        <v>18</v>
      </c>
      <c r="J17" s="34" t="s">
        <v>279</v>
      </c>
      <c r="K17" s="34" t="s">
        <v>280</v>
      </c>
      <c r="L17" s="34" t="s">
        <v>110</v>
      </c>
      <c r="M17" s="34" t="s">
        <v>243</v>
      </c>
      <c r="N17" s="40" t="s">
        <v>221</v>
      </c>
      <c r="O17" s="41">
        <v>46286</v>
      </c>
      <c r="P17" s="41">
        <v>46286</v>
      </c>
      <c r="Q17" s="42" t="s">
        <v>281</v>
      </c>
    </row>
    <row r="18" spans="1:17" ht="51.95" customHeight="1">
      <c r="A18" s="47" t="s">
        <v>134</v>
      </c>
      <c r="B18" s="36" t="s">
        <v>282</v>
      </c>
      <c r="C18" s="36" t="s">
        <v>283</v>
      </c>
      <c r="D18" s="36" t="s">
        <v>182</v>
      </c>
      <c r="E18" s="36" t="s">
        <v>157</v>
      </c>
      <c r="F18" s="36" t="s">
        <v>284</v>
      </c>
      <c r="G18" s="36" t="s">
        <v>194</v>
      </c>
      <c r="H18" s="36" t="s">
        <v>285</v>
      </c>
      <c r="I18" s="36" t="s">
        <v>10</v>
      </c>
      <c r="J18" s="36" t="s">
        <v>286</v>
      </c>
      <c r="K18" s="36" t="s">
        <v>287</v>
      </c>
      <c r="L18" s="36" t="s">
        <v>288</v>
      </c>
      <c r="M18" s="36" t="s">
        <v>188</v>
      </c>
      <c r="N18" s="40" t="s">
        <v>289</v>
      </c>
      <c r="O18" s="41">
        <v>46288</v>
      </c>
      <c r="P18" s="41">
        <v>46291</v>
      </c>
      <c r="Q18" s="42" t="s">
        <v>290</v>
      </c>
    </row>
    <row r="19" spans="1:17" ht="51.95" customHeight="1">
      <c r="A19" s="48" t="s">
        <v>291</v>
      </c>
      <c r="B19" s="34" t="s">
        <v>292</v>
      </c>
      <c r="C19" s="34" t="s">
        <v>293</v>
      </c>
      <c r="D19" s="34" t="s">
        <v>182</v>
      </c>
      <c r="E19" s="34" t="s">
        <v>157</v>
      </c>
      <c r="F19" s="34" t="s">
        <v>183</v>
      </c>
      <c r="G19" s="34" t="s">
        <v>194</v>
      </c>
      <c r="H19" s="34" t="s">
        <v>294</v>
      </c>
      <c r="I19" s="34" t="s">
        <v>10</v>
      </c>
      <c r="J19" s="34" t="s">
        <v>295</v>
      </c>
      <c r="K19" s="34" t="s">
        <v>296</v>
      </c>
      <c r="L19" s="34" t="s">
        <v>297</v>
      </c>
      <c r="M19" s="34" t="s">
        <v>188</v>
      </c>
      <c r="N19" s="40" t="s">
        <v>289</v>
      </c>
      <c r="O19" s="41">
        <v>46291</v>
      </c>
      <c r="P19" s="41">
        <v>46291</v>
      </c>
      <c r="Q19" s="42" t="s">
        <v>298</v>
      </c>
    </row>
    <row r="20" spans="1:17" ht="51.95" customHeight="1">
      <c r="A20" s="47" t="s">
        <v>297</v>
      </c>
      <c r="B20" s="36" t="s">
        <v>299</v>
      </c>
      <c r="C20" s="36" t="s">
        <v>300</v>
      </c>
      <c r="D20" s="36" t="s">
        <v>182</v>
      </c>
      <c r="E20" s="36" t="s">
        <v>157</v>
      </c>
      <c r="F20" s="36" t="s">
        <v>301</v>
      </c>
      <c r="G20" s="36" t="s">
        <v>194</v>
      </c>
      <c r="H20" s="36" t="s">
        <v>302</v>
      </c>
      <c r="I20" s="36" t="s">
        <v>10</v>
      </c>
      <c r="J20" s="36" t="s">
        <v>303</v>
      </c>
      <c r="K20" s="36" t="s">
        <v>138</v>
      </c>
      <c r="L20" s="36" t="s">
        <v>157</v>
      </c>
      <c r="M20" s="36" t="s">
        <v>188</v>
      </c>
      <c r="N20" s="40" t="s">
        <v>304</v>
      </c>
      <c r="O20" s="41">
        <v>46269</v>
      </c>
      <c r="P20" s="41">
        <v>46271</v>
      </c>
      <c r="Q20" s="42" t="s">
        <v>305</v>
      </c>
    </row>
    <row r="21" spans="1:17" ht="51.95" customHeight="1">
      <c r="A21" s="48" t="s">
        <v>306</v>
      </c>
      <c r="B21" s="34" t="s">
        <v>307</v>
      </c>
      <c r="C21" s="34" t="s">
        <v>308</v>
      </c>
      <c r="D21" s="34" t="s">
        <v>182</v>
      </c>
      <c r="E21" s="34" t="s">
        <v>157</v>
      </c>
      <c r="F21" s="34" t="s">
        <v>248</v>
      </c>
      <c r="G21" s="34" t="s">
        <v>239</v>
      </c>
      <c r="H21" s="34" t="s">
        <v>309</v>
      </c>
      <c r="I21" s="34" t="s">
        <v>17</v>
      </c>
      <c r="J21" s="34" t="s">
        <v>310</v>
      </c>
      <c r="K21" s="34" t="s">
        <v>311</v>
      </c>
      <c r="L21" s="34" t="s">
        <v>110</v>
      </c>
      <c r="M21" s="34" t="s">
        <v>243</v>
      </c>
      <c r="N21" s="40" t="s">
        <v>289</v>
      </c>
      <c r="O21" s="41">
        <v>46290</v>
      </c>
      <c r="P21" s="41">
        <v>46291</v>
      </c>
      <c r="Q21" s="42" t="s">
        <v>312</v>
      </c>
    </row>
    <row r="22" spans="1:17" ht="51.95" customHeight="1">
      <c r="A22" s="47" t="s">
        <v>313</v>
      </c>
      <c r="B22" s="36" t="s">
        <v>314</v>
      </c>
      <c r="C22" s="36" t="s">
        <v>315</v>
      </c>
      <c r="D22" s="36" t="s">
        <v>182</v>
      </c>
      <c r="E22" s="36" t="s">
        <v>157</v>
      </c>
      <c r="F22" s="36" t="s">
        <v>202</v>
      </c>
      <c r="G22" s="36" t="s">
        <v>239</v>
      </c>
      <c r="H22" s="36" t="s">
        <v>316</v>
      </c>
      <c r="I22" s="36" t="s">
        <v>18</v>
      </c>
      <c r="J22" s="36" t="s">
        <v>317</v>
      </c>
      <c r="K22" s="36" t="s">
        <v>318</v>
      </c>
      <c r="L22" s="36" t="s">
        <v>297</v>
      </c>
      <c r="M22" s="36" t="s">
        <v>243</v>
      </c>
      <c r="N22" s="40" t="s">
        <v>289</v>
      </c>
      <c r="O22" s="41">
        <v>46289</v>
      </c>
      <c r="P22" s="41">
        <v>46290</v>
      </c>
      <c r="Q22" s="42" t="s">
        <v>319</v>
      </c>
    </row>
    <row r="23" spans="1:17" ht="51.95" customHeight="1">
      <c r="A23" s="48" t="s">
        <v>320</v>
      </c>
      <c r="B23" s="34" t="s">
        <v>321</v>
      </c>
      <c r="C23" s="34" t="s">
        <v>322</v>
      </c>
      <c r="D23" s="34" t="s">
        <v>323</v>
      </c>
      <c r="E23" s="34" t="s">
        <v>324</v>
      </c>
      <c r="F23" s="34" t="s">
        <v>301</v>
      </c>
      <c r="G23" s="34" t="s">
        <v>184</v>
      </c>
      <c r="H23" s="34" t="s">
        <v>325</v>
      </c>
      <c r="I23" s="34" t="s">
        <v>10</v>
      </c>
      <c r="J23" s="34" t="s">
        <v>326</v>
      </c>
      <c r="K23" s="34" t="s">
        <v>327</v>
      </c>
      <c r="L23" s="34" t="s">
        <v>157</v>
      </c>
      <c r="M23" s="34" t="s">
        <v>188</v>
      </c>
      <c r="N23" s="40" t="s">
        <v>328</v>
      </c>
      <c r="O23" s="41">
        <v>46253</v>
      </c>
      <c r="P23" s="41">
        <v>46309</v>
      </c>
      <c r="Q23" s="42" t="s">
        <v>329</v>
      </c>
    </row>
    <row r="24" spans="1:17" ht="51.95" customHeight="1">
      <c r="A24" s="47" t="s">
        <v>330</v>
      </c>
      <c r="B24" s="36" t="s">
        <v>331</v>
      </c>
      <c r="C24" s="36" t="s">
        <v>332</v>
      </c>
      <c r="D24" s="36" t="s">
        <v>323</v>
      </c>
      <c r="E24" s="36" t="s">
        <v>138</v>
      </c>
      <c r="F24" s="36" t="s">
        <v>301</v>
      </c>
      <c r="G24" s="36" t="s">
        <v>194</v>
      </c>
      <c r="H24" s="36" t="s">
        <v>333</v>
      </c>
      <c r="I24" s="36" t="s">
        <v>10</v>
      </c>
      <c r="J24" s="36" t="s">
        <v>334</v>
      </c>
      <c r="K24" s="36" t="s">
        <v>138</v>
      </c>
      <c r="L24" s="36" t="s">
        <v>297</v>
      </c>
      <c r="M24" s="36" t="s">
        <v>188</v>
      </c>
      <c r="N24" s="40" t="s">
        <v>304</v>
      </c>
      <c r="O24" s="41">
        <v>46269</v>
      </c>
      <c r="P24" s="41">
        <v>46271</v>
      </c>
      <c r="Q24" s="42" t="s">
        <v>305</v>
      </c>
    </row>
    <row r="25" spans="1:17" ht="51.95" customHeight="1">
      <c r="A25" s="48" t="s">
        <v>335</v>
      </c>
      <c r="B25" s="34" t="s">
        <v>336</v>
      </c>
      <c r="C25" s="34" t="s">
        <v>337</v>
      </c>
      <c r="D25" s="34" t="s">
        <v>323</v>
      </c>
      <c r="E25" s="34" t="s">
        <v>338</v>
      </c>
      <c r="F25" s="34" t="s">
        <v>248</v>
      </c>
      <c r="G25" s="34" t="s">
        <v>194</v>
      </c>
      <c r="H25" s="34" t="s">
        <v>339</v>
      </c>
      <c r="I25" s="34" t="s">
        <v>10</v>
      </c>
      <c r="J25" s="34" t="s">
        <v>340</v>
      </c>
      <c r="K25" s="34" t="s">
        <v>251</v>
      </c>
      <c r="L25" s="34" t="s">
        <v>157</v>
      </c>
      <c r="M25" s="34" t="s">
        <v>188</v>
      </c>
      <c r="N25" s="40" t="s">
        <v>341</v>
      </c>
      <c r="O25" s="41">
        <v>46303</v>
      </c>
      <c r="P25" s="41">
        <v>46303</v>
      </c>
      <c r="Q25" s="42" t="s">
        <v>342</v>
      </c>
    </row>
    <row r="26" spans="1:17" ht="51.95" customHeight="1">
      <c r="A26" s="47" t="s">
        <v>343</v>
      </c>
      <c r="B26" s="36" t="s">
        <v>344</v>
      </c>
      <c r="C26" s="36" t="s">
        <v>345</v>
      </c>
      <c r="D26" s="36" t="s">
        <v>323</v>
      </c>
      <c r="E26" s="36" t="s">
        <v>338</v>
      </c>
      <c r="F26" s="36" t="s">
        <v>183</v>
      </c>
      <c r="G26" s="36" t="s">
        <v>184</v>
      </c>
      <c r="H26" s="36" t="s">
        <v>346</v>
      </c>
      <c r="I26" s="36" t="s">
        <v>10</v>
      </c>
      <c r="J26" s="36" t="s">
        <v>347</v>
      </c>
      <c r="K26" s="36" t="s">
        <v>348</v>
      </c>
      <c r="L26" s="36" t="s">
        <v>157</v>
      </c>
      <c r="M26" s="36" t="s">
        <v>188</v>
      </c>
      <c r="N26" s="40" t="s">
        <v>328</v>
      </c>
      <c r="O26" s="41">
        <v>46253</v>
      </c>
      <c r="P26" s="41">
        <v>46309</v>
      </c>
      <c r="Q26" s="42" t="s">
        <v>329</v>
      </c>
    </row>
    <row r="27" spans="1:17" ht="51.95" customHeight="1">
      <c r="A27" s="48" t="s">
        <v>349</v>
      </c>
      <c r="B27" s="34" t="s">
        <v>350</v>
      </c>
      <c r="C27" s="34" t="s">
        <v>351</v>
      </c>
      <c r="D27" s="34" t="s">
        <v>323</v>
      </c>
      <c r="E27" s="34" t="s">
        <v>352</v>
      </c>
      <c r="F27" s="34" t="s">
        <v>301</v>
      </c>
      <c r="G27" s="34" t="s">
        <v>184</v>
      </c>
      <c r="H27" s="34" t="s">
        <v>325</v>
      </c>
      <c r="I27" s="34" t="s">
        <v>17</v>
      </c>
      <c r="J27" s="34" t="s">
        <v>353</v>
      </c>
      <c r="K27" s="34" t="s">
        <v>327</v>
      </c>
      <c r="L27" s="34" t="s">
        <v>157</v>
      </c>
      <c r="M27" s="34" t="s">
        <v>188</v>
      </c>
      <c r="N27" s="40" t="s">
        <v>354</v>
      </c>
      <c r="O27" s="41"/>
      <c r="P27" s="41"/>
      <c r="Q27" s="42"/>
    </row>
    <row r="28" spans="1:17" ht="51.95" customHeight="1">
      <c r="A28" s="47" t="s">
        <v>355</v>
      </c>
      <c r="B28" s="36" t="s">
        <v>356</v>
      </c>
      <c r="C28" s="36" t="s">
        <v>357</v>
      </c>
      <c r="D28" s="36" t="s">
        <v>323</v>
      </c>
      <c r="E28" s="36" t="s">
        <v>358</v>
      </c>
      <c r="F28" s="36" t="s">
        <v>359</v>
      </c>
      <c r="G28" s="36" t="s">
        <v>194</v>
      </c>
      <c r="H28" s="36" t="s">
        <v>360</v>
      </c>
      <c r="I28" s="36" t="s">
        <v>10</v>
      </c>
      <c r="J28" s="36" t="s">
        <v>361</v>
      </c>
      <c r="K28" s="36" t="s">
        <v>358</v>
      </c>
      <c r="L28" s="36" t="s">
        <v>253</v>
      </c>
      <c r="M28" s="36" t="s">
        <v>188</v>
      </c>
      <c r="N28" s="40" t="s">
        <v>362</v>
      </c>
      <c r="O28" s="41">
        <v>46269</v>
      </c>
      <c r="P28" s="41">
        <v>46285</v>
      </c>
      <c r="Q28" s="42" t="s">
        <v>363</v>
      </c>
    </row>
    <row r="29" spans="1:17" ht="51.95" customHeight="1">
      <c r="A29" s="48" t="s">
        <v>364</v>
      </c>
      <c r="B29" s="34" t="s">
        <v>365</v>
      </c>
      <c r="C29" s="34" t="s">
        <v>366</v>
      </c>
      <c r="D29" s="34" t="s">
        <v>323</v>
      </c>
      <c r="E29" s="34" t="s">
        <v>367</v>
      </c>
      <c r="F29" s="34" t="s">
        <v>183</v>
      </c>
      <c r="G29" s="34" t="s">
        <v>194</v>
      </c>
      <c r="H29" s="34" t="s">
        <v>368</v>
      </c>
      <c r="I29" s="34" t="s">
        <v>17</v>
      </c>
      <c r="J29" s="34" t="s">
        <v>369</v>
      </c>
      <c r="K29" s="34" t="s">
        <v>370</v>
      </c>
      <c r="L29" s="34" t="s">
        <v>330</v>
      </c>
      <c r="M29" s="34" t="s">
        <v>188</v>
      </c>
      <c r="N29" s="40" t="s">
        <v>341</v>
      </c>
      <c r="O29" s="41">
        <v>46302</v>
      </c>
      <c r="P29" s="41">
        <v>46303</v>
      </c>
      <c r="Q29" s="42" t="s">
        <v>371</v>
      </c>
    </row>
    <row r="30" spans="1:17" ht="51.95" customHeight="1">
      <c r="A30" s="47" t="s">
        <v>372</v>
      </c>
      <c r="B30" s="36" t="s">
        <v>373</v>
      </c>
      <c r="C30" s="36" t="s">
        <v>374</v>
      </c>
      <c r="D30" s="36" t="s">
        <v>323</v>
      </c>
      <c r="E30" s="36" t="s">
        <v>375</v>
      </c>
      <c r="F30" s="36" t="s">
        <v>376</v>
      </c>
      <c r="G30" s="36" t="s">
        <v>194</v>
      </c>
      <c r="H30" s="36" t="s">
        <v>377</v>
      </c>
      <c r="I30" s="36" t="s">
        <v>10</v>
      </c>
      <c r="J30" s="36" t="s">
        <v>378</v>
      </c>
      <c r="K30" s="36" t="s">
        <v>379</v>
      </c>
      <c r="L30" s="36" t="s">
        <v>355</v>
      </c>
      <c r="M30" s="36" t="s">
        <v>188</v>
      </c>
      <c r="N30" s="40" t="s">
        <v>341</v>
      </c>
      <c r="O30" s="41">
        <v>46304</v>
      </c>
      <c r="P30" s="41">
        <v>46307</v>
      </c>
      <c r="Q30" s="42" t="s">
        <v>380</v>
      </c>
    </row>
    <row r="31" spans="1:17" ht="51.95" customHeight="1">
      <c r="A31" s="49" t="s">
        <v>381</v>
      </c>
      <c r="B31" s="35" t="s">
        <v>382</v>
      </c>
      <c r="C31" s="35" t="s">
        <v>383</v>
      </c>
      <c r="D31" s="35" t="s">
        <v>323</v>
      </c>
      <c r="E31" s="35" t="s">
        <v>384</v>
      </c>
      <c r="F31" s="35" t="s">
        <v>359</v>
      </c>
      <c r="G31" s="35" t="s">
        <v>194</v>
      </c>
      <c r="H31" s="35" t="s">
        <v>385</v>
      </c>
      <c r="I31" s="35" t="s">
        <v>17</v>
      </c>
      <c r="J31" s="35" t="s">
        <v>386</v>
      </c>
      <c r="K31" s="35" t="s">
        <v>387</v>
      </c>
      <c r="L31" s="35" t="s">
        <v>157</v>
      </c>
      <c r="M31" s="35" t="s">
        <v>188</v>
      </c>
      <c r="N31" s="43" t="s">
        <v>388</v>
      </c>
      <c r="O31" s="44">
        <v>46279</v>
      </c>
      <c r="P31" s="44">
        <v>46309</v>
      </c>
      <c r="Q31" s="45" t="s">
        <v>389</v>
      </c>
    </row>
  </sheetData>
  <mergeCells count="2">
    <mergeCell ref="A1:Q1"/>
    <mergeCell ref="A2:Q2"/>
  </mergeCells>
  <conditionalFormatting sqref="I5:I31">
    <cfRule type="expression" dxfId="5" priority="6">
      <formula>I5="Must"</formula>
    </cfRule>
  </conditionalFormatting>
  <conditionalFormatting sqref="M5:M31">
    <cfRule type="expression" dxfId="4" priority="4">
      <formula>M5="Aprobado"</formula>
    </cfRule>
    <cfRule type="expression" dxfId="3" priority="5">
      <formula>M5="Planificado"</formula>
    </cfRule>
  </conditionalFormatting>
  <dataValidations count="3">
    <dataValidation type="list" sqref="D5:D31" xr:uid="{00000000-0002-0000-0300-000000000000}">
      <formula1>"Funcional,No funcional"</formula1>
    </dataValidation>
    <dataValidation type="list" sqref="I5:I31" xr:uid="{00000000-0002-0000-0300-000001000000}">
      <formula1>"Must,Should,Could"</formula1>
    </dataValidation>
    <dataValidation type="list" sqref="M5:M31" xr:uid="{00000000-0002-0000-0300-000002000000}">
      <formula1>"Aprobado,Planificado,Por validar,Fuera de alcance"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1"/>
  <sheetViews>
    <sheetView workbookViewId="0">
      <selection sqref="A1:H1"/>
    </sheetView>
  </sheetViews>
  <sheetFormatPr baseColWidth="10" defaultColWidth="9" defaultRowHeight="14.25"/>
  <cols>
    <col min="1" max="1" width="10" customWidth="1"/>
    <col min="2" max="2" width="13" customWidth="1"/>
    <col min="3" max="3" width="43" customWidth="1"/>
    <col min="4" max="4" width="42" customWidth="1"/>
    <col min="5" max="5" width="62" customWidth="1"/>
    <col min="6" max="6" width="34" customWidth="1"/>
    <col min="7" max="7" width="16" customWidth="1"/>
    <col min="8" max="8" width="18" customWidth="1"/>
  </cols>
  <sheetData>
    <row r="1" spans="1:8" ht="19.149999999999999" customHeight="1">
      <c r="A1" s="90" t="s">
        <v>390</v>
      </c>
      <c r="B1" s="90"/>
      <c r="C1" s="90"/>
      <c r="D1" s="90"/>
      <c r="E1" s="90"/>
      <c r="F1" s="90"/>
      <c r="G1" s="90"/>
      <c r="H1" s="90"/>
    </row>
    <row r="2" spans="1:8" ht="15" customHeight="1">
      <c r="A2" s="91" t="s">
        <v>391</v>
      </c>
      <c r="B2" s="91"/>
      <c r="C2" s="91"/>
      <c r="D2" s="91"/>
      <c r="E2" s="91"/>
      <c r="F2" s="91"/>
      <c r="G2" s="91"/>
      <c r="H2" s="91"/>
    </row>
    <row r="4" spans="1:8" ht="15" customHeight="1">
      <c r="A4" s="1" t="s">
        <v>61</v>
      </c>
      <c r="B4" s="12" t="s">
        <v>392</v>
      </c>
      <c r="C4" s="12" t="s">
        <v>393</v>
      </c>
      <c r="D4" s="12" t="s">
        <v>394</v>
      </c>
      <c r="E4" s="12" t="s">
        <v>395</v>
      </c>
      <c r="F4" s="12" t="s">
        <v>396</v>
      </c>
      <c r="G4" s="12" t="s">
        <v>174</v>
      </c>
      <c r="H4" s="2" t="s">
        <v>397</v>
      </c>
    </row>
    <row r="5" spans="1:8" ht="21.6" customHeight="1">
      <c r="A5" s="3" t="s">
        <v>398</v>
      </c>
      <c r="B5" s="13" t="s">
        <v>179</v>
      </c>
      <c r="C5" s="13" t="s">
        <v>399</v>
      </c>
      <c r="D5" s="13" t="s">
        <v>400</v>
      </c>
      <c r="E5" s="13" t="s">
        <v>186</v>
      </c>
      <c r="F5" s="13"/>
      <c r="G5" s="13" t="s">
        <v>401</v>
      </c>
      <c r="H5" s="4" t="s">
        <v>189</v>
      </c>
    </row>
    <row r="6" spans="1:8" ht="15" customHeight="1">
      <c r="A6" s="5" t="s">
        <v>402</v>
      </c>
      <c r="B6" s="14" t="s">
        <v>191</v>
      </c>
      <c r="C6" s="14" t="s">
        <v>403</v>
      </c>
      <c r="D6" s="14" t="s">
        <v>400</v>
      </c>
      <c r="E6" s="14" t="s">
        <v>196</v>
      </c>
      <c r="F6" s="14"/>
      <c r="G6" s="14" t="s">
        <v>401</v>
      </c>
      <c r="H6" s="6" t="s">
        <v>189</v>
      </c>
    </row>
    <row r="7" spans="1:8" ht="15" customHeight="1">
      <c r="A7" s="5" t="s">
        <v>404</v>
      </c>
      <c r="B7" s="14" t="s">
        <v>199</v>
      </c>
      <c r="C7" s="14" t="s">
        <v>405</v>
      </c>
      <c r="D7" s="14" t="s">
        <v>400</v>
      </c>
      <c r="E7" s="14" t="s">
        <v>204</v>
      </c>
      <c r="F7" s="14"/>
      <c r="G7" s="14" t="s">
        <v>401</v>
      </c>
      <c r="H7" s="6" t="s">
        <v>189</v>
      </c>
    </row>
    <row r="8" spans="1:8" ht="15" customHeight="1">
      <c r="A8" s="5" t="s">
        <v>406</v>
      </c>
      <c r="B8" s="14" t="s">
        <v>207</v>
      </c>
      <c r="C8" s="14" t="s">
        <v>407</v>
      </c>
      <c r="D8" s="14" t="s">
        <v>400</v>
      </c>
      <c r="E8" s="14" t="s">
        <v>211</v>
      </c>
      <c r="F8" s="14"/>
      <c r="G8" s="14" t="s">
        <v>401</v>
      </c>
      <c r="H8" s="6" t="s">
        <v>189</v>
      </c>
    </row>
    <row r="9" spans="1:8" ht="21.6" customHeight="1">
      <c r="A9" s="5" t="s">
        <v>408</v>
      </c>
      <c r="B9" s="14" t="s">
        <v>110</v>
      </c>
      <c r="C9" s="14" t="s">
        <v>409</v>
      </c>
      <c r="D9" s="14" t="s">
        <v>400</v>
      </c>
      <c r="E9" s="14" t="s">
        <v>218</v>
      </c>
      <c r="F9" s="14"/>
      <c r="G9" s="14" t="s">
        <v>401</v>
      </c>
      <c r="H9" s="6" t="s">
        <v>221</v>
      </c>
    </row>
    <row r="10" spans="1:8" ht="21.6" customHeight="1">
      <c r="A10" s="5" t="s">
        <v>410</v>
      </c>
      <c r="B10" s="14" t="s">
        <v>116</v>
      </c>
      <c r="C10" s="14" t="s">
        <v>411</v>
      </c>
      <c r="D10" s="14" t="s">
        <v>400</v>
      </c>
      <c r="E10" s="14" t="s">
        <v>227</v>
      </c>
      <c r="F10" s="14"/>
      <c r="G10" s="14" t="s">
        <v>401</v>
      </c>
      <c r="H10" s="6" t="s">
        <v>221</v>
      </c>
    </row>
    <row r="11" spans="1:8" ht="21.6" customHeight="1">
      <c r="A11" s="5" t="s">
        <v>412</v>
      </c>
      <c r="B11" s="14" t="s">
        <v>122</v>
      </c>
      <c r="C11" s="14" t="s">
        <v>413</v>
      </c>
      <c r="D11" s="14" t="s">
        <v>400</v>
      </c>
      <c r="E11" s="14" t="s">
        <v>232</v>
      </c>
      <c r="F11" s="14"/>
      <c r="G11" s="14" t="s">
        <v>401</v>
      </c>
      <c r="H11" s="6" t="s">
        <v>221</v>
      </c>
    </row>
    <row r="12" spans="1:8" ht="15" customHeight="1">
      <c r="A12" s="5" t="s">
        <v>414</v>
      </c>
      <c r="B12" s="14" t="s">
        <v>236</v>
      </c>
      <c r="C12" s="14" t="s">
        <v>415</v>
      </c>
      <c r="D12" s="14" t="s">
        <v>400</v>
      </c>
      <c r="E12" s="14" t="s">
        <v>241</v>
      </c>
      <c r="F12" s="14"/>
      <c r="G12" s="14" t="s">
        <v>401</v>
      </c>
      <c r="H12" s="6" t="s">
        <v>221</v>
      </c>
    </row>
    <row r="13" spans="1:8" ht="15" customHeight="1">
      <c r="A13" s="5" t="s">
        <v>416</v>
      </c>
      <c r="B13" s="14" t="s">
        <v>245</v>
      </c>
      <c r="C13" s="14" t="s">
        <v>417</v>
      </c>
      <c r="D13" s="14" t="s">
        <v>400</v>
      </c>
      <c r="E13" s="14" t="s">
        <v>250</v>
      </c>
      <c r="F13" s="14"/>
      <c r="G13" s="14" t="s">
        <v>401</v>
      </c>
      <c r="H13" s="6" t="s">
        <v>221</v>
      </c>
    </row>
    <row r="14" spans="1:8" ht="21.6" customHeight="1">
      <c r="A14" s="5" t="s">
        <v>418</v>
      </c>
      <c r="B14" s="14" t="s">
        <v>253</v>
      </c>
      <c r="C14" s="14" t="s">
        <v>419</v>
      </c>
      <c r="D14" s="14" t="s">
        <v>400</v>
      </c>
      <c r="E14" s="14" t="s">
        <v>257</v>
      </c>
      <c r="F14" s="14"/>
      <c r="G14" s="14" t="s">
        <v>401</v>
      </c>
      <c r="H14" s="6" t="s">
        <v>221</v>
      </c>
    </row>
    <row r="15" spans="1:8" ht="15" customHeight="1">
      <c r="A15" s="5" t="s">
        <v>420</v>
      </c>
      <c r="B15" s="14" t="s">
        <v>260</v>
      </c>
      <c r="C15" s="14" t="s">
        <v>421</v>
      </c>
      <c r="D15" s="14" t="s">
        <v>400</v>
      </c>
      <c r="E15" s="14" t="s">
        <v>264</v>
      </c>
      <c r="F15" s="14"/>
      <c r="G15" s="14" t="s">
        <v>401</v>
      </c>
      <c r="H15" s="6" t="s">
        <v>189</v>
      </c>
    </row>
    <row r="16" spans="1:8" ht="15" customHeight="1">
      <c r="A16" s="5" t="s">
        <v>422</v>
      </c>
      <c r="B16" s="14" t="s">
        <v>268</v>
      </c>
      <c r="C16" s="14" t="s">
        <v>423</v>
      </c>
      <c r="D16" s="14" t="s">
        <v>400</v>
      </c>
      <c r="E16" s="14" t="s">
        <v>272</v>
      </c>
      <c r="F16" s="14"/>
      <c r="G16" s="14" t="s">
        <v>401</v>
      </c>
      <c r="H16" s="6" t="s">
        <v>189</v>
      </c>
    </row>
    <row r="17" spans="1:8" ht="15" customHeight="1">
      <c r="A17" s="5" t="s">
        <v>424</v>
      </c>
      <c r="B17" s="14" t="s">
        <v>275</v>
      </c>
      <c r="C17" s="14" t="s">
        <v>425</v>
      </c>
      <c r="D17" s="14" t="s">
        <v>400</v>
      </c>
      <c r="E17" s="14" t="s">
        <v>279</v>
      </c>
      <c r="F17" s="14"/>
      <c r="G17" s="14" t="s">
        <v>401</v>
      </c>
      <c r="H17" s="6" t="s">
        <v>221</v>
      </c>
    </row>
    <row r="18" spans="1:8" ht="21.6" customHeight="1">
      <c r="A18" s="5" t="s">
        <v>426</v>
      </c>
      <c r="B18" s="14" t="s">
        <v>134</v>
      </c>
      <c r="C18" s="14" t="s">
        <v>427</v>
      </c>
      <c r="D18" s="14" t="s">
        <v>400</v>
      </c>
      <c r="E18" s="14" t="s">
        <v>286</v>
      </c>
      <c r="F18" s="14"/>
      <c r="G18" s="14" t="s">
        <v>401</v>
      </c>
      <c r="H18" s="6" t="s">
        <v>289</v>
      </c>
    </row>
    <row r="19" spans="1:8" ht="21.6" customHeight="1">
      <c r="A19" s="5" t="s">
        <v>428</v>
      </c>
      <c r="B19" s="14" t="s">
        <v>291</v>
      </c>
      <c r="C19" s="14" t="s">
        <v>429</v>
      </c>
      <c r="D19" s="14" t="s">
        <v>400</v>
      </c>
      <c r="E19" s="14" t="s">
        <v>295</v>
      </c>
      <c r="F19" s="14"/>
      <c r="G19" s="14" t="s">
        <v>401</v>
      </c>
      <c r="H19" s="6" t="s">
        <v>289</v>
      </c>
    </row>
    <row r="20" spans="1:8" ht="21.6" customHeight="1">
      <c r="A20" s="5" t="s">
        <v>430</v>
      </c>
      <c r="B20" s="14" t="s">
        <v>297</v>
      </c>
      <c r="C20" s="14" t="s">
        <v>431</v>
      </c>
      <c r="D20" s="14" t="s">
        <v>400</v>
      </c>
      <c r="E20" s="14" t="s">
        <v>303</v>
      </c>
      <c r="F20" s="14"/>
      <c r="G20" s="14" t="s">
        <v>401</v>
      </c>
      <c r="H20" s="6" t="s">
        <v>304</v>
      </c>
    </row>
    <row r="21" spans="1:8" ht="15" customHeight="1">
      <c r="A21" s="5" t="s">
        <v>432</v>
      </c>
      <c r="B21" s="14" t="s">
        <v>306</v>
      </c>
      <c r="C21" s="14" t="s">
        <v>433</v>
      </c>
      <c r="D21" s="14" t="s">
        <v>400</v>
      </c>
      <c r="E21" s="14" t="s">
        <v>310</v>
      </c>
      <c r="F21" s="14"/>
      <c r="G21" s="14" t="s">
        <v>401</v>
      </c>
      <c r="H21" s="6" t="s">
        <v>289</v>
      </c>
    </row>
    <row r="22" spans="1:8" ht="21.6" customHeight="1">
      <c r="A22" s="5" t="s">
        <v>434</v>
      </c>
      <c r="B22" s="14" t="s">
        <v>313</v>
      </c>
      <c r="C22" s="14" t="s">
        <v>435</v>
      </c>
      <c r="D22" s="14" t="s">
        <v>400</v>
      </c>
      <c r="E22" s="14" t="s">
        <v>317</v>
      </c>
      <c r="F22" s="14"/>
      <c r="G22" s="14" t="s">
        <v>401</v>
      </c>
      <c r="H22" s="6" t="s">
        <v>289</v>
      </c>
    </row>
    <row r="23" spans="1:8" ht="21.6" customHeight="1">
      <c r="A23" s="5" t="s">
        <v>436</v>
      </c>
      <c r="B23" s="14" t="s">
        <v>320</v>
      </c>
      <c r="C23" s="14" t="s">
        <v>437</v>
      </c>
      <c r="D23" s="14" t="s">
        <v>438</v>
      </c>
      <c r="E23" s="14" t="s">
        <v>326</v>
      </c>
      <c r="F23" s="14"/>
      <c r="G23" s="14" t="s">
        <v>401</v>
      </c>
      <c r="H23" s="6" t="s">
        <v>327</v>
      </c>
    </row>
    <row r="24" spans="1:8" ht="15" customHeight="1">
      <c r="A24" s="5" t="s">
        <v>439</v>
      </c>
      <c r="B24" s="14" t="s">
        <v>330</v>
      </c>
      <c r="C24" s="14" t="s">
        <v>440</v>
      </c>
      <c r="D24" s="14" t="s">
        <v>438</v>
      </c>
      <c r="E24" s="14" t="s">
        <v>334</v>
      </c>
      <c r="F24" s="14"/>
      <c r="G24" s="14" t="s">
        <v>401</v>
      </c>
      <c r="H24" s="6" t="s">
        <v>441</v>
      </c>
    </row>
    <row r="25" spans="1:8" ht="15" customHeight="1">
      <c r="A25" s="5" t="s">
        <v>442</v>
      </c>
      <c r="B25" s="14" t="s">
        <v>335</v>
      </c>
      <c r="C25" s="14" t="s">
        <v>443</v>
      </c>
      <c r="D25" s="14" t="s">
        <v>438</v>
      </c>
      <c r="E25" s="14" t="s">
        <v>340</v>
      </c>
      <c r="F25" s="14"/>
      <c r="G25" s="14" t="s">
        <v>401</v>
      </c>
      <c r="H25" s="6" t="s">
        <v>341</v>
      </c>
    </row>
    <row r="26" spans="1:8" ht="15" customHeight="1">
      <c r="A26" s="5" t="s">
        <v>444</v>
      </c>
      <c r="B26" s="14" t="s">
        <v>343</v>
      </c>
      <c r="C26" s="14" t="s">
        <v>445</v>
      </c>
      <c r="D26" s="14" t="s">
        <v>438</v>
      </c>
      <c r="E26" s="14" t="s">
        <v>347</v>
      </c>
      <c r="F26" s="14"/>
      <c r="G26" s="14" t="s">
        <v>401</v>
      </c>
      <c r="H26" s="6" t="s">
        <v>327</v>
      </c>
    </row>
    <row r="27" spans="1:8" ht="21.6" customHeight="1">
      <c r="A27" s="5" t="s">
        <v>446</v>
      </c>
      <c r="B27" s="14" t="s">
        <v>349</v>
      </c>
      <c r="C27" s="14" t="s">
        <v>447</v>
      </c>
      <c r="D27" s="14" t="s">
        <v>438</v>
      </c>
      <c r="E27" s="14" t="s">
        <v>353</v>
      </c>
      <c r="F27" s="14"/>
      <c r="G27" s="14" t="s">
        <v>401</v>
      </c>
      <c r="H27" s="6" t="s">
        <v>354</v>
      </c>
    </row>
    <row r="28" spans="1:8" ht="21.6" customHeight="1">
      <c r="A28" s="5" t="s">
        <v>448</v>
      </c>
      <c r="B28" s="14" t="s">
        <v>355</v>
      </c>
      <c r="C28" s="14" t="s">
        <v>449</v>
      </c>
      <c r="D28" s="14" t="s">
        <v>438</v>
      </c>
      <c r="E28" s="14" t="s">
        <v>361</v>
      </c>
      <c r="F28" s="14"/>
      <c r="G28" s="14" t="s">
        <v>401</v>
      </c>
      <c r="H28" s="6" t="s">
        <v>450</v>
      </c>
    </row>
    <row r="29" spans="1:8" ht="21.6" customHeight="1">
      <c r="A29" s="5" t="s">
        <v>451</v>
      </c>
      <c r="B29" s="14" t="s">
        <v>364</v>
      </c>
      <c r="C29" s="14" t="s">
        <v>452</v>
      </c>
      <c r="D29" s="14" t="s">
        <v>438</v>
      </c>
      <c r="E29" s="14" t="s">
        <v>369</v>
      </c>
      <c r="F29" s="14"/>
      <c r="G29" s="14" t="s">
        <v>401</v>
      </c>
      <c r="H29" s="6" t="s">
        <v>341</v>
      </c>
    </row>
    <row r="30" spans="1:8" ht="21.6" customHeight="1">
      <c r="A30" s="5" t="s">
        <v>453</v>
      </c>
      <c r="B30" s="14" t="s">
        <v>372</v>
      </c>
      <c r="C30" s="14" t="s">
        <v>454</v>
      </c>
      <c r="D30" s="14" t="s">
        <v>438</v>
      </c>
      <c r="E30" s="14" t="s">
        <v>378</v>
      </c>
      <c r="F30" s="14"/>
      <c r="G30" s="14" t="s">
        <v>401</v>
      </c>
      <c r="H30" s="6" t="s">
        <v>341</v>
      </c>
    </row>
    <row r="31" spans="1:8" ht="21.6" customHeight="1">
      <c r="A31" s="7" t="s">
        <v>455</v>
      </c>
      <c r="B31" s="15" t="s">
        <v>381</v>
      </c>
      <c r="C31" s="15" t="s">
        <v>456</v>
      </c>
      <c r="D31" s="15" t="s">
        <v>438</v>
      </c>
      <c r="E31" s="15" t="s">
        <v>386</v>
      </c>
      <c r="F31" s="15"/>
      <c r="G31" s="15" t="s">
        <v>401</v>
      </c>
      <c r="H31" s="8" t="s">
        <v>457</v>
      </c>
    </row>
  </sheetData>
  <mergeCells count="2">
    <mergeCell ref="A1:H1"/>
    <mergeCell ref="A2:H2"/>
  </mergeCells>
  <conditionalFormatting sqref="G5:G31">
    <cfRule type="expression" dxfId="2" priority="1">
      <formula>G5="Aprobado"</formula>
    </cfRule>
    <cfRule type="expression" dxfId="1" priority="2">
      <formula>G5="Fallido"</formula>
    </cfRule>
  </conditionalFormatting>
  <dataValidations count="1">
    <dataValidation type="list" sqref="G5:G31" xr:uid="{00000000-0002-0000-0400-000000000000}">
      <formula1>"Pendiente,En ejecución,Aprobado,Observado,Fallido"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1"/>
  <sheetViews>
    <sheetView workbookViewId="0">
      <selection sqref="A1:J1"/>
    </sheetView>
  </sheetViews>
  <sheetFormatPr baseColWidth="10" defaultColWidth="9" defaultRowHeight="14.25"/>
  <cols>
    <col min="1" max="1" width="13" customWidth="1"/>
    <col min="2" max="2" width="29" customWidth="1"/>
    <col min="3" max="3" width="17" customWidth="1"/>
    <col min="4" max="4" width="28" customWidth="1"/>
    <col min="5" max="5" width="18" customWidth="1"/>
    <col min="6" max="6" width="24" customWidth="1"/>
    <col min="7" max="7" width="15" customWidth="1"/>
    <col min="8" max="8" width="36" customWidth="1"/>
    <col min="9" max="9" width="15" customWidth="1"/>
    <col min="10" max="10" width="16" customWidth="1"/>
  </cols>
  <sheetData>
    <row r="1" spans="1:10" ht="19.149999999999999" customHeight="1">
      <c r="A1" s="90" t="s">
        <v>458</v>
      </c>
      <c r="B1" s="90"/>
      <c r="C1" s="90"/>
      <c r="D1" s="90"/>
      <c r="E1" s="90"/>
      <c r="F1" s="90"/>
      <c r="G1" s="90"/>
      <c r="H1" s="90"/>
      <c r="I1" s="90"/>
      <c r="J1" s="90"/>
    </row>
    <row r="2" spans="1:10" ht="15" customHeight="1">
      <c r="A2" s="91" t="s">
        <v>459</v>
      </c>
      <c r="B2" s="91"/>
      <c r="C2" s="91"/>
      <c r="D2" s="91"/>
      <c r="E2" s="91"/>
      <c r="F2" s="91"/>
      <c r="G2" s="91"/>
      <c r="H2" s="91"/>
      <c r="I2" s="91"/>
      <c r="J2" s="91"/>
    </row>
    <row r="4" spans="1:10" ht="15" customHeight="1">
      <c r="A4" s="1" t="s">
        <v>460</v>
      </c>
      <c r="B4" s="12" t="s">
        <v>101</v>
      </c>
      <c r="C4" s="12" t="s">
        <v>461</v>
      </c>
      <c r="D4" s="12" t="s">
        <v>462</v>
      </c>
      <c r="E4" s="12" t="s">
        <v>397</v>
      </c>
      <c r="F4" s="12" t="s">
        <v>172</v>
      </c>
      <c r="G4" s="12" t="s">
        <v>463</v>
      </c>
      <c r="H4" s="12" t="s">
        <v>464</v>
      </c>
      <c r="I4" s="12" t="s">
        <v>174</v>
      </c>
      <c r="J4" s="2" t="s">
        <v>465</v>
      </c>
    </row>
    <row r="5" spans="1:10" ht="15" customHeight="1">
      <c r="A5" s="3" t="s">
        <v>179</v>
      </c>
      <c r="B5" s="13" t="s">
        <v>180</v>
      </c>
      <c r="C5" s="13" t="s">
        <v>466</v>
      </c>
      <c r="D5" s="13" t="s">
        <v>467</v>
      </c>
      <c r="E5" s="13" t="s">
        <v>189</v>
      </c>
      <c r="F5" s="13" t="s">
        <v>187</v>
      </c>
      <c r="G5" s="13" t="s">
        <v>398</v>
      </c>
      <c r="H5" s="13" t="s">
        <v>468</v>
      </c>
      <c r="I5" s="13" t="s">
        <v>188</v>
      </c>
      <c r="J5" s="4" t="s">
        <v>469</v>
      </c>
    </row>
    <row r="6" spans="1:10" ht="15" customHeight="1">
      <c r="A6" s="5" t="s">
        <v>191</v>
      </c>
      <c r="B6" s="14" t="s">
        <v>192</v>
      </c>
      <c r="C6" s="14" t="s">
        <v>466</v>
      </c>
      <c r="D6" s="14" t="s">
        <v>470</v>
      </c>
      <c r="E6" s="14" t="s">
        <v>189</v>
      </c>
      <c r="F6" s="14" t="s">
        <v>197</v>
      </c>
      <c r="G6" s="14" t="s">
        <v>402</v>
      </c>
      <c r="H6" s="14" t="s">
        <v>468</v>
      </c>
      <c r="I6" s="14" t="s">
        <v>188</v>
      </c>
      <c r="J6" s="6" t="s">
        <v>469</v>
      </c>
    </row>
    <row r="7" spans="1:10" ht="15" customHeight="1">
      <c r="A7" s="5" t="s">
        <v>199</v>
      </c>
      <c r="B7" s="14" t="s">
        <v>200</v>
      </c>
      <c r="C7" s="14" t="s">
        <v>466</v>
      </c>
      <c r="D7" s="14" t="s">
        <v>471</v>
      </c>
      <c r="E7" s="14" t="s">
        <v>189</v>
      </c>
      <c r="F7" s="14" t="s">
        <v>205</v>
      </c>
      <c r="G7" s="14" t="s">
        <v>404</v>
      </c>
      <c r="H7" s="14" t="s">
        <v>468</v>
      </c>
      <c r="I7" s="14" t="s">
        <v>188</v>
      </c>
      <c r="J7" s="6" t="s">
        <v>469</v>
      </c>
    </row>
    <row r="8" spans="1:10" ht="15" customHeight="1">
      <c r="A8" s="5" t="s">
        <v>207</v>
      </c>
      <c r="B8" s="14" t="s">
        <v>208</v>
      </c>
      <c r="C8" s="14" t="s">
        <v>466</v>
      </c>
      <c r="D8" s="14" t="s">
        <v>472</v>
      </c>
      <c r="E8" s="14" t="s">
        <v>189</v>
      </c>
      <c r="F8" s="14" t="s">
        <v>212</v>
      </c>
      <c r="G8" s="14" t="s">
        <v>406</v>
      </c>
      <c r="H8" s="14" t="s">
        <v>468</v>
      </c>
      <c r="I8" s="14" t="s">
        <v>188</v>
      </c>
      <c r="J8" s="6" t="s">
        <v>469</v>
      </c>
    </row>
    <row r="9" spans="1:10" ht="15" customHeight="1">
      <c r="A9" s="5" t="s">
        <v>110</v>
      </c>
      <c r="B9" s="14" t="s">
        <v>214</v>
      </c>
      <c r="C9" s="14" t="s">
        <v>466</v>
      </c>
      <c r="D9" s="14" t="s">
        <v>473</v>
      </c>
      <c r="E9" s="14" t="s">
        <v>221</v>
      </c>
      <c r="F9" s="14" t="s">
        <v>219</v>
      </c>
      <c r="G9" s="14" t="s">
        <v>408</v>
      </c>
      <c r="H9" s="14" t="s">
        <v>468</v>
      </c>
      <c r="I9" s="14" t="s">
        <v>188</v>
      </c>
      <c r="J9" s="6" t="s">
        <v>469</v>
      </c>
    </row>
    <row r="10" spans="1:10" ht="15" customHeight="1">
      <c r="A10" s="5" t="s">
        <v>116</v>
      </c>
      <c r="B10" s="14" t="s">
        <v>223</v>
      </c>
      <c r="C10" s="14" t="s">
        <v>466</v>
      </c>
      <c r="D10" s="14" t="s">
        <v>474</v>
      </c>
      <c r="E10" s="14" t="s">
        <v>221</v>
      </c>
      <c r="F10" s="14" t="s">
        <v>114</v>
      </c>
      <c r="G10" s="14" t="s">
        <v>410</v>
      </c>
      <c r="H10" s="14" t="s">
        <v>468</v>
      </c>
      <c r="I10" s="14" t="s">
        <v>188</v>
      </c>
      <c r="J10" s="6" t="s">
        <v>469</v>
      </c>
    </row>
    <row r="11" spans="1:10" ht="15" customHeight="1">
      <c r="A11" s="5" t="s">
        <v>122</v>
      </c>
      <c r="B11" s="14" t="s">
        <v>229</v>
      </c>
      <c r="C11" s="14" t="s">
        <v>466</v>
      </c>
      <c r="D11" s="14" t="s">
        <v>475</v>
      </c>
      <c r="E11" s="14" t="s">
        <v>221</v>
      </c>
      <c r="F11" s="14" t="s">
        <v>233</v>
      </c>
      <c r="G11" s="14" t="s">
        <v>412</v>
      </c>
      <c r="H11" s="14" t="s">
        <v>468</v>
      </c>
      <c r="I11" s="14" t="s">
        <v>188</v>
      </c>
      <c r="J11" s="6" t="s">
        <v>469</v>
      </c>
    </row>
    <row r="12" spans="1:10" ht="15" customHeight="1">
      <c r="A12" s="5" t="s">
        <v>236</v>
      </c>
      <c r="B12" s="14" t="s">
        <v>237</v>
      </c>
      <c r="C12" s="14" t="s">
        <v>476</v>
      </c>
      <c r="D12" s="14" t="s">
        <v>477</v>
      </c>
      <c r="E12" s="14" t="s">
        <v>221</v>
      </c>
      <c r="F12" s="14" t="s">
        <v>242</v>
      </c>
      <c r="G12" s="14" t="s">
        <v>414</v>
      </c>
      <c r="H12" s="14" t="s">
        <v>468</v>
      </c>
      <c r="I12" s="14" t="s">
        <v>243</v>
      </c>
      <c r="J12" s="6" t="s">
        <v>469</v>
      </c>
    </row>
    <row r="13" spans="1:10" ht="15" customHeight="1">
      <c r="A13" s="5" t="s">
        <v>245</v>
      </c>
      <c r="B13" s="14" t="s">
        <v>246</v>
      </c>
      <c r="C13" s="14" t="s">
        <v>466</v>
      </c>
      <c r="D13" s="14" t="s">
        <v>478</v>
      </c>
      <c r="E13" s="14" t="s">
        <v>221</v>
      </c>
      <c r="F13" s="14" t="s">
        <v>251</v>
      </c>
      <c r="G13" s="14" t="s">
        <v>416</v>
      </c>
      <c r="H13" s="14" t="s">
        <v>468</v>
      </c>
      <c r="I13" s="14" t="s">
        <v>188</v>
      </c>
      <c r="J13" s="6" t="s">
        <v>469</v>
      </c>
    </row>
    <row r="14" spans="1:10" ht="15" customHeight="1">
      <c r="A14" s="5" t="s">
        <v>253</v>
      </c>
      <c r="B14" s="14" t="s">
        <v>254</v>
      </c>
      <c r="C14" s="14" t="s">
        <v>466</v>
      </c>
      <c r="D14" s="14" t="s">
        <v>479</v>
      </c>
      <c r="E14" s="14" t="s">
        <v>221</v>
      </c>
      <c r="F14" s="14" t="s">
        <v>258</v>
      </c>
      <c r="G14" s="14" t="s">
        <v>418</v>
      </c>
      <c r="H14" s="14" t="s">
        <v>468</v>
      </c>
      <c r="I14" s="14" t="s">
        <v>188</v>
      </c>
      <c r="J14" s="6" t="s">
        <v>469</v>
      </c>
    </row>
    <row r="15" spans="1:10" ht="15" customHeight="1">
      <c r="A15" s="5" t="s">
        <v>260</v>
      </c>
      <c r="B15" s="14" t="s">
        <v>261</v>
      </c>
      <c r="C15" s="14" t="s">
        <v>476</v>
      </c>
      <c r="D15" s="14" t="s">
        <v>480</v>
      </c>
      <c r="E15" s="14" t="s">
        <v>189</v>
      </c>
      <c r="F15" s="14" t="s">
        <v>265</v>
      </c>
      <c r="G15" s="14" t="s">
        <v>420</v>
      </c>
      <c r="H15" s="14" t="s">
        <v>468</v>
      </c>
      <c r="I15" s="14" t="s">
        <v>243</v>
      </c>
      <c r="J15" s="6" t="s">
        <v>469</v>
      </c>
    </row>
    <row r="16" spans="1:10" ht="15" customHeight="1">
      <c r="A16" s="5" t="s">
        <v>268</v>
      </c>
      <c r="B16" s="14" t="s">
        <v>269</v>
      </c>
      <c r="C16" s="14" t="s">
        <v>476</v>
      </c>
      <c r="D16" s="14" t="s">
        <v>481</v>
      </c>
      <c r="E16" s="14" t="s">
        <v>189</v>
      </c>
      <c r="F16" s="14" t="s">
        <v>273</v>
      </c>
      <c r="G16" s="14" t="s">
        <v>422</v>
      </c>
      <c r="H16" s="14" t="s">
        <v>468</v>
      </c>
      <c r="I16" s="14" t="s">
        <v>243</v>
      </c>
      <c r="J16" s="6" t="s">
        <v>469</v>
      </c>
    </row>
    <row r="17" spans="1:10" ht="15" customHeight="1">
      <c r="A17" s="5" t="s">
        <v>275</v>
      </c>
      <c r="B17" s="14" t="s">
        <v>276</v>
      </c>
      <c r="C17" s="14" t="s">
        <v>476</v>
      </c>
      <c r="D17" s="14" t="s">
        <v>482</v>
      </c>
      <c r="E17" s="14" t="s">
        <v>221</v>
      </c>
      <c r="F17" s="14" t="s">
        <v>280</v>
      </c>
      <c r="G17" s="14" t="s">
        <v>424</v>
      </c>
      <c r="H17" s="14" t="s">
        <v>468</v>
      </c>
      <c r="I17" s="14" t="s">
        <v>243</v>
      </c>
      <c r="J17" s="6" t="s">
        <v>469</v>
      </c>
    </row>
    <row r="18" spans="1:10" ht="15" customHeight="1">
      <c r="A18" s="5" t="s">
        <v>134</v>
      </c>
      <c r="B18" s="14" t="s">
        <v>282</v>
      </c>
      <c r="C18" s="14" t="s">
        <v>466</v>
      </c>
      <c r="D18" s="14" t="s">
        <v>483</v>
      </c>
      <c r="E18" s="14" t="s">
        <v>289</v>
      </c>
      <c r="F18" s="14" t="s">
        <v>287</v>
      </c>
      <c r="G18" s="14" t="s">
        <v>426</v>
      </c>
      <c r="H18" s="14" t="s">
        <v>468</v>
      </c>
      <c r="I18" s="14" t="s">
        <v>188</v>
      </c>
      <c r="J18" s="6" t="s">
        <v>469</v>
      </c>
    </row>
    <row r="19" spans="1:10" ht="15" customHeight="1">
      <c r="A19" s="5" t="s">
        <v>291</v>
      </c>
      <c r="B19" s="14" t="s">
        <v>292</v>
      </c>
      <c r="C19" s="14" t="s">
        <v>466</v>
      </c>
      <c r="D19" s="14" t="s">
        <v>484</v>
      </c>
      <c r="E19" s="14" t="s">
        <v>289</v>
      </c>
      <c r="F19" s="14" t="s">
        <v>296</v>
      </c>
      <c r="G19" s="14" t="s">
        <v>428</v>
      </c>
      <c r="H19" s="14" t="s">
        <v>468</v>
      </c>
      <c r="I19" s="14" t="s">
        <v>188</v>
      </c>
      <c r="J19" s="6" t="s">
        <v>469</v>
      </c>
    </row>
    <row r="20" spans="1:10" ht="15" customHeight="1">
      <c r="A20" s="5" t="s">
        <v>297</v>
      </c>
      <c r="B20" s="14" t="s">
        <v>299</v>
      </c>
      <c r="C20" s="14" t="s">
        <v>466</v>
      </c>
      <c r="D20" s="14" t="s">
        <v>485</v>
      </c>
      <c r="E20" s="14" t="s">
        <v>304</v>
      </c>
      <c r="F20" s="14" t="s">
        <v>138</v>
      </c>
      <c r="G20" s="14" t="s">
        <v>430</v>
      </c>
      <c r="H20" s="14" t="s">
        <v>468</v>
      </c>
      <c r="I20" s="14" t="s">
        <v>188</v>
      </c>
      <c r="J20" s="6" t="s">
        <v>469</v>
      </c>
    </row>
    <row r="21" spans="1:10" ht="15" customHeight="1">
      <c r="A21" s="5" t="s">
        <v>306</v>
      </c>
      <c r="B21" s="14" t="s">
        <v>307</v>
      </c>
      <c r="C21" s="14" t="s">
        <v>476</v>
      </c>
      <c r="D21" s="14" t="s">
        <v>486</v>
      </c>
      <c r="E21" s="14" t="s">
        <v>289</v>
      </c>
      <c r="F21" s="14" t="s">
        <v>311</v>
      </c>
      <c r="G21" s="14" t="s">
        <v>432</v>
      </c>
      <c r="H21" s="14" t="s">
        <v>468</v>
      </c>
      <c r="I21" s="14" t="s">
        <v>243</v>
      </c>
      <c r="J21" s="6" t="s">
        <v>469</v>
      </c>
    </row>
    <row r="22" spans="1:10" ht="15" customHeight="1">
      <c r="A22" s="5" t="s">
        <v>313</v>
      </c>
      <c r="B22" s="14" t="s">
        <v>314</v>
      </c>
      <c r="C22" s="14" t="s">
        <v>476</v>
      </c>
      <c r="D22" s="14" t="s">
        <v>487</v>
      </c>
      <c r="E22" s="14" t="s">
        <v>289</v>
      </c>
      <c r="F22" s="14" t="s">
        <v>318</v>
      </c>
      <c r="G22" s="14" t="s">
        <v>434</v>
      </c>
      <c r="H22" s="14" t="s">
        <v>468</v>
      </c>
      <c r="I22" s="14" t="s">
        <v>243</v>
      </c>
      <c r="J22" s="6" t="s">
        <v>469</v>
      </c>
    </row>
    <row r="23" spans="1:10" ht="15" customHeight="1">
      <c r="A23" s="5" t="s">
        <v>320</v>
      </c>
      <c r="B23" s="14" t="s">
        <v>321</v>
      </c>
      <c r="C23" s="14" t="s">
        <v>466</v>
      </c>
      <c r="D23" s="14"/>
      <c r="E23" s="14" t="s">
        <v>327</v>
      </c>
      <c r="F23" s="14" t="s">
        <v>327</v>
      </c>
      <c r="G23" s="14" t="s">
        <v>436</v>
      </c>
      <c r="H23" s="14" t="s">
        <v>488</v>
      </c>
      <c r="I23" s="14" t="s">
        <v>188</v>
      </c>
      <c r="J23" s="6" t="s">
        <v>469</v>
      </c>
    </row>
    <row r="24" spans="1:10" ht="15" customHeight="1">
      <c r="A24" s="5" t="s">
        <v>330</v>
      </c>
      <c r="B24" s="14" t="s">
        <v>331</v>
      </c>
      <c r="C24" s="14" t="s">
        <v>466</v>
      </c>
      <c r="D24" s="14" t="s">
        <v>485</v>
      </c>
      <c r="E24" s="14" t="s">
        <v>441</v>
      </c>
      <c r="F24" s="14" t="s">
        <v>138</v>
      </c>
      <c r="G24" s="14" t="s">
        <v>439</v>
      </c>
      <c r="H24" s="14" t="s">
        <v>488</v>
      </c>
      <c r="I24" s="14" t="s">
        <v>188</v>
      </c>
      <c r="J24" s="6" t="s">
        <v>469</v>
      </c>
    </row>
    <row r="25" spans="1:10" ht="15" customHeight="1">
      <c r="A25" s="5" t="s">
        <v>335</v>
      </c>
      <c r="B25" s="14" t="s">
        <v>336</v>
      </c>
      <c r="C25" s="14" t="s">
        <v>466</v>
      </c>
      <c r="D25" s="14" t="s">
        <v>489</v>
      </c>
      <c r="E25" s="14" t="s">
        <v>341</v>
      </c>
      <c r="F25" s="14" t="s">
        <v>251</v>
      </c>
      <c r="G25" s="14" t="s">
        <v>442</v>
      </c>
      <c r="H25" s="14" t="s">
        <v>488</v>
      </c>
      <c r="I25" s="14" t="s">
        <v>188</v>
      </c>
      <c r="J25" s="6" t="s">
        <v>469</v>
      </c>
    </row>
    <row r="26" spans="1:10" ht="15" customHeight="1">
      <c r="A26" s="5" t="s">
        <v>343</v>
      </c>
      <c r="B26" s="14" t="s">
        <v>344</v>
      </c>
      <c r="C26" s="14" t="s">
        <v>466</v>
      </c>
      <c r="D26" s="14"/>
      <c r="E26" s="14" t="s">
        <v>327</v>
      </c>
      <c r="F26" s="14" t="s">
        <v>348</v>
      </c>
      <c r="G26" s="14" t="s">
        <v>444</v>
      </c>
      <c r="H26" s="14" t="s">
        <v>488</v>
      </c>
      <c r="I26" s="14" t="s">
        <v>188</v>
      </c>
      <c r="J26" s="6" t="s">
        <v>469</v>
      </c>
    </row>
    <row r="27" spans="1:10" ht="15" customHeight="1">
      <c r="A27" s="5" t="s">
        <v>349</v>
      </c>
      <c r="B27" s="14" t="s">
        <v>350</v>
      </c>
      <c r="C27" s="14" t="s">
        <v>466</v>
      </c>
      <c r="D27" s="14"/>
      <c r="E27" s="14" t="s">
        <v>354</v>
      </c>
      <c r="F27" s="14" t="s">
        <v>327</v>
      </c>
      <c r="G27" s="14" t="s">
        <v>446</v>
      </c>
      <c r="H27" s="14" t="s">
        <v>488</v>
      </c>
      <c r="I27" s="14" t="s">
        <v>188</v>
      </c>
      <c r="J27" s="6" t="s">
        <v>469</v>
      </c>
    </row>
    <row r="28" spans="1:10" ht="15" customHeight="1">
      <c r="A28" s="5" t="s">
        <v>355</v>
      </c>
      <c r="B28" s="14" t="s">
        <v>356</v>
      </c>
      <c r="C28" s="14" t="s">
        <v>466</v>
      </c>
      <c r="D28" s="14" t="s">
        <v>490</v>
      </c>
      <c r="E28" s="14" t="s">
        <v>450</v>
      </c>
      <c r="F28" s="14" t="s">
        <v>358</v>
      </c>
      <c r="G28" s="14" t="s">
        <v>448</v>
      </c>
      <c r="H28" s="14" t="s">
        <v>488</v>
      </c>
      <c r="I28" s="14" t="s">
        <v>188</v>
      </c>
      <c r="J28" s="6" t="s">
        <v>469</v>
      </c>
    </row>
    <row r="29" spans="1:10" ht="15" customHeight="1">
      <c r="A29" s="5" t="s">
        <v>364</v>
      </c>
      <c r="B29" s="14" t="s">
        <v>365</v>
      </c>
      <c r="C29" s="14" t="s">
        <v>466</v>
      </c>
      <c r="D29" s="14" t="s">
        <v>491</v>
      </c>
      <c r="E29" s="14" t="s">
        <v>341</v>
      </c>
      <c r="F29" s="14" t="s">
        <v>370</v>
      </c>
      <c r="G29" s="14" t="s">
        <v>451</v>
      </c>
      <c r="H29" s="14" t="s">
        <v>488</v>
      </c>
      <c r="I29" s="14" t="s">
        <v>188</v>
      </c>
      <c r="J29" s="6" t="s">
        <v>469</v>
      </c>
    </row>
    <row r="30" spans="1:10" ht="15" customHeight="1">
      <c r="A30" s="5" t="s">
        <v>372</v>
      </c>
      <c r="B30" s="14" t="s">
        <v>373</v>
      </c>
      <c r="C30" s="14" t="s">
        <v>466</v>
      </c>
      <c r="D30" s="14" t="s">
        <v>492</v>
      </c>
      <c r="E30" s="14" t="s">
        <v>341</v>
      </c>
      <c r="F30" s="14" t="s">
        <v>379</v>
      </c>
      <c r="G30" s="14" t="s">
        <v>453</v>
      </c>
      <c r="H30" s="14" t="s">
        <v>488</v>
      </c>
      <c r="I30" s="14" t="s">
        <v>188</v>
      </c>
      <c r="J30" s="6" t="s">
        <v>469</v>
      </c>
    </row>
    <row r="31" spans="1:10" ht="15" customHeight="1">
      <c r="A31" s="7" t="s">
        <v>381</v>
      </c>
      <c r="B31" s="15" t="s">
        <v>382</v>
      </c>
      <c r="C31" s="15" t="s">
        <v>466</v>
      </c>
      <c r="D31" s="15" t="s">
        <v>493</v>
      </c>
      <c r="E31" s="15" t="s">
        <v>457</v>
      </c>
      <c r="F31" s="15" t="s">
        <v>387</v>
      </c>
      <c r="G31" s="15" t="s">
        <v>455</v>
      </c>
      <c r="H31" s="15" t="s">
        <v>488</v>
      </c>
      <c r="I31" s="15" t="s">
        <v>188</v>
      </c>
      <c r="J31" s="8" t="s">
        <v>469</v>
      </c>
    </row>
  </sheetData>
  <mergeCells count="2">
    <mergeCell ref="A1:J1"/>
    <mergeCell ref="A2:J2"/>
  </mergeCells>
  <conditionalFormatting sqref="J5:J31">
    <cfRule type="expression" dxfId="0" priority="1">
      <formula>J5="Completa"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85"/>
  <sheetViews>
    <sheetView topLeftCell="A37" workbookViewId="0">
      <selection sqref="A1:T1"/>
    </sheetView>
  </sheetViews>
  <sheetFormatPr baseColWidth="10" defaultColWidth="9" defaultRowHeight="14.25"/>
  <cols>
    <col min="1" max="1" width="8" customWidth="1"/>
    <col min="2" max="2" width="14" customWidth="1"/>
    <col min="3" max="3" width="28" customWidth="1"/>
    <col min="4" max="4" width="34" customWidth="1"/>
    <col min="5" max="5" width="58" customWidth="1"/>
    <col min="6" max="6" width="11" customWidth="1"/>
    <col min="7" max="9" width="14" customWidth="1"/>
    <col min="10" max="10" width="31" customWidth="1"/>
    <col min="11" max="11" width="38" customWidth="1"/>
    <col min="12" max="20" width="10" customWidth="1"/>
  </cols>
  <sheetData>
    <row r="1" spans="1:20" ht="24.95" customHeight="1">
      <c r="A1" s="71" t="s">
        <v>494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93"/>
      <c r="M1" s="93"/>
      <c r="N1" s="93"/>
      <c r="O1" s="93"/>
      <c r="P1" s="93"/>
      <c r="Q1" s="93"/>
      <c r="R1" s="93"/>
      <c r="S1" s="93"/>
      <c r="T1" s="93"/>
    </row>
    <row r="2" spans="1:20" ht="24" customHeight="1">
      <c r="A2" s="92" t="s">
        <v>495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3"/>
      <c r="M2" s="93"/>
      <c r="N2" s="93"/>
      <c r="O2" s="93"/>
      <c r="P2" s="93"/>
      <c r="Q2" s="93"/>
      <c r="R2" s="93"/>
      <c r="S2" s="93"/>
      <c r="T2" s="93"/>
    </row>
    <row r="4" spans="1:20" ht="32.1" customHeight="1">
      <c r="A4" s="50" t="s">
        <v>61</v>
      </c>
      <c r="B4" s="31" t="s">
        <v>496</v>
      </c>
      <c r="C4" s="31" t="s">
        <v>497</v>
      </c>
      <c r="D4" s="31" t="s">
        <v>498</v>
      </c>
      <c r="E4" s="31" t="s">
        <v>499</v>
      </c>
      <c r="F4" s="31" t="s">
        <v>500</v>
      </c>
      <c r="G4" s="31" t="s">
        <v>501</v>
      </c>
      <c r="H4" s="31" t="s">
        <v>502</v>
      </c>
      <c r="I4" s="31" t="s">
        <v>503</v>
      </c>
      <c r="J4" s="31" t="s">
        <v>504</v>
      </c>
      <c r="K4" s="32" t="s">
        <v>505</v>
      </c>
    </row>
    <row r="5" spans="1:20" ht="30" customHeight="1">
      <c r="A5" s="59">
        <v>1</v>
      </c>
      <c r="B5" s="60">
        <v>1</v>
      </c>
      <c r="C5" s="60"/>
      <c r="D5" s="60"/>
      <c r="E5" s="60" t="s">
        <v>506</v>
      </c>
      <c r="F5" s="60"/>
      <c r="G5" s="61">
        <v>46253</v>
      </c>
      <c r="H5" s="61">
        <v>46259</v>
      </c>
      <c r="I5" s="60"/>
      <c r="J5" s="60"/>
      <c r="K5" s="62" t="s">
        <v>507</v>
      </c>
    </row>
    <row r="6" spans="1:20" ht="30" customHeight="1">
      <c r="A6" s="63">
        <v>2</v>
      </c>
      <c r="B6" s="64">
        <v>2</v>
      </c>
      <c r="C6" s="64" t="s">
        <v>508</v>
      </c>
      <c r="D6" s="64"/>
      <c r="E6" s="64" t="s">
        <v>508</v>
      </c>
      <c r="F6" s="64"/>
      <c r="G6" s="65">
        <v>46253</v>
      </c>
      <c r="H6" s="65">
        <v>46253</v>
      </c>
      <c r="I6" s="64"/>
      <c r="J6" s="64"/>
      <c r="K6" s="66" t="s">
        <v>509</v>
      </c>
    </row>
    <row r="7" spans="1:20" ht="30" customHeight="1">
      <c r="A7" s="67">
        <v>3</v>
      </c>
      <c r="B7" s="68">
        <v>3</v>
      </c>
      <c r="C7" s="68" t="s">
        <v>508</v>
      </c>
      <c r="D7" s="68" t="s">
        <v>510</v>
      </c>
      <c r="E7" s="68" t="s">
        <v>511</v>
      </c>
      <c r="F7" s="68"/>
      <c r="G7" s="69">
        <v>46253</v>
      </c>
      <c r="H7" s="69">
        <v>46253</v>
      </c>
      <c r="I7" s="68"/>
      <c r="J7" s="68"/>
      <c r="K7" s="70" t="s">
        <v>512</v>
      </c>
    </row>
    <row r="8" spans="1:20" ht="30" customHeight="1">
      <c r="A8" s="51">
        <v>4</v>
      </c>
      <c r="B8" s="52">
        <v>4</v>
      </c>
      <c r="C8" s="52" t="s">
        <v>508</v>
      </c>
      <c r="D8" s="52" t="s">
        <v>510</v>
      </c>
      <c r="E8" s="52" t="s">
        <v>513</v>
      </c>
      <c r="F8" s="52">
        <v>1</v>
      </c>
      <c r="G8" s="53">
        <v>46253</v>
      </c>
      <c r="H8" s="53">
        <v>46253</v>
      </c>
      <c r="I8" s="52"/>
      <c r="J8" s="52" t="s">
        <v>514</v>
      </c>
      <c r="K8" s="54" t="s">
        <v>515</v>
      </c>
    </row>
    <row r="9" spans="1:20" ht="30" customHeight="1">
      <c r="A9" s="63">
        <v>5</v>
      </c>
      <c r="B9" s="64">
        <v>2</v>
      </c>
      <c r="C9" s="64" t="s">
        <v>516</v>
      </c>
      <c r="D9" s="64"/>
      <c r="E9" s="64" t="s">
        <v>516</v>
      </c>
      <c r="F9" s="64"/>
      <c r="G9" s="65">
        <v>46253</v>
      </c>
      <c r="H9" s="65">
        <v>46259</v>
      </c>
      <c r="I9" s="64"/>
      <c r="J9" s="64"/>
      <c r="K9" s="66" t="s">
        <v>509</v>
      </c>
    </row>
    <row r="10" spans="1:20" ht="30" customHeight="1">
      <c r="A10" s="67">
        <v>6</v>
      </c>
      <c r="B10" s="68">
        <v>3</v>
      </c>
      <c r="C10" s="68" t="s">
        <v>516</v>
      </c>
      <c r="D10" s="68" t="s">
        <v>517</v>
      </c>
      <c r="E10" s="68" t="s">
        <v>518</v>
      </c>
      <c r="F10" s="68"/>
      <c r="G10" s="69">
        <v>46253</v>
      </c>
      <c r="H10" s="69">
        <v>46259</v>
      </c>
      <c r="I10" s="68"/>
      <c r="J10" s="68"/>
      <c r="K10" s="70" t="s">
        <v>512</v>
      </c>
    </row>
    <row r="11" spans="1:20" ht="30" customHeight="1">
      <c r="A11" s="51">
        <v>7</v>
      </c>
      <c r="B11" s="52">
        <v>4</v>
      </c>
      <c r="C11" s="52" t="s">
        <v>516</v>
      </c>
      <c r="D11" s="52" t="s">
        <v>517</v>
      </c>
      <c r="E11" s="52" t="s">
        <v>519</v>
      </c>
      <c r="F11" s="52">
        <v>2</v>
      </c>
      <c r="G11" s="53">
        <v>46253</v>
      </c>
      <c r="H11" s="53">
        <v>46254</v>
      </c>
      <c r="I11" s="52" t="s">
        <v>41</v>
      </c>
      <c r="J11" s="52" t="s">
        <v>514</v>
      </c>
      <c r="K11" s="54" t="s">
        <v>520</v>
      </c>
    </row>
    <row r="12" spans="1:20" ht="30" customHeight="1">
      <c r="A12" s="51">
        <v>8</v>
      </c>
      <c r="B12" s="52">
        <v>4</v>
      </c>
      <c r="C12" s="52" t="s">
        <v>516</v>
      </c>
      <c r="D12" s="52" t="s">
        <v>517</v>
      </c>
      <c r="E12" s="52" t="s">
        <v>521</v>
      </c>
      <c r="F12" s="52">
        <v>1</v>
      </c>
      <c r="G12" s="53">
        <v>46254</v>
      </c>
      <c r="H12" s="53">
        <v>46254</v>
      </c>
      <c r="I12" s="52" t="s">
        <v>53</v>
      </c>
      <c r="J12" s="52" t="s">
        <v>514</v>
      </c>
      <c r="K12" s="54" t="s">
        <v>522</v>
      </c>
    </row>
    <row r="13" spans="1:20" ht="30" customHeight="1">
      <c r="A13" s="51">
        <v>9</v>
      </c>
      <c r="B13" s="52">
        <v>4</v>
      </c>
      <c r="C13" s="52" t="s">
        <v>516</v>
      </c>
      <c r="D13" s="52" t="s">
        <v>517</v>
      </c>
      <c r="E13" s="52" t="s">
        <v>523</v>
      </c>
      <c r="F13" s="52">
        <v>1</v>
      </c>
      <c r="G13" s="53">
        <v>46254</v>
      </c>
      <c r="H13" s="53">
        <v>46254</v>
      </c>
      <c r="I13" s="52" t="s">
        <v>53</v>
      </c>
      <c r="J13" s="52" t="s">
        <v>514</v>
      </c>
      <c r="K13" s="54" t="s">
        <v>524</v>
      </c>
    </row>
    <row r="14" spans="1:20" ht="30" customHeight="1">
      <c r="A14" s="51">
        <v>10</v>
      </c>
      <c r="B14" s="52">
        <v>4</v>
      </c>
      <c r="C14" s="52" t="s">
        <v>516</v>
      </c>
      <c r="D14" s="52" t="s">
        <v>517</v>
      </c>
      <c r="E14" s="52" t="s">
        <v>525</v>
      </c>
      <c r="F14" s="52">
        <v>2</v>
      </c>
      <c r="G14" s="53">
        <v>46255</v>
      </c>
      <c r="H14" s="53">
        <v>46256</v>
      </c>
      <c r="I14" s="52" t="s">
        <v>526</v>
      </c>
      <c r="J14" s="52" t="s">
        <v>527</v>
      </c>
      <c r="K14" s="54" t="s">
        <v>528</v>
      </c>
    </row>
    <row r="15" spans="1:20" ht="30" customHeight="1">
      <c r="A15" s="51">
        <v>11</v>
      </c>
      <c r="B15" s="52">
        <v>4</v>
      </c>
      <c r="C15" s="52" t="s">
        <v>516</v>
      </c>
      <c r="D15" s="52" t="s">
        <v>517</v>
      </c>
      <c r="E15" s="52" t="s">
        <v>529</v>
      </c>
      <c r="F15" s="52">
        <v>1</v>
      </c>
      <c r="G15" s="53">
        <v>46256</v>
      </c>
      <c r="H15" s="53">
        <v>46256</v>
      </c>
      <c r="I15" s="52" t="s">
        <v>530</v>
      </c>
      <c r="J15" s="52" t="s">
        <v>527</v>
      </c>
      <c r="K15" s="54" t="s">
        <v>531</v>
      </c>
    </row>
    <row r="16" spans="1:20" ht="30" customHeight="1">
      <c r="A16" s="51">
        <v>12</v>
      </c>
      <c r="B16" s="52">
        <v>4</v>
      </c>
      <c r="C16" s="52" t="s">
        <v>516</v>
      </c>
      <c r="D16" s="52" t="s">
        <v>517</v>
      </c>
      <c r="E16" s="52" t="s">
        <v>532</v>
      </c>
      <c r="F16" s="52">
        <v>1</v>
      </c>
      <c r="G16" s="53">
        <v>46257</v>
      </c>
      <c r="H16" s="53">
        <v>46257</v>
      </c>
      <c r="I16" s="52" t="s">
        <v>533</v>
      </c>
      <c r="J16" s="52" t="s">
        <v>527</v>
      </c>
      <c r="K16" s="54" t="s">
        <v>534</v>
      </c>
    </row>
    <row r="17" spans="1:11" ht="30" customHeight="1">
      <c r="A17" s="51">
        <v>13</v>
      </c>
      <c r="B17" s="52">
        <v>4</v>
      </c>
      <c r="C17" s="52" t="s">
        <v>516</v>
      </c>
      <c r="D17" s="52" t="s">
        <v>517</v>
      </c>
      <c r="E17" s="52" t="s">
        <v>535</v>
      </c>
      <c r="F17" s="52">
        <v>1</v>
      </c>
      <c r="G17" s="53">
        <v>46257</v>
      </c>
      <c r="H17" s="53">
        <v>46257</v>
      </c>
      <c r="I17" s="52" t="s">
        <v>533</v>
      </c>
      <c r="J17" s="52" t="s">
        <v>527</v>
      </c>
      <c r="K17" s="54" t="s">
        <v>536</v>
      </c>
    </row>
    <row r="18" spans="1:11" ht="30" customHeight="1">
      <c r="A18" s="51">
        <v>14</v>
      </c>
      <c r="B18" s="52">
        <v>4</v>
      </c>
      <c r="C18" s="52" t="s">
        <v>516</v>
      </c>
      <c r="D18" s="52" t="s">
        <v>517</v>
      </c>
      <c r="E18" s="52" t="s">
        <v>537</v>
      </c>
      <c r="F18" s="52">
        <v>1</v>
      </c>
      <c r="G18" s="53">
        <v>46258</v>
      </c>
      <c r="H18" s="53">
        <v>46258</v>
      </c>
      <c r="I18" s="52" t="s">
        <v>538</v>
      </c>
      <c r="J18" s="52" t="s">
        <v>539</v>
      </c>
      <c r="K18" s="54" t="s">
        <v>540</v>
      </c>
    </row>
    <row r="19" spans="1:11" ht="30" customHeight="1">
      <c r="A19" s="51">
        <v>15</v>
      </c>
      <c r="B19" s="52">
        <v>4</v>
      </c>
      <c r="C19" s="52" t="s">
        <v>516</v>
      </c>
      <c r="D19" s="52" t="s">
        <v>517</v>
      </c>
      <c r="E19" s="52" t="s">
        <v>541</v>
      </c>
      <c r="F19" s="52">
        <v>1</v>
      </c>
      <c r="G19" s="53">
        <v>46258</v>
      </c>
      <c r="H19" s="53">
        <v>46258</v>
      </c>
      <c r="I19" s="52" t="s">
        <v>542</v>
      </c>
      <c r="J19" s="52" t="s">
        <v>543</v>
      </c>
      <c r="K19" s="54" t="s">
        <v>544</v>
      </c>
    </row>
    <row r="20" spans="1:11" ht="30" customHeight="1">
      <c r="A20" s="51">
        <v>16</v>
      </c>
      <c r="B20" s="52">
        <v>4</v>
      </c>
      <c r="C20" s="52" t="s">
        <v>516</v>
      </c>
      <c r="D20" s="52" t="s">
        <v>517</v>
      </c>
      <c r="E20" s="52" t="s">
        <v>545</v>
      </c>
      <c r="F20" s="52">
        <v>1</v>
      </c>
      <c r="G20" s="53">
        <v>46259</v>
      </c>
      <c r="H20" s="53">
        <v>46259</v>
      </c>
      <c r="I20" s="52" t="s">
        <v>546</v>
      </c>
      <c r="J20" s="52" t="s">
        <v>514</v>
      </c>
      <c r="K20" s="54" t="s">
        <v>547</v>
      </c>
    </row>
    <row r="21" spans="1:11" ht="30" customHeight="1">
      <c r="A21" s="51">
        <v>17</v>
      </c>
      <c r="B21" s="52">
        <v>4</v>
      </c>
      <c r="C21" s="52" t="s">
        <v>516</v>
      </c>
      <c r="D21" s="52" t="s">
        <v>517</v>
      </c>
      <c r="E21" s="52" t="s">
        <v>548</v>
      </c>
      <c r="F21" s="52">
        <v>1</v>
      </c>
      <c r="G21" s="53">
        <v>46259</v>
      </c>
      <c r="H21" s="53">
        <v>46259</v>
      </c>
      <c r="I21" s="52" t="s">
        <v>549</v>
      </c>
      <c r="J21" s="52" t="s">
        <v>550</v>
      </c>
      <c r="K21" s="54" t="s">
        <v>551</v>
      </c>
    </row>
    <row r="22" spans="1:11" ht="30" customHeight="1">
      <c r="A22" s="51">
        <v>18</v>
      </c>
      <c r="B22" s="52">
        <v>4</v>
      </c>
      <c r="C22" s="52" t="s">
        <v>516</v>
      </c>
      <c r="D22" s="52" t="s">
        <v>517</v>
      </c>
      <c r="E22" s="52" t="s">
        <v>552</v>
      </c>
      <c r="F22" s="52">
        <v>1</v>
      </c>
      <c r="G22" s="53">
        <v>46259</v>
      </c>
      <c r="H22" s="53">
        <v>46259</v>
      </c>
      <c r="I22" s="52" t="s">
        <v>553</v>
      </c>
      <c r="J22" s="52" t="s">
        <v>554</v>
      </c>
      <c r="K22" s="54" t="s">
        <v>555</v>
      </c>
    </row>
    <row r="23" spans="1:11" ht="30" customHeight="1">
      <c r="A23" s="59">
        <v>19</v>
      </c>
      <c r="B23" s="60">
        <v>1</v>
      </c>
      <c r="C23" s="60"/>
      <c r="D23" s="60"/>
      <c r="E23" s="60" t="s">
        <v>556</v>
      </c>
      <c r="F23" s="60"/>
      <c r="G23" s="61">
        <v>46260</v>
      </c>
      <c r="H23" s="61">
        <v>46266</v>
      </c>
      <c r="I23" s="60"/>
      <c r="J23" s="60"/>
      <c r="K23" s="62" t="s">
        <v>507</v>
      </c>
    </row>
    <row r="24" spans="1:11" ht="30" customHeight="1">
      <c r="A24" s="63">
        <v>20</v>
      </c>
      <c r="B24" s="64">
        <v>2</v>
      </c>
      <c r="C24" s="64" t="s">
        <v>516</v>
      </c>
      <c r="D24" s="64"/>
      <c r="E24" s="64" t="s">
        <v>516</v>
      </c>
      <c r="F24" s="64"/>
      <c r="G24" s="65">
        <v>46260</v>
      </c>
      <c r="H24" s="65">
        <v>46266</v>
      </c>
      <c r="I24" s="64"/>
      <c r="J24" s="64"/>
      <c r="K24" s="66" t="s">
        <v>509</v>
      </c>
    </row>
    <row r="25" spans="1:11" ht="30" customHeight="1">
      <c r="A25" s="67">
        <v>21</v>
      </c>
      <c r="B25" s="68">
        <v>3</v>
      </c>
      <c r="C25" s="68" t="s">
        <v>516</v>
      </c>
      <c r="D25" s="68" t="s">
        <v>517</v>
      </c>
      <c r="E25" s="68" t="s">
        <v>518</v>
      </c>
      <c r="F25" s="68"/>
      <c r="G25" s="69">
        <v>46260</v>
      </c>
      <c r="H25" s="69">
        <v>46266</v>
      </c>
      <c r="I25" s="68"/>
      <c r="J25" s="68"/>
      <c r="K25" s="70" t="s">
        <v>512</v>
      </c>
    </row>
    <row r="26" spans="1:11" ht="30" customHeight="1">
      <c r="A26" s="51">
        <v>22</v>
      </c>
      <c r="B26" s="52">
        <v>4</v>
      </c>
      <c r="C26" s="52" t="s">
        <v>516</v>
      </c>
      <c r="D26" s="52" t="s">
        <v>517</v>
      </c>
      <c r="E26" s="52" t="s">
        <v>557</v>
      </c>
      <c r="F26" s="52">
        <v>1</v>
      </c>
      <c r="G26" s="53">
        <v>46260</v>
      </c>
      <c r="H26" s="53">
        <v>46260</v>
      </c>
      <c r="I26" s="52" t="s">
        <v>558</v>
      </c>
      <c r="J26" s="52" t="s">
        <v>554</v>
      </c>
      <c r="K26" s="54" t="s">
        <v>559</v>
      </c>
    </row>
    <row r="27" spans="1:11" ht="30" customHeight="1">
      <c r="A27" s="51">
        <v>23</v>
      </c>
      <c r="B27" s="52">
        <v>4</v>
      </c>
      <c r="C27" s="52" t="s">
        <v>516</v>
      </c>
      <c r="D27" s="52" t="s">
        <v>517</v>
      </c>
      <c r="E27" s="52" t="s">
        <v>560</v>
      </c>
      <c r="F27" s="52">
        <v>1</v>
      </c>
      <c r="G27" s="53">
        <v>46260</v>
      </c>
      <c r="H27" s="53">
        <v>46260</v>
      </c>
      <c r="I27" s="52" t="s">
        <v>561</v>
      </c>
      <c r="J27" s="52" t="s">
        <v>527</v>
      </c>
      <c r="K27" s="54" t="s">
        <v>562</v>
      </c>
    </row>
    <row r="28" spans="1:11" ht="30" customHeight="1">
      <c r="A28" s="51">
        <v>24</v>
      </c>
      <c r="B28" s="52">
        <v>4</v>
      </c>
      <c r="C28" s="52" t="s">
        <v>516</v>
      </c>
      <c r="D28" s="52" t="s">
        <v>517</v>
      </c>
      <c r="E28" s="52" t="s">
        <v>563</v>
      </c>
      <c r="F28" s="52">
        <v>1</v>
      </c>
      <c r="G28" s="53">
        <v>46261</v>
      </c>
      <c r="H28" s="53">
        <v>46261</v>
      </c>
      <c r="I28" s="52" t="s">
        <v>564</v>
      </c>
      <c r="J28" s="52" t="s">
        <v>527</v>
      </c>
      <c r="K28" s="54" t="s">
        <v>565</v>
      </c>
    </row>
    <row r="29" spans="1:11" ht="30" customHeight="1">
      <c r="A29" s="51">
        <v>25</v>
      </c>
      <c r="B29" s="52">
        <v>4</v>
      </c>
      <c r="C29" s="52" t="s">
        <v>516</v>
      </c>
      <c r="D29" s="52" t="s">
        <v>517</v>
      </c>
      <c r="E29" s="52" t="s">
        <v>566</v>
      </c>
      <c r="F29" s="52">
        <v>1</v>
      </c>
      <c r="G29" s="53">
        <v>46262</v>
      </c>
      <c r="H29" s="53">
        <v>46262</v>
      </c>
      <c r="I29" s="52" t="s">
        <v>567</v>
      </c>
      <c r="J29" s="52" t="s">
        <v>568</v>
      </c>
      <c r="K29" s="54" t="s">
        <v>569</v>
      </c>
    </row>
    <row r="30" spans="1:11" ht="30" customHeight="1">
      <c r="A30" s="51">
        <v>26</v>
      </c>
      <c r="B30" s="52">
        <v>4</v>
      </c>
      <c r="C30" s="52" t="s">
        <v>516</v>
      </c>
      <c r="D30" s="52" t="s">
        <v>517</v>
      </c>
      <c r="E30" s="52" t="s">
        <v>570</v>
      </c>
      <c r="F30" s="52">
        <v>1</v>
      </c>
      <c r="G30" s="53">
        <v>46266</v>
      </c>
      <c r="H30" s="53">
        <v>46266</v>
      </c>
      <c r="I30" s="52" t="s">
        <v>571</v>
      </c>
      <c r="J30" s="52" t="s">
        <v>572</v>
      </c>
      <c r="K30" s="54" t="s">
        <v>573</v>
      </c>
    </row>
    <row r="31" spans="1:11" ht="30" customHeight="1">
      <c r="A31" s="51">
        <v>27</v>
      </c>
      <c r="B31" s="52">
        <v>4</v>
      </c>
      <c r="C31" s="52" t="s">
        <v>516</v>
      </c>
      <c r="D31" s="52" t="s">
        <v>517</v>
      </c>
      <c r="E31" s="52" t="s">
        <v>574</v>
      </c>
      <c r="F31" s="52">
        <v>1</v>
      </c>
      <c r="G31" s="53">
        <v>46266</v>
      </c>
      <c r="H31" s="53">
        <v>46266</v>
      </c>
      <c r="I31" s="52" t="s">
        <v>575</v>
      </c>
      <c r="J31" s="52" t="s">
        <v>554</v>
      </c>
      <c r="K31" s="54" t="s">
        <v>555</v>
      </c>
    </row>
    <row r="32" spans="1:11" ht="30" customHeight="1">
      <c r="A32" s="63">
        <v>28</v>
      </c>
      <c r="B32" s="64">
        <v>2</v>
      </c>
      <c r="C32" s="64" t="s">
        <v>576</v>
      </c>
      <c r="D32" s="64"/>
      <c r="E32" s="64" t="s">
        <v>576</v>
      </c>
      <c r="F32" s="64"/>
      <c r="G32" s="65">
        <v>46261</v>
      </c>
      <c r="H32" s="65">
        <v>46265</v>
      </c>
      <c r="I32" s="64"/>
      <c r="J32" s="64"/>
      <c r="K32" s="66" t="s">
        <v>509</v>
      </c>
    </row>
    <row r="33" spans="1:11" ht="30" customHeight="1">
      <c r="A33" s="67">
        <v>29</v>
      </c>
      <c r="B33" s="68">
        <v>3</v>
      </c>
      <c r="C33" s="68" t="s">
        <v>576</v>
      </c>
      <c r="D33" s="68" t="s">
        <v>577</v>
      </c>
      <c r="E33" s="68" t="s">
        <v>578</v>
      </c>
      <c r="F33" s="68"/>
      <c r="G33" s="69">
        <v>46261</v>
      </c>
      <c r="H33" s="69">
        <v>46265</v>
      </c>
      <c r="I33" s="68"/>
      <c r="J33" s="68"/>
      <c r="K33" s="70" t="s">
        <v>512</v>
      </c>
    </row>
    <row r="34" spans="1:11" ht="30" customHeight="1">
      <c r="A34" s="51">
        <v>30</v>
      </c>
      <c r="B34" s="52">
        <v>4</v>
      </c>
      <c r="C34" s="52" t="s">
        <v>576</v>
      </c>
      <c r="D34" s="52" t="s">
        <v>577</v>
      </c>
      <c r="E34" s="52" t="s">
        <v>579</v>
      </c>
      <c r="F34" s="52">
        <v>1</v>
      </c>
      <c r="G34" s="53">
        <v>46261</v>
      </c>
      <c r="H34" s="53">
        <v>46261</v>
      </c>
      <c r="I34" s="52" t="s">
        <v>561</v>
      </c>
      <c r="J34" s="52" t="s">
        <v>572</v>
      </c>
      <c r="K34" s="54" t="s">
        <v>580</v>
      </c>
    </row>
    <row r="35" spans="1:11" ht="30" customHeight="1">
      <c r="A35" s="51">
        <v>31</v>
      </c>
      <c r="B35" s="52">
        <v>4</v>
      </c>
      <c r="C35" s="52" t="s">
        <v>576</v>
      </c>
      <c r="D35" s="52" t="s">
        <v>577</v>
      </c>
      <c r="E35" s="52" t="s">
        <v>581</v>
      </c>
      <c r="F35" s="52">
        <v>1</v>
      </c>
      <c r="G35" s="53">
        <v>46262</v>
      </c>
      <c r="H35" s="53">
        <v>46262</v>
      </c>
      <c r="I35" s="52" t="s">
        <v>582</v>
      </c>
      <c r="J35" s="52" t="s">
        <v>572</v>
      </c>
      <c r="K35" s="54" t="s">
        <v>583</v>
      </c>
    </row>
    <row r="36" spans="1:11" ht="30" customHeight="1">
      <c r="A36" s="51">
        <v>32</v>
      </c>
      <c r="B36" s="52">
        <v>4</v>
      </c>
      <c r="C36" s="52" t="s">
        <v>576</v>
      </c>
      <c r="D36" s="52" t="s">
        <v>577</v>
      </c>
      <c r="E36" s="52" t="s">
        <v>584</v>
      </c>
      <c r="F36" s="52">
        <v>2</v>
      </c>
      <c r="G36" s="53">
        <v>46263</v>
      </c>
      <c r="H36" s="53">
        <v>46264</v>
      </c>
      <c r="I36" s="52" t="s">
        <v>585</v>
      </c>
      <c r="J36" s="52" t="s">
        <v>572</v>
      </c>
      <c r="K36" s="54" t="s">
        <v>586</v>
      </c>
    </row>
    <row r="37" spans="1:11" ht="30" customHeight="1">
      <c r="A37" s="51">
        <v>33</v>
      </c>
      <c r="B37" s="52">
        <v>4</v>
      </c>
      <c r="C37" s="52" t="s">
        <v>576</v>
      </c>
      <c r="D37" s="52" t="s">
        <v>577</v>
      </c>
      <c r="E37" s="52" t="s">
        <v>587</v>
      </c>
      <c r="F37" s="52">
        <v>2</v>
      </c>
      <c r="G37" s="53">
        <v>46263</v>
      </c>
      <c r="H37" s="53">
        <v>46264</v>
      </c>
      <c r="I37" s="52" t="s">
        <v>585</v>
      </c>
      <c r="J37" s="52" t="s">
        <v>572</v>
      </c>
      <c r="K37" s="54" t="s">
        <v>588</v>
      </c>
    </row>
    <row r="38" spans="1:11" ht="30" customHeight="1">
      <c r="A38" s="51">
        <v>34</v>
      </c>
      <c r="B38" s="52">
        <v>4</v>
      </c>
      <c r="C38" s="52" t="s">
        <v>576</v>
      </c>
      <c r="D38" s="52" t="s">
        <v>577</v>
      </c>
      <c r="E38" s="52" t="s">
        <v>589</v>
      </c>
      <c r="F38" s="52">
        <v>1</v>
      </c>
      <c r="G38" s="53">
        <v>46265</v>
      </c>
      <c r="H38" s="53">
        <v>46265</v>
      </c>
      <c r="I38" s="52" t="s">
        <v>590</v>
      </c>
      <c r="J38" s="52" t="s">
        <v>591</v>
      </c>
      <c r="K38" s="54" t="s">
        <v>592</v>
      </c>
    </row>
    <row r="39" spans="1:11" ht="30" customHeight="1">
      <c r="A39" s="51">
        <v>35</v>
      </c>
      <c r="B39" s="52">
        <v>4</v>
      </c>
      <c r="C39" s="52" t="s">
        <v>576</v>
      </c>
      <c r="D39" s="52" t="s">
        <v>577</v>
      </c>
      <c r="E39" s="52" t="s">
        <v>593</v>
      </c>
      <c r="F39" s="52">
        <v>1</v>
      </c>
      <c r="G39" s="53">
        <v>46265</v>
      </c>
      <c r="H39" s="53">
        <v>46265</v>
      </c>
      <c r="I39" s="52" t="s">
        <v>594</v>
      </c>
      <c r="J39" s="52" t="s">
        <v>595</v>
      </c>
      <c r="K39" s="54" t="s">
        <v>596</v>
      </c>
    </row>
    <row r="40" spans="1:11" ht="30" customHeight="1">
      <c r="A40" s="59">
        <v>36</v>
      </c>
      <c r="B40" s="60">
        <v>1</v>
      </c>
      <c r="C40" s="60"/>
      <c r="D40" s="60"/>
      <c r="E40" s="60" t="s">
        <v>304</v>
      </c>
      <c r="F40" s="60"/>
      <c r="G40" s="61">
        <v>46267</v>
      </c>
      <c r="H40" s="61">
        <v>46273</v>
      </c>
      <c r="I40" s="60"/>
      <c r="J40" s="60"/>
      <c r="K40" s="62" t="s">
        <v>507</v>
      </c>
    </row>
    <row r="41" spans="1:11" ht="30" customHeight="1">
      <c r="A41" s="63">
        <v>37</v>
      </c>
      <c r="B41" s="64">
        <v>2</v>
      </c>
      <c r="C41" s="64" t="s">
        <v>516</v>
      </c>
      <c r="D41" s="64"/>
      <c r="E41" s="64" t="s">
        <v>516</v>
      </c>
      <c r="F41" s="64"/>
      <c r="G41" s="65">
        <v>46267</v>
      </c>
      <c r="H41" s="65">
        <v>46273</v>
      </c>
      <c r="I41" s="64"/>
      <c r="J41" s="64"/>
      <c r="K41" s="66" t="s">
        <v>509</v>
      </c>
    </row>
    <row r="42" spans="1:11" ht="30" customHeight="1">
      <c r="A42" s="67">
        <v>38</v>
      </c>
      <c r="B42" s="68">
        <v>3</v>
      </c>
      <c r="C42" s="68" t="s">
        <v>516</v>
      </c>
      <c r="D42" s="68" t="s">
        <v>517</v>
      </c>
      <c r="E42" s="68" t="s">
        <v>518</v>
      </c>
      <c r="F42" s="68"/>
      <c r="G42" s="69">
        <v>46267</v>
      </c>
      <c r="H42" s="69">
        <v>46273</v>
      </c>
      <c r="I42" s="68"/>
      <c r="J42" s="68"/>
      <c r="K42" s="70" t="s">
        <v>512</v>
      </c>
    </row>
    <row r="43" spans="1:11" ht="30" customHeight="1">
      <c r="A43" s="51">
        <v>39</v>
      </c>
      <c r="B43" s="52">
        <v>4</v>
      </c>
      <c r="C43" s="52" t="s">
        <v>516</v>
      </c>
      <c r="D43" s="52" t="s">
        <v>517</v>
      </c>
      <c r="E43" s="52" t="s">
        <v>597</v>
      </c>
      <c r="F43" s="52">
        <v>1</v>
      </c>
      <c r="G43" s="53">
        <v>46267</v>
      </c>
      <c r="H43" s="53">
        <v>46267</v>
      </c>
      <c r="I43" s="52" t="s">
        <v>598</v>
      </c>
      <c r="J43" s="52" t="s">
        <v>554</v>
      </c>
      <c r="K43" s="54" t="s">
        <v>599</v>
      </c>
    </row>
    <row r="44" spans="1:11" ht="30" customHeight="1">
      <c r="A44" s="51">
        <v>40</v>
      </c>
      <c r="B44" s="52">
        <v>4</v>
      </c>
      <c r="C44" s="52" t="s">
        <v>516</v>
      </c>
      <c r="D44" s="52" t="s">
        <v>517</v>
      </c>
      <c r="E44" s="52" t="s">
        <v>600</v>
      </c>
      <c r="F44" s="52">
        <v>1</v>
      </c>
      <c r="G44" s="53">
        <v>46273</v>
      </c>
      <c r="H44" s="53">
        <v>46273</v>
      </c>
      <c r="I44" s="52" t="s">
        <v>601</v>
      </c>
      <c r="J44" s="52" t="s">
        <v>554</v>
      </c>
      <c r="K44" s="54" t="s">
        <v>555</v>
      </c>
    </row>
    <row r="45" spans="1:11" ht="30" customHeight="1">
      <c r="A45" s="63">
        <v>41</v>
      </c>
      <c r="B45" s="64">
        <v>2</v>
      </c>
      <c r="C45" s="64" t="s">
        <v>576</v>
      </c>
      <c r="D45" s="64"/>
      <c r="E45" s="64" t="s">
        <v>576</v>
      </c>
      <c r="F45" s="64"/>
      <c r="G45" s="65">
        <v>46267</v>
      </c>
      <c r="H45" s="65">
        <v>46267</v>
      </c>
      <c r="I45" s="64"/>
      <c r="J45" s="64"/>
      <c r="K45" s="66" t="s">
        <v>509</v>
      </c>
    </row>
    <row r="46" spans="1:11" ht="30" customHeight="1">
      <c r="A46" s="67">
        <v>42</v>
      </c>
      <c r="B46" s="68">
        <v>3</v>
      </c>
      <c r="C46" s="68" t="s">
        <v>576</v>
      </c>
      <c r="D46" s="68" t="s">
        <v>577</v>
      </c>
      <c r="E46" s="68" t="s">
        <v>578</v>
      </c>
      <c r="F46" s="68"/>
      <c r="G46" s="69">
        <v>46267</v>
      </c>
      <c r="H46" s="69">
        <v>46267</v>
      </c>
      <c r="I46" s="68"/>
      <c r="J46" s="68"/>
      <c r="K46" s="70" t="s">
        <v>512</v>
      </c>
    </row>
    <row r="47" spans="1:11" ht="30" customHeight="1">
      <c r="A47" s="51">
        <v>43</v>
      </c>
      <c r="B47" s="52">
        <v>4</v>
      </c>
      <c r="C47" s="52" t="s">
        <v>576</v>
      </c>
      <c r="D47" s="52" t="s">
        <v>577</v>
      </c>
      <c r="E47" s="52" t="s">
        <v>602</v>
      </c>
      <c r="F47" s="52">
        <v>1</v>
      </c>
      <c r="G47" s="53">
        <v>46267</v>
      </c>
      <c r="H47" s="53">
        <v>46267</v>
      </c>
      <c r="I47" s="52" t="s">
        <v>603</v>
      </c>
      <c r="J47" s="52" t="s">
        <v>568</v>
      </c>
      <c r="K47" s="54" t="s">
        <v>604</v>
      </c>
    </row>
    <row r="48" spans="1:11" ht="30" customHeight="1">
      <c r="A48" s="63">
        <v>44</v>
      </c>
      <c r="B48" s="64">
        <v>2</v>
      </c>
      <c r="C48" s="64" t="s">
        <v>605</v>
      </c>
      <c r="D48" s="64"/>
      <c r="E48" s="64" t="s">
        <v>605</v>
      </c>
      <c r="F48" s="64"/>
      <c r="G48" s="65">
        <v>46267</v>
      </c>
      <c r="H48" s="65">
        <v>46271</v>
      </c>
      <c r="I48" s="64"/>
      <c r="J48" s="64"/>
      <c r="K48" s="66" t="s">
        <v>509</v>
      </c>
    </row>
    <row r="49" spans="1:11" ht="30" customHeight="1">
      <c r="A49" s="67">
        <v>45</v>
      </c>
      <c r="B49" s="68">
        <v>3</v>
      </c>
      <c r="C49" s="68" t="s">
        <v>605</v>
      </c>
      <c r="D49" s="68" t="s">
        <v>606</v>
      </c>
      <c r="E49" s="68" t="s">
        <v>607</v>
      </c>
      <c r="F49" s="68"/>
      <c r="G49" s="69">
        <v>46267</v>
      </c>
      <c r="H49" s="69">
        <v>46271</v>
      </c>
      <c r="I49" s="68"/>
      <c r="J49" s="68"/>
      <c r="K49" s="70" t="s">
        <v>512</v>
      </c>
    </row>
    <row r="50" spans="1:11" ht="30" customHeight="1">
      <c r="A50" s="51">
        <v>46</v>
      </c>
      <c r="B50" s="52">
        <v>4</v>
      </c>
      <c r="C50" s="52" t="s">
        <v>605</v>
      </c>
      <c r="D50" s="52" t="s">
        <v>606</v>
      </c>
      <c r="E50" s="52" t="s">
        <v>608</v>
      </c>
      <c r="F50" s="52">
        <v>1</v>
      </c>
      <c r="G50" s="53">
        <v>46267</v>
      </c>
      <c r="H50" s="53">
        <v>46267</v>
      </c>
      <c r="I50" s="52" t="s">
        <v>603</v>
      </c>
      <c r="J50" s="52" t="s">
        <v>609</v>
      </c>
      <c r="K50" s="54" t="s">
        <v>610</v>
      </c>
    </row>
    <row r="51" spans="1:11" ht="30" customHeight="1">
      <c r="A51" s="51">
        <v>47</v>
      </c>
      <c r="B51" s="52">
        <v>4</v>
      </c>
      <c r="C51" s="52" t="s">
        <v>605</v>
      </c>
      <c r="D51" s="52" t="s">
        <v>606</v>
      </c>
      <c r="E51" s="52" t="s">
        <v>611</v>
      </c>
      <c r="F51" s="52">
        <v>1</v>
      </c>
      <c r="G51" s="53">
        <v>46268</v>
      </c>
      <c r="H51" s="53">
        <v>46268</v>
      </c>
      <c r="I51" s="52" t="s">
        <v>612</v>
      </c>
      <c r="J51" s="52" t="s">
        <v>609</v>
      </c>
      <c r="K51" s="54" t="s">
        <v>613</v>
      </c>
    </row>
    <row r="52" spans="1:11" ht="30" customHeight="1">
      <c r="A52" s="51">
        <v>48</v>
      </c>
      <c r="B52" s="52">
        <v>4</v>
      </c>
      <c r="C52" s="52" t="s">
        <v>605</v>
      </c>
      <c r="D52" s="52" t="s">
        <v>606</v>
      </c>
      <c r="E52" s="52" t="s">
        <v>614</v>
      </c>
      <c r="F52" s="52">
        <v>1</v>
      </c>
      <c r="G52" s="53">
        <v>46269</v>
      </c>
      <c r="H52" s="53">
        <v>46269</v>
      </c>
      <c r="I52" s="52" t="s">
        <v>615</v>
      </c>
      <c r="J52" s="52" t="s">
        <v>616</v>
      </c>
      <c r="K52" s="54" t="s">
        <v>617</v>
      </c>
    </row>
    <row r="53" spans="1:11" ht="30" customHeight="1">
      <c r="A53" s="51">
        <v>49</v>
      </c>
      <c r="B53" s="52">
        <v>4</v>
      </c>
      <c r="C53" s="52" t="s">
        <v>605</v>
      </c>
      <c r="D53" s="52" t="s">
        <v>606</v>
      </c>
      <c r="E53" s="52" t="s">
        <v>618</v>
      </c>
      <c r="F53" s="52">
        <v>1</v>
      </c>
      <c r="G53" s="53">
        <v>46268</v>
      </c>
      <c r="H53" s="53">
        <v>46268</v>
      </c>
      <c r="I53" s="52" t="s">
        <v>603</v>
      </c>
      <c r="J53" s="52" t="s">
        <v>619</v>
      </c>
      <c r="K53" s="54" t="s">
        <v>620</v>
      </c>
    </row>
    <row r="54" spans="1:11" ht="30" customHeight="1">
      <c r="A54" s="51">
        <v>50</v>
      </c>
      <c r="B54" s="52">
        <v>4</v>
      </c>
      <c r="C54" s="52" t="s">
        <v>605</v>
      </c>
      <c r="D54" s="52" t="s">
        <v>606</v>
      </c>
      <c r="E54" s="52" t="s">
        <v>621</v>
      </c>
      <c r="F54" s="52">
        <v>1</v>
      </c>
      <c r="G54" s="53">
        <v>46268</v>
      </c>
      <c r="H54" s="53">
        <v>46268</v>
      </c>
      <c r="I54" s="52" t="s">
        <v>622</v>
      </c>
      <c r="J54" s="52" t="s">
        <v>616</v>
      </c>
      <c r="K54" s="54" t="s">
        <v>623</v>
      </c>
    </row>
    <row r="55" spans="1:11" ht="30" customHeight="1">
      <c r="A55" s="51">
        <v>51</v>
      </c>
      <c r="B55" s="52">
        <v>4</v>
      </c>
      <c r="C55" s="52" t="s">
        <v>605</v>
      </c>
      <c r="D55" s="52" t="s">
        <v>606</v>
      </c>
      <c r="E55" s="52" t="s">
        <v>624</v>
      </c>
      <c r="F55" s="52">
        <v>1</v>
      </c>
      <c r="G55" s="53">
        <v>46268</v>
      </c>
      <c r="H55" s="53">
        <v>46268</v>
      </c>
      <c r="I55" s="52" t="s">
        <v>622</v>
      </c>
      <c r="J55" s="52" t="s">
        <v>591</v>
      </c>
      <c r="K55" s="54" t="s">
        <v>625</v>
      </c>
    </row>
    <row r="56" spans="1:11" ht="30" customHeight="1">
      <c r="A56" s="51">
        <v>52</v>
      </c>
      <c r="B56" s="52">
        <v>4</v>
      </c>
      <c r="C56" s="52" t="s">
        <v>605</v>
      </c>
      <c r="D56" s="52" t="s">
        <v>606</v>
      </c>
      <c r="E56" s="52" t="s">
        <v>626</v>
      </c>
      <c r="F56" s="52">
        <v>1</v>
      </c>
      <c r="G56" s="53">
        <v>46268</v>
      </c>
      <c r="H56" s="53">
        <v>46268</v>
      </c>
      <c r="I56" s="52" t="s">
        <v>622</v>
      </c>
      <c r="J56" s="52" t="s">
        <v>627</v>
      </c>
      <c r="K56" s="54" t="s">
        <v>628</v>
      </c>
    </row>
    <row r="57" spans="1:11" ht="30" customHeight="1">
      <c r="A57" s="51">
        <v>53</v>
      </c>
      <c r="B57" s="52">
        <v>4</v>
      </c>
      <c r="C57" s="52" t="s">
        <v>605</v>
      </c>
      <c r="D57" s="52" t="s">
        <v>606</v>
      </c>
      <c r="E57" s="52" t="s">
        <v>629</v>
      </c>
      <c r="F57" s="52">
        <v>1</v>
      </c>
      <c r="G57" s="53">
        <v>46269</v>
      </c>
      <c r="H57" s="53">
        <v>46269</v>
      </c>
      <c r="I57" s="52" t="s">
        <v>630</v>
      </c>
      <c r="J57" s="52" t="s">
        <v>616</v>
      </c>
      <c r="K57" s="54" t="s">
        <v>631</v>
      </c>
    </row>
    <row r="58" spans="1:11" ht="30" customHeight="1">
      <c r="A58" s="51">
        <v>54</v>
      </c>
      <c r="B58" s="52">
        <v>4</v>
      </c>
      <c r="C58" s="52" t="s">
        <v>605</v>
      </c>
      <c r="D58" s="52" t="s">
        <v>606</v>
      </c>
      <c r="E58" s="52" t="s">
        <v>632</v>
      </c>
      <c r="F58" s="52">
        <v>1</v>
      </c>
      <c r="G58" s="53">
        <v>46269</v>
      </c>
      <c r="H58" s="53">
        <v>46269</v>
      </c>
      <c r="I58" s="52" t="s">
        <v>622</v>
      </c>
      <c r="J58" s="52" t="s">
        <v>619</v>
      </c>
      <c r="K58" s="54" t="s">
        <v>633</v>
      </c>
    </row>
    <row r="59" spans="1:11" ht="30" customHeight="1">
      <c r="A59" s="51">
        <v>55</v>
      </c>
      <c r="B59" s="52">
        <v>4</v>
      </c>
      <c r="C59" s="52" t="s">
        <v>605</v>
      </c>
      <c r="D59" s="52" t="s">
        <v>606</v>
      </c>
      <c r="E59" s="52" t="s">
        <v>634</v>
      </c>
      <c r="F59" s="52">
        <v>1</v>
      </c>
      <c r="G59" s="53">
        <v>46271</v>
      </c>
      <c r="H59" s="53">
        <v>46271</v>
      </c>
      <c r="I59" s="52" t="s">
        <v>635</v>
      </c>
      <c r="J59" s="52" t="s">
        <v>591</v>
      </c>
      <c r="K59" s="54" t="s">
        <v>636</v>
      </c>
    </row>
    <row r="60" spans="1:11" ht="30" customHeight="1">
      <c r="A60" s="51">
        <v>56</v>
      </c>
      <c r="B60" s="52">
        <v>4</v>
      </c>
      <c r="C60" s="52" t="s">
        <v>605</v>
      </c>
      <c r="D60" s="52" t="s">
        <v>606</v>
      </c>
      <c r="E60" s="52" t="s">
        <v>637</v>
      </c>
      <c r="F60" s="52">
        <v>1</v>
      </c>
      <c r="G60" s="53">
        <v>46271</v>
      </c>
      <c r="H60" s="53">
        <v>46271</v>
      </c>
      <c r="I60" s="52" t="s">
        <v>638</v>
      </c>
      <c r="J60" s="52" t="s">
        <v>627</v>
      </c>
      <c r="K60" s="54" t="s">
        <v>639</v>
      </c>
    </row>
    <row r="61" spans="1:11" ht="30" customHeight="1">
      <c r="A61" s="63">
        <v>57</v>
      </c>
      <c r="B61" s="64">
        <v>2</v>
      </c>
      <c r="C61" s="64" t="s">
        <v>640</v>
      </c>
      <c r="D61" s="64"/>
      <c r="E61" s="64" t="s">
        <v>640</v>
      </c>
      <c r="F61" s="64"/>
      <c r="G61" s="65">
        <v>46270</v>
      </c>
      <c r="H61" s="65">
        <v>46272</v>
      </c>
      <c r="I61" s="64"/>
      <c r="J61" s="64"/>
      <c r="K61" s="66" t="s">
        <v>509</v>
      </c>
    </row>
    <row r="62" spans="1:11" ht="30" customHeight="1">
      <c r="A62" s="67">
        <v>58</v>
      </c>
      <c r="B62" s="68">
        <v>3</v>
      </c>
      <c r="C62" s="68" t="s">
        <v>640</v>
      </c>
      <c r="D62" s="68" t="s">
        <v>641</v>
      </c>
      <c r="E62" s="68" t="s">
        <v>642</v>
      </c>
      <c r="F62" s="68"/>
      <c r="G62" s="69">
        <v>46270</v>
      </c>
      <c r="H62" s="69">
        <v>46272</v>
      </c>
      <c r="I62" s="68"/>
      <c r="J62" s="68"/>
      <c r="K62" s="70" t="s">
        <v>512</v>
      </c>
    </row>
    <row r="63" spans="1:11" ht="30" customHeight="1">
      <c r="A63" s="51">
        <v>59</v>
      </c>
      <c r="B63" s="52">
        <v>4</v>
      </c>
      <c r="C63" s="52" t="s">
        <v>640</v>
      </c>
      <c r="D63" s="52" t="s">
        <v>641</v>
      </c>
      <c r="E63" s="52" t="s">
        <v>643</v>
      </c>
      <c r="F63" s="52">
        <v>2</v>
      </c>
      <c r="G63" s="53">
        <v>46270</v>
      </c>
      <c r="H63" s="53">
        <v>46271</v>
      </c>
      <c r="I63" s="52" t="s">
        <v>644</v>
      </c>
      <c r="J63" s="52" t="s">
        <v>616</v>
      </c>
      <c r="K63" s="54" t="s">
        <v>645</v>
      </c>
    </row>
    <row r="64" spans="1:11" ht="30" customHeight="1">
      <c r="A64" s="51">
        <v>60</v>
      </c>
      <c r="B64" s="52">
        <v>4</v>
      </c>
      <c r="C64" s="52" t="s">
        <v>640</v>
      </c>
      <c r="D64" s="52" t="s">
        <v>641</v>
      </c>
      <c r="E64" s="52" t="s">
        <v>646</v>
      </c>
      <c r="F64" s="52">
        <v>1</v>
      </c>
      <c r="G64" s="53">
        <v>46272</v>
      </c>
      <c r="H64" s="53">
        <v>46272</v>
      </c>
      <c r="I64" s="52" t="s">
        <v>647</v>
      </c>
      <c r="J64" s="52" t="s">
        <v>648</v>
      </c>
      <c r="K64" s="54" t="s">
        <v>649</v>
      </c>
    </row>
    <row r="65" spans="1:11" ht="30" customHeight="1">
      <c r="A65" s="59">
        <v>61</v>
      </c>
      <c r="B65" s="60">
        <v>1</v>
      </c>
      <c r="C65" s="60"/>
      <c r="D65" s="60"/>
      <c r="E65" s="60" t="s">
        <v>189</v>
      </c>
      <c r="F65" s="60"/>
      <c r="G65" s="61">
        <v>46274</v>
      </c>
      <c r="H65" s="61">
        <v>46280</v>
      </c>
      <c r="I65" s="60"/>
      <c r="J65" s="60"/>
      <c r="K65" s="62" t="s">
        <v>507</v>
      </c>
    </row>
    <row r="66" spans="1:11" ht="30" customHeight="1">
      <c r="A66" s="63">
        <v>62</v>
      </c>
      <c r="B66" s="64">
        <v>2</v>
      </c>
      <c r="C66" s="64" t="s">
        <v>516</v>
      </c>
      <c r="D66" s="64"/>
      <c r="E66" s="64" t="s">
        <v>516</v>
      </c>
      <c r="F66" s="64"/>
      <c r="G66" s="65">
        <v>46274</v>
      </c>
      <c r="H66" s="65">
        <v>46280</v>
      </c>
      <c r="I66" s="64"/>
      <c r="J66" s="64"/>
      <c r="K66" s="66" t="s">
        <v>509</v>
      </c>
    </row>
    <row r="67" spans="1:11" ht="30" customHeight="1">
      <c r="A67" s="67">
        <v>63</v>
      </c>
      <c r="B67" s="68">
        <v>3</v>
      </c>
      <c r="C67" s="68" t="s">
        <v>516</v>
      </c>
      <c r="D67" s="68" t="s">
        <v>517</v>
      </c>
      <c r="E67" s="68" t="s">
        <v>518</v>
      </c>
      <c r="F67" s="68"/>
      <c r="G67" s="69">
        <v>46274</v>
      </c>
      <c r="H67" s="69">
        <v>46280</v>
      </c>
      <c r="I67" s="68"/>
      <c r="J67" s="68"/>
      <c r="K67" s="70" t="s">
        <v>512</v>
      </c>
    </row>
    <row r="68" spans="1:11" ht="30" customHeight="1">
      <c r="A68" s="51">
        <v>64</v>
      </c>
      <c r="B68" s="52">
        <v>4</v>
      </c>
      <c r="C68" s="52" t="s">
        <v>516</v>
      </c>
      <c r="D68" s="52" t="s">
        <v>517</v>
      </c>
      <c r="E68" s="52" t="s">
        <v>650</v>
      </c>
      <c r="F68" s="52">
        <v>1</v>
      </c>
      <c r="G68" s="53">
        <v>46274</v>
      </c>
      <c r="H68" s="53">
        <v>46274</v>
      </c>
      <c r="I68" s="52" t="s">
        <v>651</v>
      </c>
      <c r="J68" s="52" t="s">
        <v>554</v>
      </c>
      <c r="K68" s="54" t="s">
        <v>652</v>
      </c>
    </row>
    <row r="69" spans="1:11" ht="30" customHeight="1">
      <c r="A69" s="51">
        <v>65</v>
      </c>
      <c r="B69" s="52">
        <v>4</v>
      </c>
      <c r="C69" s="52" t="s">
        <v>516</v>
      </c>
      <c r="D69" s="52" t="s">
        <v>517</v>
      </c>
      <c r="E69" s="52" t="s">
        <v>653</v>
      </c>
      <c r="F69" s="52">
        <v>1</v>
      </c>
      <c r="G69" s="53">
        <v>46280</v>
      </c>
      <c r="H69" s="53">
        <v>46280</v>
      </c>
      <c r="I69" s="52" t="s">
        <v>654</v>
      </c>
      <c r="J69" s="52" t="s">
        <v>554</v>
      </c>
      <c r="K69" s="54" t="s">
        <v>555</v>
      </c>
    </row>
    <row r="70" spans="1:11" ht="30" customHeight="1">
      <c r="A70" s="63">
        <v>66</v>
      </c>
      <c r="B70" s="64">
        <v>2</v>
      </c>
      <c r="C70" s="64" t="s">
        <v>655</v>
      </c>
      <c r="D70" s="64"/>
      <c r="E70" s="64" t="s">
        <v>655</v>
      </c>
      <c r="F70" s="64"/>
      <c r="G70" s="65">
        <v>46274</v>
      </c>
      <c r="H70" s="65">
        <v>46279</v>
      </c>
      <c r="I70" s="64"/>
      <c r="J70" s="64"/>
      <c r="K70" s="66" t="s">
        <v>509</v>
      </c>
    </row>
    <row r="71" spans="1:11" ht="30" customHeight="1">
      <c r="A71" s="67">
        <v>67</v>
      </c>
      <c r="B71" s="68">
        <v>3</v>
      </c>
      <c r="C71" s="68" t="s">
        <v>655</v>
      </c>
      <c r="D71" s="68" t="s">
        <v>656</v>
      </c>
      <c r="E71" s="68" t="s">
        <v>657</v>
      </c>
      <c r="F71" s="68"/>
      <c r="G71" s="69">
        <v>46274</v>
      </c>
      <c r="H71" s="69">
        <v>46279</v>
      </c>
      <c r="I71" s="68"/>
      <c r="J71" s="68"/>
      <c r="K71" s="70" t="s">
        <v>512</v>
      </c>
    </row>
    <row r="72" spans="1:11" ht="30" customHeight="1">
      <c r="A72" s="51">
        <v>68</v>
      </c>
      <c r="B72" s="52">
        <v>4</v>
      </c>
      <c r="C72" s="52" t="s">
        <v>655</v>
      </c>
      <c r="D72" s="52" t="s">
        <v>656</v>
      </c>
      <c r="E72" s="52" t="s">
        <v>658</v>
      </c>
      <c r="F72" s="52">
        <v>2</v>
      </c>
      <c r="G72" s="53">
        <v>46274</v>
      </c>
      <c r="H72" s="53">
        <v>46275</v>
      </c>
      <c r="I72" s="52" t="s">
        <v>659</v>
      </c>
      <c r="J72" s="52" t="s">
        <v>616</v>
      </c>
      <c r="K72" s="54" t="s">
        <v>660</v>
      </c>
    </row>
    <row r="73" spans="1:11" ht="30" customHeight="1">
      <c r="A73" s="51">
        <v>69</v>
      </c>
      <c r="B73" s="52">
        <v>4</v>
      </c>
      <c r="C73" s="52" t="s">
        <v>655</v>
      </c>
      <c r="D73" s="52" t="s">
        <v>656</v>
      </c>
      <c r="E73" s="52" t="s">
        <v>661</v>
      </c>
      <c r="F73" s="52">
        <v>2</v>
      </c>
      <c r="G73" s="53">
        <v>46275</v>
      </c>
      <c r="H73" s="53">
        <v>46276</v>
      </c>
      <c r="I73" s="52" t="s">
        <v>659</v>
      </c>
      <c r="J73" s="52" t="s">
        <v>616</v>
      </c>
      <c r="K73" s="54" t="s">
        <v>198</v>
      </c>
    </row>
    <row r="74" spans="1:11" ht="30" customHeight="1">
      <c r="A74" s="51">
        <v>70</v>
      </c>
      <c r="B74" s="52">
        <v>4</v>
      </c>
      <c r="C74" s="52" t="s">
        <v>655</v>
      </c>
      <c r="D74" s="52" t="s">
        <v>656</v>
      </c>
      <c r="E74" s="52" t="s">
        <v>662</v>
      </c>
      <c r="F74" s="52">
        <v>1</v>
      </c>
      <c r="G74" s="53">
        <v>46276</v>
      </c>
      <c r="H74" s="53">
        <v>46276</v>
      </c>
      <c r="I74" s="52" t="s">
        <v>659</v>
      </c>
      <c r="J74" s="52" t="s">
        <v>616</v>
      </c>
      <c r="K74" s="54" t="s">
        <v>663</v>
      </c>
    </row>
    <row r="75" spans="1:11" ht="30" customHeight="1">
      <c r="A75" s="51">
        <v>71</v>
      </c>
      <c r="B75" s="52">
        <v>4</v>
      </c>
      <c r="C75" s="52" t="s">
        <v>655</v>
      </c>
      <c r="D75" s="52" t="s">
        <v>656</v>
      </c>
      <c r="E75" s="52" t="s">
        <v>664</v>
      </c>
      <c r="F75" s="52">
        <v>2</v>
      </c>
      <c r="G75" s="53">
        <v>46276</v>
      </c>
      <c r="H75" s="53">
        <v>46277</v>
      </c>
      <c r="I75" s="52" t="s">
        <v>665</v>
      </c>
      <c r="J75" s="52" t="s">
        <v>591</v>
      </c>
      <c r="K75" s="54" t="s">
        <v>666</v>
      </c>
    </row>
    <row r="76" spans="1:11" ht="30" customHeight="1">
      <c r="A76" s="51">
        <v>72</v>
      </c>
      <c r="B76" s="52">
        <v>4</v>
      </c>
      <c r="C76" s="52" t="s">
        <v>655</v>
      </c>
      <c r="D76" s="52" t="s">
        <v>656</v>
      </c>
      <c r="E76" s="52" t="s">
        <v>667</v>
      </c>
      <c r="F76" s="52">
        <v>2</v>
      </c>
      <c r="G76" s="53">
        <v>46277</v>
      </c>
      <c r="H76" s="53">
        <v>46278</v>
      </c>
      <c r="I76" s="52" t="s">
        <v>668</v>
      </c>
      <c r="J76" s="52" t="s">
        <v>591</v>
      </c>
      <c r="K76" s="54" t="s">
        <v>669</v>
      </c>
    </row>
    <row r="77" spans="1:11" ht="30" customHeight="1">
      <c r="A77" s="51">
        <v>73</v>
      </c>
      <c r="B77" s="52">
        <v>4</v>
      </c>
      <c r="C77" s="52" t="s">
        <v>655</v>
      </c>
      <c r="D77" s="52" t="s">
        <v>656</v>
      </c>
      <c r="E77" s="52" t="s">
        <v>670</v>
      </c>
      <c r="F77" s="52">
        <v>2</v>
      </c>
      <c r="G77" s="53">
        <v>46276</v>
      </c>
      <c r="H77" s="53">
        <v>46277</v>
      </c>
      <c r="I77" s="52" t="s">
        <v>665</v>
      </c>
      <c r="J77" s="52" t="s">
        <v>627</v>
      </c>
      <c r="K77" s="54" t="s">
        <v>267</v>
      </c>
    </row>
    <row r="78" spans="1:11" ht="30" customHeight="1">
      <c r="A78" s="51">
        <v>74</v>
      </c>
      <c r="B78" s="52">
        <v>4</v>
      </c>
      <c r="C78" s="52" t="s">
        <v>655</v>
      </c>
      <c r="D78" s="52" t="s">
        <v>656</v>
      </c>
      <c r="E78" s="52" t="s">
        <v>671</v>
      </c>
      <c r="F78" s="52">
        <v>2</v>
      </c>
      <c r="G78" s="53">
        <v>46277</v>
      </c>
      <c r="H78" s="53">
        <v>46278</v>
      </c>
      <c r="I78" s="52" t="s">
        <v>672</v>
      </c>
      <c r="J78" s="52" t="s">
        <v>627</v>
      </c>
      <c r="K78" s="54" t="s">
        <v>274</v>
      </c>
    </row>
    <row r="79" spans="1:11" ht="30" customHeight="1">
      <c r="A79" s="51">
        <v>75</v>
      </c>
      <c r="B79" s="52">
        <v>4</v>
      </c>
      <c r="C79" s="52" t="s">
        <v>655</v>
      </c>
      <c r="D79" s="52" t="s">
        <v>656</v>
      </c>
      <c r="E79" s="52" t="s">
        <v>673</v>
      </c>
      <c r="F79" s="52">
        <v>1</v>
      </c>
      <c r="G79" s="53">
        <v>46279</v>
      </c>
      <c r="H79" s="53">
        <v>46279</v>
      </c>
      <c r="I79" s="52" t="s">
        <v>674</v>
      </c>
      <c r="J79" s="52" t="s">
        <v>616</v>
      </c>
      <c r="K79" s="54" t="s">
        <v>675</v>
      </c>
    </row>
    <row r="80" spans="1:11" ht="30" customHeight="1">
      <c r="A80" s="51">
        <v>76</v>
      </c>
      <c r="B80" s="52">
        <v>4</v>
      </c>
      <c r="C80" s="52" t="s">
        <v>655</v>
      </c>
      <c r="D80" s="52" t="s">
        <v>656</v>
      </c>
      <c r="E80" s="52" t="s">
        <v>676</v>
      </c>
      <c r="F80" s="52">
        <v>1</v>
      </c>
      <c r="G80" s="53">
        <v>46279</v>
      </c>
      <c r="H80" s="53">
        <v>46279</v>
      </c>
      <c r="I80" s="52" t="s">
        <v>677</v>
      </c>
      <c r="J80" s="52" t="s">
        <v>648</v>
      </c>
      <c r="K80" s="54" t="s">
        <v>678</v>
      </c>
    </row>
    <row r="81" spans="1:11" ht="30" customHeight="1">
      <c r="A81" s="63">
        <v>77</v>
      </c>
      <c r="B81" s="64">
        <v>2</v>
      </c>
      <c r="C81" s="64" t="s">
        <v>387</v>
      </c>
      <c r="D81" s="64"/>
      <c r="E81" s="64" t="s">
        <v>387</v>
      </c>
      <c r="F81" s="64"/>
      <c r="G81" s="65">
        <v>46279</v>
      </c>
      <c r="H81" s="65">
        <v>46279</v>
      </c>
      <c r="I81" s="64"/>
      <c r="J81" s="64"/>
      <c r="K81" s="66" t="s">
        <v>509</v>
      </c>
    </row>
    <row r="82" spans="1:11" ht="30" customHeight="1">
      <c r="A82" s="67">
        <v>78</v>
      </c>
      <c r="B82" s="68">
        <v>3</v>
      </c>
      <c r="C82" s="68" t="s">
        <v>387</v>
      </c>
      <c r="D82" s="68" t="s">
        <v>679</v>
      </c>
      <c r="E82" s="68" t="s">
        <v>680</v>
      </c>
      <c r="F82" s="68"/>
      <c r="G82" s="69">
        <v>46279</v>
      </c>
      <c r="H82" s="69">
        <v>46279</v>
      </c>
      <c r="I82" s="68"/>
      <c r="J82" s="68"/>
      <c r="K82" s="70" t="s">
        <v>512</v>
      </c>
    </row>
    <row r="83" spans="1:11" ht="30" customHeight="1">
      <c r="A83" s="51">
        <v>79</v>
      </c>
      <c r="B83" s="52">
        <v>4</v>
      </c>
      <c r="C83" s="52" t="s">
        <v>387</v>
      </c>
      <c r="D83" s="52" t="s">
        <v>679</v>
      </c>
      <c r="E83" s="52" t="s">
        <v>681</v>
      </c>
      <c r="F83" s="52">
        <v>1</v>
      </c>
      <c r="G83" s="53">
        <v>46279</v>
      </c>
      <c r="H83" s="53">
        <v>46279</v>
      </c>
      <c r="I83" s="52" t="s">
        <v>470</v>
      </c>
      <c r="J83" s="52" t="s">
        <v>616</v>
      </c>
      <c r="K83" s="54" t="s">
        <v>682</v>
      </c>
    </row>
    <row r="84" spans="1:11" ht="30" customHeight="1">
      <c r="A84" s="59">
        <v>80</v>
      </c>
      <c r="B84" s="60">
        <v>1</v>
      </c>
      <c r="C84" s="60"/>
      <c r="D84" s="60"/>
      <c r="E84" s="60" t="s">
        <v>221</v>
      </c>
      <c r="F84" s="60"/>
      <c r="G84" s="61">
        <v>46281</v>
      </c>
      <c r="H84" s="61">
        <v>46287</v>
      </c>
      <c r="I84" s="60"/>
      <c r="J84" s="60"/>
      <c r="K84" s="62" t="s">
        <v>507</v>
      </c>
    </row>
    <row r="85" spans="1:11" ht="30" customHeight="1">
      <c r="A85" s="63">
        <v>81</v>
      </c>
      <c r="B85" s="64">
        <v>2</v>
      </c>
      <c r="C85" s="64" t="s">
        <v>516</v>
      </c>
      <c r="D85" s="64"/>
      <c r="E85" s="64" t="s">
        <v>516</v>
      </c>
      <c r="F85" s="64"/>
      <c r="G85" s="65">
        <v>46281</v>
      </c>
      <c r="H85" s="65">
        <v>46287</v>
      </c>
      <c r="I85" s="64"/>
      <c r="J85" s="64"/>
      <c r="K85" s="66" t="s">
        <v>509</v>
      </c>
    </row>
    <row r="86" spans="1:11" ht="30" customHeight="1">
      <c r="A86" s="67">
        <v>82</v>
      </c>
      <c r="B86" s="68">
        <v>3</v>
      </c>
      <c r="C86" s="68" t="s">
        <v>516</v>
      </c>
      <c r="D86" s="68" t="s">
        <v>517</v>
      </c>
      <c r="E86" s="68" t="s">
        <v>518</v>
      </c>
      <c r="F86" s="68"/>
      <c r="G86" s="69">
        <v>46281</v>
      </c>
      <c r="H86" s="69">
        <v>46287</v>
      </c>
      <c r="I86" s="68"/>
      <c r="J86" s="68"/>
      <c r="K86" s="70" t="s">
        <v>512</v>
      </c>
    </row>
    <row r="87" spans="1:11" ht="30" customHeight="1">
      <c r="A87" s="51">
        <v>83</v>
      </c>
      <c r="B87" s="52">
        <v>4</v>
      </c>
      <c r="C87" s="52" t="s">
        <v>516</v>
      </c>
      <c r="D87" s="52" t="s">
        <v>517</v>
      </c>
      <c r="E87" s="52" t="s">
        <v>683</v>
      </c>
      <c r="F87" s="52">
        <v>1</v>
      </c>
      <c r="G87" s="53">
        <v>46281</v>
      </c>
      <c r="H87" s="53">
        <v>46281</v>
      </c>
      <c r="I87" s="52" t="s">
        <v>684</v>
      </c>
      <c r="J87" s="52" t="s">
        <v>554</v>
      </c>
      <c r="K87" s="54" t="s">
        <v>685</v>
      </c>
    </row>
    <row r="88" spans="1:11" ht="30" customHeight="1">
      <c r="A88" s="51">
        <v>84</v>
      </c>
      <c r="B88" s="52">
        <v>4</v>
      </c>
      <c r="C88" s="52" t="s">
        <v>516</v>
      </c>
      <c r="D88" s="52" t="s">
        <v>517</v>
      </c>
      <c r="E88" s="52" t="s">
        <v>686</v>
      </c>
      <c r="F88" s="52">
        <v>1</v>
      </c>
      <c r="G88" s="53">
        <v>46287</v>
      </c>
      <c r="H88" s="53">
        <v>46287</v>
      </c>
      <c r="I88" s="52" t="s">
        <v>687</v>
      </c>
      <c r="J88" s="52" t="s">
        <v>554</v>
      </c>
      <c r="K88" s="54" t="s">
        <v>555</v>
      </c>
    </row>
    <row r="89" spans="1:11" ht="30" customHeight="1">
      <c r="A89" s="63">
        <v>85</v>
      </c>
      <c r="B89" s="64">
        <v>2</v>
      </c>
      <c r="C89" s="64" t="s">
        <v>655</v>
      </c>
      <c r="D89" s="64"/>
      <c r="E89" s="64" t="s">
        <v>655</v>
      </c>
      <c r="F89" s="64"/>
      <c r="G89" s="65">
        <v>46281</v>
      </c>
      <c r="H89" s="65">
        <v>46285</v>
      </c>
      <c r="I89" s="64"/>
      <c r="J89" s="64"/>
      <c r="K89" s="66" t="s">
        <v>509</v>
      </c>
    </row>
    <row r="90" spans="1:11" ht="30" customHeight="1">
      <c r="A90" s="67">
        <v>86</v>
      </c>
      <c r="B90" s="68">
        <v>3</v>
      </c>
      <c r="C90" s="68" t="s">
        <v>655</v>
      </c>
      <c r="D90" s="68" t="s">
        <v>656</v>
      </c>
      <c r="E90" s="68" t="s">
        <v>657</v>
      </c>
      <c r="F90" s="68"/>
      <c r="G90" s="69">
        <v>46281</v>
      </c>
      <c r="H90" s="69">
        <v>46285</v>
      </c>
      <c r="I90" s="68"/>
      <c r="J90" s="68"/>
      <c r="K90" s="70" t="s">
        <v>512</v>
      </c>
    </row>
    <row r="91" spans="1:11" ht="30" customHeight="1">
      <c r="A91" s="51">
        <v>87</v>
      </c>
      <c r="B91" s="52">
        <v>4</v>
      </c>
      <c r="C91" s="52" t="s">
        <v>655</v>
      </c>
      <c r="D91" s="52" t="s">
        <v>656</v>
      </c>
      <c r="E91" s="52" t="s">
        <v>688</v>
      </c>
      <c r="F91" s="52">
        <v>2</v>
      </c>
      <c r="G91" s="53">
        <v>46281</v>
      </c>
      <c r="H91" s="53">
        <v>46282</v>
      </c>
      <c r="I91" s="52" t="s">
        <v>689</v>
      </c>
      <c r="J91" s="52" t="s">
        <v>616</v>
      </c>
      <c r="K91" s="54" t="s">
        <v>690</v>
      </c>
    </row>
    <row r="92" spans="1:11" ht="30" customHeight="1">
      <c r="A92" s="51">
        <v>88</v>
      </c>
      <c r="B92" s="52">
        <v>4</v>
      </c>
      <c r="C92" s="52" t="s">
        <v>655</v>
      </c>
      <c r="D92" s="52" t="s">
        <v>656</v>
      </c>
      <c r="E92" s="52" t="s">
        <v>691</v>
      </c>
      <c r="F92" s="52">
        <v>1</v>
      </c>
      <c r="G92" s="53">
        <v>46285</v>
      </c>
      <c r="H92" s="53">
        <v>46285</v>
      </c>
      <c r="I92" s="52" t="s">
        <v>477</v>
      </c>
      <c r="J92" s="52" t="s">
        <v>591</v>
      </c>
      <c r="K92" s="54" t="s">
        <v>244</v>
      </c>
    </row>
    <row r="93" spans="1:11" ht="30" customHeight="1">
      <c r="A93" s="63">
        <v>89</v>
      </c>
      <c r="B93" s="64">
        <v>2</v>
      </c>
      <c r="C93" s="64" t="s">
        <v>692</v>
      </c>
      <c r="D93" s="64"/>
      <c r="E93" s="64" t="s">
        <v>692</v>
      </c>
      <c r="F93" s="64"/>
      <c r="G93" s="65">
        <v>46282</v>
      </c>
      <c r="H93" s="65">
        <v>46286</v>
      </c>
      <c r="I93" s="64"/>
      <c r="J93" s="64"/>
      <c r="K93" s="66" t="s">
        <v>509</v>
      </c>
    </row>
    <row r="94" spans="1:11" ht="30" customHeight="1">
      <c r="A94" s="67">
        <v>90</v>
      </c>
      <c r="B94" s="68">
        <v>3</v>
      </c>
      <c r="C94" s="68" t="s">
        <v>692</v>
      </c>
      <c r="D94" s="68" t="s">
        <v>693</v>
      </c>
      <c r="E94" s="68" t="s">
        <v>694</v>
      </c>
      <c r="F94" s="68"/>
      <c r="G94" s="69">
        <v>46282</v>
      </c>
      <c r="H94" s="69">
        <v>46286</v>
      </c>
      <c r="I94" s="68"/>
      <c r="J94" s="68"/>
      <c r="K94" s="70" t="s">
        <v>512</v>
      </c>
    </row>
    <row r="95" spans="1:11" ht="30" customHeight="1">
      <c r="A95" s="51">
        <v>91</v>
      </c>
      <c r="B95" s="52">
        <v>4</v>
      </c>
      <c r="C95" s="52" t="s">
        <v>692</v>
      </c>
      <c r="D95" s="52" t="s">
        <v>693</v>
      </c>
      <c r="E95" s="52" t="s">
        <v>695</v>
      </c>
      <c r="F95" s="52">
        <v>1</v>
      </c>
      <c r="G95" s="53">
        <v>46282</v>
      </c>
      <c r="H95" s="53">
        <v>46282</v>
      </c>
      <c r="I95" s="52" t="s">
        <v>696</v>
      </c>
      <c r="J95" s="52" t="s">
        <v>616</v>
      </c>
      <c r="K95" s="54" t="s">
        <v>228</v>
      </c>
    </row>
    <row r="96" spans="1:11" ht="30" customHeight="1">
      <c r="A96" s="51">
        <v>92</v>
      </c>
      <c r="B96" s="52">
        <v>4</v>
      </c>
      <c r="C96" s="52" t="s">
        <v>692</v>
      </c>
      <c r="D96" s="52" t="s">
        <v>693</v>
      </c>
      <c r="E96" s="52" t="s">
        <v>697</v>
      </c>
      <c r="F96" s="52">
        <v>2</v>
      </c>
      <c r="G96" s="53">
        <v>46283</v>
      </c>
      <c r="H96" s="53">
        <v>46284</v>
      </c>
      <c r="I96" s="52" t="s">
        <v>696</v>
      </c>
      <c r="J96" s="52" t="s">
        <v>616</v>
      </c>
      <c r="K96" s="54" t="s">
        <v>235</v>
      </c>
    </row>
    <row r="97" spans="1:11" ht="30" customHeight="1">
      <c r="A97" s="51">
        <v>93</v>
      </c>
      <c r="B97" s="52">
        <v>4</v>
      </c>
      <c r="C97" s="52" t="s">
        <v>692</v>
      </c>
      <c r="D97" s="52" t="s">
        <v>693</v>
      </c>
      <c r="E97" s="52" t="s">
        <v>698</v>
      </c>
      <c r="F97" s="52">
        <v>2</v>
      </c>
      <c r="G97" s="53">
        <v>46283</v>
      </c>
      <c r="H97" s="53">
        <v>46284</v>
      </c>
      <c r="I97" s="52" t="s">
        <v>696</v>
      </c>
      <c r="J97" s="52" t="s">
        <v>591</v>
      </c>
      <c r="K97" s="54" t="s">
        <v>699</v>
      </c>
    </row>
    <row r="98" spans="1:11" ht="30" customHeight="1">
      <c r="A98" s="51">
        <v>94</v>
      </c>
      <c r="B98" s="52">
        <v>4</v>
      </c>
      <c r="C98" s="52" t="s">
        <v>692</v>
      </c>
      <c r="D98" s="52" t="s">
        <v>693</v>
      </c>
      <c r="E98" s="52" t="s">
        <v>700</v>
      </c>
      <c r="F98" s="52">
        <v>2</v>
      </c>
      <c r="G98" s="53">
        <v>46283</v>
      </c>
      <c r="H98" s="53">
        <v>46284</v>
      </c>
      <c r="I98" s="52" t="s">
        <v>696</v>
      </c>
      <c r="J98" s="52" t="s">
        <v>627</v>
      </c>
      <c r="K98" s="54" t="s">
        <v>252</v>
      </c>
    </row>
    <row r="99" spans="1:11" ht="30" customHeight="1">
      <c r="A99" s="51">
        <v>95</v>
      </c>
      <c r="B99" s="52">
        <v>4</v>
      </c>
      <c r="C99" s="52" t="s">
        <v>692</v>
      </c>
      <c r="D99" s="52" t="s">
        <v>693</v>
      </c>
      <c r="E99" s="52" t="s">
        <v>701</v>
      </c>
      <c r="F99" s="52">
        <v>2</v>
      </c>
      <c r="G99" s="53">
        <v>46284</v>
      </c>
      <c r="H99" s="53">
        <v>46285</v>
      </c>
      <c r="I99" s="52" t="s">
        <v>702</v>
      </c>
      <c r="J99" s="52" t="s">
        <v>627</v>
      </c>
      <c r="K99" s="54" t="s">
        <v>259</v>
      </c>
    </row>
    <row r="100" spans="1:11" ht="30" customHeight="1">
      <c r="A100" s="51">
        <v>96</v>
      </c>
      <c r="B100" s="52">
        <v>4</v>
      </c>
      <c r="C100" s="52" t="s">
        <v>692</v>
      </c>
      <c r="D100" s="52" t="s">
        <v>693</v>
      </c>
      <c r="E100" s="52" t="s">
        <v>703</v>
      </c>
      <c r="F100" s="52">
        <v>1</v>
      </c>
      <c r="G100" s="53">
        <v>46286</v>
      </c>
      <c r="H100" s="53">
        <v>46286</v>
      </c>
      <c r="I100" s="52" t="s">
        <v>704</v>
      </c>
      <c r="J100" s="52" t="s">
        <v>648</v>
      </c>
      <c r="K100" s="54" t="s">
        <v>649</v>
      </c>
    </row>
    <row r="101" spans="1:11" ht="30" customHeight="1">
      <c r="A101" s="63">
        <v>97</v>
      </c>
      <c r="B101" s="64">
        <v>2</v>
      </c>
      <c r="C101" s="64" t="s">
        <v>605</v>
      </c>
      <c r="D101" s="64"/>
      <c r="E101" s="64" t="s">
        <v>605</v>
      </c>
      <c r="F101" s="64"/>
      <c r="G101" s="65">
        <v>46286</v>
      </c>
      <c r="H101" s="65">
        <v>46286</v>
      </c>
      <c r="I101" s="64"/>
      <c r="J101" s="64"/>
      <c r="K101" s="66" t="s">
        <v>509</v>
      </c>
    </row>
    <row r="102" spans="1:11" ht="30" customHeight="1">
      <c r="A102" s="67">
        <v>98</v>
      </c>
      <c r="B102" s="68">
        <v>3</v>
      </c>
      <c r="C102" s="68" t="s">
        <v>605</v>
      </c>
      <c r="D102" s="68" t="s">
        <v>606</v>
      </c>
      <c r="E102" s="68" t="s">
        <v>607</v>
      </c>
      <c r="F102" s="68"/>
      <c r="G102" s="69">
        <v>46286</v>
      </c>
      <c r="H102" s="69">
        <v>46286</v>
      </c>
      <c r="I102" s="68"/>
      <c r="J102" s="68"/>
      <c r="K102" s="70" t="s">
        <v>512</v>
      </c>
    </row>
    <row r="103" spans="1:11" ht="30" customHeight="1">
      <c r="A103" s="51">
        <v>99</v>
      </c>
      <c r="B103" s="52">
        <v>4</v>
      </c>
      <c r="C103" s="52" t="s">
        <v>605</v>
      </c>
      <c r="D103" s="52" t="s">
        <v>606</v>
      </c>
      <c r="E103" s="52" t="s">
        <v>705</v>
      </c>
      <c r="F103" s="52">
        <v>1</v>
      </c>
      <c r="G103" s="53">
        <v>46286</v>
      </c>
      <c r="H103" s="53">
        <v>46286</v>
      </c>
      <c r="I103" s="52" t="s">
        <v>702</v>
      </c>
      <c r="J103" s="52" t="s">
        <v>627</v>
      </c>
      <c r="K103" s="54" t="s">
        <v>281</v>
      </c>
    </row>
    <row r="104" spans="1:11" ht="30" customHeight="1">
      <c r="A104" s="59">
        <v>100</v>
      </c>
      <c r="B104" s="60">
        <v>1</v>
      </c>
      <c r="C104" s="60"/>
      <c r="D104" s="60"/>
      <c r="E104" s="60" t="s">
        <v>289</v>
      </c>
      <c r="F104" s="60"/>
      <c r="G104" s="61">
        <v>46288</v>
      </c>
      <c r="H104" s="61">
        <v>46294</v>
      </c>
      <c r="I104" s="60"/>
      <c r="J104" s="60"/>
      <c r="K104" s="62" t="s">
        <v>507</v>
      </c>
    </row>
    <row r="105" spans="1:11" ht="30" customHeight="1">
      <c r="A105" s="63">
        <v>101</v>
      </c>
      <c r="B105" s="64">
        <v>2</v>
      </c>
      <c r="C105" s="64" t="s">
        <v>516</v>
      </c>
      <c r="D105" s="64"/>
      <c r="E105" s="64" t="s">
        <v>516</v>
      </c>
      <c r="F105" s="64"/>
      <c r="G105" s="65">
        <v>46288</v>
      </c>
      <c r="H105" s="65">
        <v>46294</v>
      </c>
      <c r="I105" s="64"/>
      <c r="J105" s="64"/>
      <c r="K105" s="66" t="s">
        <v>509</v>
      </c>
    </row>
    <row r="106" spans="1:11" ht="30" customHeight="1">
      <c r="A106" s="67">
        <v>102</v>
      </c>
      <c r="B106" s="68">
        <v>3</v>
      </c>
      <c r="C106" s="68" t="s">
        <v>516</v>
      </c>
      <c r="D106" s="68" t="s">
        <v>517</v>
      </c>
      <c r="E106" s="68" t="s">
        <v>518</v>
      </c>
      <c r="F106" s="68"/>
      <c r="G106" s="69">
        <v>46288</v>
      </c>
      <c r="H106" s="69">
        <v>46294</v>
      </c>
      <c r="I106" s="68"/>
      <c r="J106" s="68"/>
      <c r="K106" s="70" t="s">
        <v>512</v>
      </c>
    </row>
    <row r="107" spans="1:11" ht="30" customHeight="1">
      <c r="A107" s="51">
        <v>103</v>
      </c>
      <c r="B107" s="52">
        <v>4</v>
      </c>
      <c r="C107" s="52" t="s">
        <v>516</v>
      </c>
      <c r="D107" s="52" t="s">
        <v>517</v>
      </c>
      <c r="E107" s="52" t="s">
        <v>706</v>
      </c>
      <c r="F107" s="52">
        <v>1</v>
      </c>
      <c r="G107" s="53">
        <v>46288</v>
      </c>
      <c r="H107" s="53">
        <v>46288</v>
      </c>
      <c r="I107" s="52" t="s">
        <v>482</v>
      </c>
      <c r="J107" s="52" t="s">
        <v>554</v>
      </c>
      <c r="K107" s="54" t="s">
        <v>707</v>
      </c>
    </row>
    <row r="108" spans="1:11" ht="30" customHeight="1">
      <c r="A108" s="51">
        <v>104</v>
      </c>
      <c r="B108" s="52">
        <v>4</v>
      </c>
      <c r="C108" s="52" t="s">
        <v>516</v>
      </c>
      <c r="D108" s="52" t="s">
        <v>517</v>
      </c>
      <c r="E108" s="52" t="s">
        <v>708</v>
      </c>
      <c r="F108" s="52">
        <v>1</v>
      </c>
      <c r="G108" s="53">
        <v>46294</v>
      </c>
      <c r="H108" s="53">
        <v>46294</v>
      </c>
      <c r="I108" s="52" t="s">
        <v>709</v>
      </c>
      <c r="J108" s="52" t="s">
        <v>554</v>
      </c>
      <c r="K108" s="54" t="s">
        <v>555</v>
      </c>
    </row>
    <row r="109" spans="1:11" ht="30" customHeight="1">
      <c r="A109" s="63">
        <v>105</v>
      </c>
      <c r="B109" s="64">
        <v>2</v>
      </c>
      <c r="C109" s="64" t="s">
        <v>655</v>
      </c>
      <c r="D109" s="64"/>
      <c r="E109" s="64" t="s">
        <v>655</v>
      </c>
      <c r="F109" s="64"/>
      <c r="G109" s="65">
        <v>46288</v>
      </c>
      <c r="H109" s="65">
        <v>46289</v>
      </c>
      <c r="I109" s="64"/>
      <c r="J109" s="64"/>
      <c r="K109" s="66" t="s">
        <v>509</v>
      </c>
    </row>
    <row r="110" spans="1:11" ht="30" customHeight="1">
      <c r="A110" s="67">
        <v>106</v>
      </c>
      <c r="B110" s="68">
        <v>3</v>
      </c>
      <c r="C110" s="68" t="s">
        <v>655</v>
      </c>
      <c r="D110" s="68" t="s">
        <v>656</v>
      </c>
      <c r="E110" s="68" t="s">
        <v>657</v>
      </c>
      <c r="F110" s="68"/>
      <c r="G110" s="69">
        <v>46288</v>
      </c>
      <c r="H110" s="69">
        <v>46289</v>
      </c>
      <c r="I110" s="68"/>
      <c r="J110" s="68"/>
      <c r="K110" s="70" t="s">
        <v>512</v>
      </c>
    </row>
    <row r="111" spans="1:11" ht="30" customHeight="1">
      <c r="A111" s="51">
        <v>107</v>
      </c>
      <c r="B111" s="52">
        <v>4</v>
      </c>
      <c r="C111" s="52" t="s">
        <v>655</v>
      </c>
      <c r="D111" s="52" t="s">
        <v>656</v>
      </c>
      <c r="E111" s="52" t="s">
        <v>710</v>
      </c>
      <c r="F111" s="52">
        <v>2</v>
      </c>
      <c r="G111" s="53">
        <v>46288</v>
      </c>
      <c r="H111" s="53">
        <v>46289</v>
      </c>
      <c r="I111" s="52" t="s">
        <v>711</v>
      </c>
      <c r="J111" s="52" t="s">
        <v>616</v>
      </c>
      <c r="K111" s="54" t="s">
        <v>712</v>
      </c>
    </row>
    <row r="112" spans="1:11" ht="30" customHeight="1">
      <c r="A112" s="63">
        <v>108</v>
      </c>
      <c r="B112" s="64">
        <v>2</v>
      </c>
      <c r="C112" s="64" t="s">
        <v>713</v>
      </c>
      <c r="D112" s="64"/>
      <c r="E112" s="64" t="s">
        <v>713</v>
      </c>
      <c r="F112" s="64"/>
      <c r="G112" s="65">
        <v>46289</v>
      </c>
      <c r="H112" s="65">
        <v>46292</v>
      </c>
      <c r="I112" s="64"/>
      <c r="J112" s="64"/>
      <c r="K112" s="66" t="s">
        <v>509</v>
      </c>
    </row>
    <row r="113" spans="1:11" ht="30" customHeight="1">
      <c r="A113" s="67">
        <v>109</v>
      </c>
      <c r="B113" s="68">
        <v>3</v>
      </c>
      <c r="C113" s="68" t="s">
        <v>713</v>
      </c>
      <c r="D113" s="68" t="s">
        <v>714</v>
      </c>
      <c r="E113" s="68" t="s">
        <v>715</v>
      </c>
      <c r="F113" s="68"/>
      <c r="G113" s="69">
        <v>46289</v>
      </c>
      <c r="H113" s="69">
        <v>46292</v>
      </c>
      <c r="I113" s="68"/>
      <c r="J113" s="68"/>
      <c r="K113" s="70" t="s">
        <v>512</v>
      </c>
    </row>
    <row r="114" spans="1:11" ht="30" customHeight="1">
      <c r="A114" s="51">
        <v>110</v>
      </c>
      <c r="B114" s="52">
        <v>4</v>
      </c>
      <c r="C114" s="52" t="s">
        <v>713</v>
      </c>
      <c r="D114" s="52" t="s">
        <v>714</v>
      </c>
      <c r="E114" s="52" t="s">
        <v>716</v>
      </c>
      <c r="F114" s="52">
        <v>1</v>
      </c>
      <c r="G114" s="53">
        <v>46289</v>
      </c>
      <c r="H114" s="53">
        <v>46289</v>
      </c>
      <c r="I114" s="52" t="s">
        <v>711</v>
      </c>
      <c r="J114" s="52" t="s">
        <v>616</v>
      </c>
      <c r="K114" s="54" t="s">
        <v>717</v>
      </c>
    </row>
    <row r="115" spans="1:11" ht="30" customHeight="1">
      <c r="A115" s="51">
        <v>111</v>
      </c>
      <c r="B115" s="52">
        <v>4</v>
      </c>
      <c r="C115" s="52" t="s">
        <v>713</v>
      </c>
      <c r="D115" s="52" t="s">
        <v>714</v>
      </c>
      <c r="E115" s="52" t="s">
        <v>718</v>
      </c>
      <c r="F115" s="52">
        <v>2</v>
      </c>
      <c r="G115" s="53">
        <v>46290</v>
      </c>
      <c r="H115" s="53">
        <v>46291</v>
      </c>
      <c r="I115" s="52" t="s">
        <v>719</v>
      </c>
      <c r="J115" s="52" t="s">
        <v>591</v>
      </c>
      <c r="K115" s="54" t="s">
        <v>720</v>
      </c>
    </row>
    <row r="116" spans="1:11" ht="30" customHeight="1">
      <c r="A116" s="51">
        <v>112</v>
      </c>
      <c r="B116" s="52">
        <v>4</v>
      </c>
      <c r="C116" s="52" t="s">
        <v>713</v>
      </c>
      <c r="D116" s="52" t="s">
        <v>714</v>
      </c>
      <c r="E116" s="52" t="s">
        <v>721</v>
      </c>
      <c r="F116" s="52">
        <v>1</v>
      </c>
      <c r="G116" s="53">
        <v>46291</v>
      </c>
      <c r="H116" s="53">
        <v>46291</v>
      </c>
      <c r="I116" s="52" t="s">
        <v>722</v>
      </c>
      <c r="J116" s="52" t="s">
        <v>591</v>
      </c>
      <c r="K116" s="54" t="s">
        <v>298</v>
      </c>
    </row>
    <row r="117" spans="1:11" ht="30" customHeight="1">
      <c r="A117" s="51">
        <v>113</v>
      </c>
      <c r="B117" s="52">
        <v>4</v>
      </c>
      <c r="C117" s="52" t="s">
        <v>713</v>
      </c>
      <c r="D117" s="52" t="s">
        <v>714</v>
      </c>
      <c r="E117" s="52" t="s">
        <v>723</v>
      </c>
      <c r="F117" s="52">
        <v>1</v>
      </c>
      <c r="G117" s="53">
        <v>46290</v>
      </c>
      <c r="H117" s="53">
        <v>46290</v>
      </c>
      <c r="I117" s="52" t="s">
        <v>724</v>
      </c>
      <c r="J117" s="52" t="s">
        <v>627</v>
      </c>
      <c r="K117" s="54" t="s">
        <v>725</v>
      </c>
    </row>
    <row r="118" spans="1:11" ht="30" customHeight="1">
      <c r="A118" s="51">
        <v>114</v>
      </c>
      <c r="B118" s="52">
        <v>4</v>
      </c>
      <c r="C118" s="52" t="s">
        <v>713</v>
      </c>
      <c r="D118" s="52" t="s">
        <v>714</v>
      </c>
      <c r="E118" s="52" t="s">
        <v>726</v>
      </c>
      <c r="F118" s="52">
        <v>1</v>
      </c>
      <c r="G118" s="53">
        <v>46292</v>
      </c>
      <c r="H118" s="53">
        <v>46292</v>
      </c>
      <c r="I118" s="52" t="s">
        <v>727</v>
      </c>
      <c r="J118" s="52" t="s">
        <v>648</v>
      </c>
      <c r="K118" s="54" t="s">
        <v>649</v>
      </c>
    </row>
    <row r="119" spans="1:11" ht="30" customHeight="1">
      <c r="A119" s="63">
        <v>115</v>
      </c>
      <c r="B119" s="64">
        <v>2</v>
      </c>
      <c r="C119" s="64" t="s">
        <v>692</v>
      </c>
      <c r="D119" s="64"/>
      <c r="E119" s="64" t="s">
        <v>692</v>
      </c>
      <c r="F119" s="64"/>
      <c r="G119" s="65">
        <v>46290</v>
      </c>
      <c r="H119" s="65">
        <v>46291</v>
      </c>
      <c r="I119" s="64"/>
      <c r="J119" s="64"/>
      <c r="K119" s="66" t="s">
        <v>509</v>
      </c>
    </row>
    <row r="120" spans="1:11" ht="30" customHeight="1">
      <c r="A120" s="67">
        <v>116</v>
      </c>
      <c r="B120" s="68">
        <v>3</v>
      </c>
      <c r="C120" s="68" t="s">
        <v>692</v>
      </c>
      <c r="D120" s="68" t="s">
        <v>693</v>
      </c>
      <c r="E120" s="68" t="s">
        <v>694</v>
      </c>
      <c r="F120" s="68"/>
      <c r="G120" s="69">
        <v>46290</v>
      </c>
      <c r="H120" s="69">
        <v>46291</v>
      </c>
      <c r="I120" s="68"/>
      <c r="J120" s="68"/>
      <c r="K120" s="70" t="s">
        <v>512</v>
      </c>
    </row>
    <row r="121" spans="1:11" ht="30" customHeight="1">
      <c r="A121" s="51">
        <v>117</v>
      </c>
      <c r="B121" s="52">
        <v>4</v>
      </c>
      <c r="C121" s="52" t="s">
        <v>692</v>
      </c>
      <c r="D121" s="52" t="s">
        <v>693</v>
      </c>
      <c r="E121" s="52" t="s">
        <v>728</v>
      </c>
      <c r="F121" s="52">
        <v>2</v>
      </c>
      <c r="G121" s="53">
        <v>46290</v>
      </c>
      <c r="H121" s="53">
        <v>46291</v>
      </c>
      <c r="I121" s="52" t="s">
        <v>478</v>
      </c>
      <c r="J121" s="52" t="s">
        <v>627</v>
      </c>
      <c r="K121" s="54" t="s">
        <v>312</v>
      </c>
    </row>
    <row r="122" spans="1:11" ht="30" customHeight="1">
      <c r="A122" s="63">
        <v>118</v>
      </c>
      <c r="B122" s="64">
        <v>2</v>
      </c>
      <c r="C122" s="64" t="s">
        <v>576</v>
      </c>
      <c r="D122" s="64"/>
      <c r="E122" s="64" t="s">
        <v>576</v>
      </c>
      <c r="F122" s="64"/>
      <c r="G122" s="65">
        <v>46292</v>
      </c>
      <c r="H122" s="65">
        <v>46292</v>
      </c>
      <c r="I122" s="64"/>
      <c r="J122" s="64"/>
      <c r="K122" s="66" t="s">
        <v>509</v>
      </c>
    </row>
    <row r="123" spans="1:11" ht="30" customHeight="1">
      <c r="A123" s="67">
        <v>119</v>
      </c>
      <c r="B123" s="68">
        <v>3</v>
      </c>
      <c r="C123" s="68" t="s">
        <v>576</v>
      </c>
      <c r="D123" s="68" t="s">
        <v>577</v>
      </c>
      <c r="E123" s="68" t="s">
        <v>578</v>
      </c>
      <c r="F123" s="68"/>
      <c r="G123" s="69">
        <v>46292</v>
      </c>
      <c r="H123" s="69">
        <v>46292</v>
      </c>
      <c r="I123" s="68"/>
      <c r="J123" s="68"/>
      <c r="K123" s="70" t="s">
        <v>512</v>
      </c>
    </row>
    <row r="124" spans="1:11" ht="30" customHeight="1">
      <c r="A124" s="51">
        <v>120</v>
      </c>
      <c r="B124" s="52">
        <v>4</v>
      </c>
      <c r="C124" s="52" t="s">
        <v>576</v>
      </c>
      <c r="D124" s="52" t="s">
        <v>577</v>
      </c>
      <c r="E124" s="52" t="s">
        <v>729</v>
      </c>
      <c r="F124" s="52">
        <v>1</v>
      </c>
      <c r="G124" s="53">
        <v>46292</v>
      </c>
      <c r="H124" s="53">
        <v>46292</v>
      </c>
      <c r="I124" s="52" t="s">
        <v>730</v>
      </c>
      <c r="J124" s="52" t="s">
        <v>572</v>
      </c>
      <c r="K124" s="54" t="s">
        <v>731</v>
      </c>
    </row>
    <row r="125" spans="1:11" ht="30" customHeight="1">
      <c r="A125" s="63">
        <v>121</v>
      </c>
      <c r="B125" s="64">
        <v>2</v>
      </c>
      <c r="C125" s="64" t="s">
        <v>508</v>
      </c>
      <c r="D125" s="64"/>
      <c r="E125" s="64" t="s">
        <v>508</v>
      </c>
      <c r="F125" s="64"/>
      <c r="G125" s="65">
        <v>46293</v>
      </c>
      <c r="H125" s="65">
        <v>46293</v>
      </c>
      <c r="I125" s="64"/>
      <c r="J125" s="64"/>
      <c r="K125" s="66" t="s">
        <v>509</v>
      </c>
    </row>
    <row r="126" spans="1:11" ht="30" customHeight="1">
      <c r="A126" s="67">
        <v>122</v>
      </c>
      <c r="B126" s="68">
        <v>3</v>
      </c>
      <c r="C126" s="68" t="s">
        <v>508</v>
      </c>
      <c r="D126" s="68" t="s">
        <v>510</v>
      </c>
      <c r="E126" s="68" t="s">
        <v>511</v>
      </c>
      <c r="F126" s="68"/>
      <c r="G126" s="69">
        <v>46293</v>
      </c>
      <c r="H126" s="69">
        <v>46293</v>
      </c>
      <c r="I126" s="68"/>
      <c r="J126" s="68"/>
      <c r="K126" s="70" t="s">
        <v>512</v>
      </c>
    </row>
    <row r="127" spans="1:11" ht="30" customHeight="1">
      <c r="A127" s="51">
        <v>123</v>
      </c>
      <c r="B127" s="52">
        <v>4</v>
      </c>
      <c r="C127" s="52" t="s">
        <v>508</v>
      </c>
      <c r="D127" s="52" t="s">
        <v>510</v>
      </c>
      <c r="E127" s="52" t="s">
        <v>732</v>
      </c>
      <c r="F127" s="52">
        <v>1</v>
      </c>
      <c r="G127" s="53">
        <v>46293</v>
      </c>
      <c r="H127" s="53">
        <v>46293</v>
      </c>
      <c r="I127" s="52" t="s">
        <v>733</v>
      </c>
      <c r="J127" s="52" t="s">
        <v>514</v>
      </c>
      <c r="K127" s="54" t="s">
        <v>734</v>
      </c>
    </row>
    <row r="128" spans="1:11" ht="30" customHeight="1">
      <c r="A128" s="59">
        <v>124</v>
      </c>
      <c r="B128" s="60">
        <v>1</v>
      </c>
      <c r="C128" s="60"/>
      <c r="D128" s="60"/>
      <c r="E128" s="60" t="s">
        <v>354</v>
      </c>
      <c r="F128" s="60"/>
      <c r="G128" s="61">
        <v>46295</v>
      </c>
      <c r="H128" s="61">
        <v>46301</v>
      </c>
      <c r="I128" s="60"/>
      <c r="J128" s="60"/>
      <c r="K128" s="62" t="s">
        <v>507</v>
      </c>
    </row>
    <row r="129" spans="1:11" ht="30" customHeight="1">
      <c r="A129" s="63">
        <v>125</v>
      </c>
      <c r="B129" s="64">
        <v>2</v>
      </c>
      <c r="C129" s="64" t="s">
        <v>516</v>
      </c>
      <c r="D129" s="64"/>
      <c r="E129" s="64" t="s">
        <v>516</v>
      </c>
      <c r="F129" s="64"/>
      <c r="G129" s="65">
        <v>46295</v>
      </c>
      <c r="H129" s="65">
        <v>46301</v>
      </c>
      <c r="I129" s="64"/>
      <c r="J129" s="64"/>
      <c r="K129" s="66" t="s">
        <v>509</v>
      </c>
    </row>
    <row r="130" spans="1:11" ht="30" customHeight="1">
      <c r="A130" s="67">
        <v>126</v>
      </c>
      <c r="B130" s="68">
        <v>3</v>
      </c>
      <c r="C130" s="68" t="s">
        <v>516</v>
      </c>
      <c r="D130" s="68" t="s">
        <v>517</v>
      </c>
      <c r="E130" s="68" t="s">
        <v>518</v>
      </c>
      <c r="F130" s="68"/>
      <c r="G130" s="69">
        <v>46295</v>
      </c>
      <c r="H130" s="69">
        <v>46301</v>
      </c>
      <c r="I130" s="68"/>
      <c r="J130" s="68"/>
      <c r="K130" s="70" t="s">
        <v>512</v>
      </c>
    </row>
    <row r="131" spans="1:11" ht="30" customHeight="1">
      <c r="A131" s="51">
        <v>127</v>
      </c>
      <c r="B131" s="52">
        <v>4</v>
      </c>
      <c r="C131" s="52" t="s">
        <v>516</v>
      </c>
      <c r="D131" s="52" t="s">
        <v>517</v>
      </c>
      <c r="E131" s="52" t="s">
        <v>735</v>
      </c>
      <c r="F131" s="52">
        <v>1</v>
      </c>
      <c r="G131" s="53">
        <v>46295</v>
      </c>
      <c r="H131" s="53">
        <v>46295</v>
      </c>
      <c r="I131" s="52" t="s">
        <v>736</v>
      </c>
      <c r="J131" s="52" t="s">
        <v>554</v>
      </c>
      <c r="K131" s="54" t="s">
        <v>737</v>
      </c>
    </row>
    <row r="132" spans="1:11" ht="30" customHeight="1">
      <c r="A132" s="51">
        <v>128</v>
      </c>
      <c r="B132" s="52">
        <v>4</v>
      </c>
      <c r="C132" s="52" t="s">
        <v>516</v>
      </c>
      <c r="D132" s="52" t="s">
        <v>517</v>
      </c>
      <c r="E132" s="52" t="s">
        <v>738</v>
      </c>
      <c r="F132" s="52">
        <v>1</v>
      </c>
      <c r="G132" s="53">
        <v>46298</v>
      </c>
      <c r="H132" s="53">
        <v>46298</v>
      </c>
      <c r="I132" s="52" t="s">
        <v>739</v>
      </c>
      <c r="J132" s="52" t="s">
        <v>648</v>
      </c>
      <c r="K132" s="54" t="s">
        <v>740</v>
      </c>
    </row>
    <row r="133" spans="1:11" ht="30" customHeight="1">
      <c r="A133" s="51">
        <v>129</v>
      </c>
      <c r="B133" s="52">
        <v>4</v>
      </c>
      <c r="C133" s="52" t="s">
        <v>516</v>
      </c>
      <c r="D133" s="52" t="s">
        <v>517</v>
      </c>
      <c r="E133" s="52" t="s">
        <v>741</v>
      </c>
      <c r="F133" s="52">
        <v>1</v>
      </c>
      <c r="G133" s="53">
        <v>46301</v>
      </c>
      <c r="H133" s="53">
        <v>46301</v>
      </c>
      <c r="I133" s="52" t="s">
        <v>742</v>
      </c>
      <c r="J133" s="52" t="s">
        <v>554</v>
      </c>
      <c r="K133" s="54" t="s">
        <v>555</v>
      </c>
    </row>
    <row r="134" spans="1:11" ht="30" customHeight="1">
      <c r="A134" s="63">
        <v>130</v>
      </c>
      <c r="B134" s="64">
        <v>2</v>
      </c>
      <c r="C134" s="64" t="s">
        <v>743</v>
      </c>
      <c r="D134" s="64"/>
      <c r="E134" s="64" t="s">
        <v>743</v>
      </c>
      <c r="F134" s="64"/>
      <c r="G134" s="65">
        <v>46295</v>
      </c>
      <c r="H134" s="65">
        <v>46300</v>
      </c>
      <c r="I134" s="64"/>
      <c r="J134" s="64"/>
      <c r="K134" s="66" t="s">
        <v>509</v>
      </c>
    </row>
    <row r="135" spans="1:11" ht="30" customHeight="1">
      <c r="A135" s="67">
        <v>131</v>
      </c>
      <c r="B135" s="68">
        <v>3</v>
      </c>
      <c r="C135" s="68" t="s">
        <v>743</v>
      </c>
      <c r="D135" s="68" t="s">
        <v>744</v>
      </c>
      <c r="E135" s="68" t="s">
        <v>745</v>
      </c>
      <c r="F135" s="68"/>
      <c r="G135" s="69">
        <v>46295</v>
      </c>
      <c r="H135" s="69">
        <v>46300</v>
      </c>
      <c r="I135" s="68"/>
      <c r="J135" s="68"/>
      <c r="K135" s="70" t="s">
        <v>512</v>
      </c>
    </row>
    <row r="136" spans="1:11" ht="30" customHeight="1">
      <c r="A136" s="51">
        <v>132</v>
      </c>
      <c r="B136" s="52">
        <v>4</v>
      </c>
      <c r="C136" s="52" t="s">
        <v>743</v>
      </c>
      <c r="D136" s="52" t="s">
        <v>744</v>
      </c>
      <c r="E136" s="52" t="s">
        <v>746</v>
      </c>
      <c r="F136" s="52">
        <v>1</v>
      </c>
      <c r="G136" s="53">
        <v>46295</v>
      </c>
      <c r="H136" s="53">
        <v>46295</v>
      </c>
      <c r="I136" s="52" t="s">
        <v>747</v>
      </c>
      <c r="J136" s="52" t="s">
        <v>648</v>
      </c>
      <c r="K136" s="54" t="s">
        <v>748</v>
      </c>
    </row>
    <row r="137" spans="1:11" ht="30" customHeight="1">
      <c r="A137" s="51">
        <v>133</v>
      </c>
      <c r="B137" s="52">
        <v>4</v>
      </c>
      <c r="C137" s="52" t="s">
        <v>743</v>
      </c>
      <c r="D137" s="52" t="s">
        <v>744</v>
      </c>
      <c r="E137" s="52" t="s">
        <v>749</v>
      </c>
      <c r="F137" s="52">
        <v>1</v>
      </c>
      <c r="G137" s="53">
        <v>46296</v>
      </c>
      <c r="H137" s="53">
        <v>46296</v>
      </c>
      <c r="I137" s="52" t="s">
        <v>750</v>
      </c>
      <c r="J137" s="52" t="s">
        <v>648</v>
      </c>
      <c r="K137" s="54" t="s">
        <v>751</v>
      </c>
    </row>
    <row r="138" spans="1:11" ht="30" customHeight="1">
      <c r="A138" s="51">
        <v>134</v>
      </c>
      <c r="B138" s="52">
        <v>4</v>
      </c>
      <c r="C138" s="52" t="s">
        <v>743</v>
      </c>
      <c r="D138" s="52" t="s">
        <v>744</v>
      </c>
      <c r="E138" s="52" t="s">
        <v>752</v>
      </c>
      <c r="F138" s="52">
        <v>1</v>
      </c>
      <c r="G138" s="53">
        <v>46296</v>
      </c>
      <c r="H138" s="53">
        <v>46296</v>
      </c>
      <c r="I138" s="52" t="s">
        <v>750</v>
      </c>
      <c r="J138" s="52" t="s">
        <v>648</v>
      </c>
      <c r="K138" s="54" t="s">
        <v>753</v>
      </c>
    </row>
    <row r="139" spans="1:11" ht="30" customHeight="1">
      <c r="A139" s="51">
        <v>135</v>
      </c>
      <c r="B139" s="52">
        <v>4</v>
      </c>
      <c r="C139" s="52" t="s">
        <v>743</v>
      </c>
      <c r="D139" s="52" t="s">
        <v>744</v>
      </c>
      <c r="E139" s="52" t="s">
        <v>754</v>
      </c>
      <c r="F139" s="52">
        <v>1</v>
      </c>
      <c r="G139" s="53">
        <v>46297</v>
      </c>
      <c r="H139" s="53">
        <v>46297</v>
      </c>
      <c r="I139" s="52" t="s">
        <v>755</v>
      </c>
      <c r="J139" s="52" t="s">
        <v>648</v>
      </c>
      <c r="K139" s="54" t="s">
        <v>678</v>
      </c>
    </row>
    <row r="140" spans="1:11" ht="30" customHeight="1">
      <c r="A140" s="51">
        <v>136</v>
      </c>
      <c r="B140" s="52">
        <v>4</v>
      </c>
      <c r="C140" s="52" t="s">
        <v>743</v>
      </c>
      <c r="D140" s="52" t="s">
        <v>744</v>
      </c>
      <c r="E140" s="52" t="s">
        <v>756</v>
      </c>
      <c r="F140" s="52">
        <v>1</v>
      </c>
      <c r="G140" s="53">
        <v>46298</v>
      </c>
      <c r="H140" s="53">
        <v>46298</v>
      </c>
      <c r="I140" s="52" t="s">
        <v>757</v>
      </c>
      <c r="J140" s="52" t="s">
        <v>758</v>
      </c>
      <c r="K140" s="54" t="s">
        <v>759</v>
      </c>
    </row>
    <row r="141" spans="1:11" ht="30" customHeight="1">
      <c r="A141" s="51">
        <v>137</v>
      </c>
      <c r="B141" s="52">
        <v>4</v>
      </c>
      <c r="C141" s="52" t="s">
        <v>743</v>
      </c>
      <c r="D141" s="52" t="s">
        <v>744</v>
      </c>
      <c r="E141" s="52" t="s">
        <v>760</v>
      </c>
      <c r="F141" s="52">
        <v>2</v>
      </c>
      <c r="G141" s="53">
        <v>46299</v>
      </c>
      <c r="H141" s="53">
        <v>46300</v>
      </c>
      <c r="I141" s="52" t="s">
        <v>761</v>
      </c>
      <c r="J141" s="52" t="s">
        <v>762</v>
      </c>
      <c r="K141" s="54" t="s">
        <v>763</v>
      </c>
    </row>
    <row r="142" spans="1:11" ht="30" customHeight="1">
      <c r="A142" s="51">
        <v>138</v>
      </c>
      <c r="B142" s="52">
        <v>4</v>
      </c>
      <c r="C142" s="52" t="s">
        <v>743</v>
      </c>
      <c r="D142" s="52" t="s">
        <v>744</v>
      </c>
      <c r="E142" s="52" t="s">
        <v>764</v>
      </c>
      <c r="F142" s="52">
        <v>1</v>
      </c>
      <c r="G142" s="53">
        <v>46300</v>
      </c>
      <c r="H142" s="53">
        <v>46300</v>
      </c>
      <c r="I142" s="52" t="s">
        <v>765</v>
      </c>
      <c r="J142" s="52" t="s">
        <v>648</v>
      </c>
      <c r="K142" s="54" t="s">
        <v>766</v>
      </c>
    </row>
    <row r="143" spans="1:11" ht="30" customHeight="1">
      <c r="A143" s="63">
        <v>139</v>
      </c>
      <c r="B143" s="64">
        <v>2</v>
      </c>
      <c r="C143" s="64" t="s">
        <v>605</v>
      </c>
      <c r="D143" s="64"/>
      <c r="E143" s="64" t="s">
        <v>605</v>
      </c>
      <c r="F143" s="64"/>
      <c r="G143" s="65">
        <v>46297</v>
      </c>
      <c r="H143" s="65">
        <v>46297</v>
      </c>
      <c r="I143" s="64"/>
      <c r="J143" s="64"/>
      <c r="K143" s="66" t="s">
        <v>509</v>
      </c>
    </row>
    <row r="144" spans="1:11" ht="30" customHeight="1">
      <c r="A144" s="67">
        <v>140</v>
      </c>
      <c r="B144" s="68">
        <v>3</v>
      </c>
      <c r="C144" s="68" t="s">
        <v>605</v>
      </c>
      <c r="D144" s="68" t="s">
        <v>606</v>
      </c>
      <c r="E144" s="68" t="s">
        <v>607</v>
      </c>
      <c r="F144" s="68"/>
      <c r="G144" s="69">
        <v>46297</v>
      </c>
      <c r="H144" s="69">
        <v>46297</v>
      </c>
      <c r="I144" s="68"/>
      <c r="J144" s="68"/>
      <c r="K144" s="70" t="s">
        <v>512</v>
      </c>
    </row>
    <row r="145" spans="1:11" ht="30" customHeight="1">
      <c r="A145" s="51">
        <v>141</v>
      </c>
      <c r="B145" s="52">
        <v>4</v>
      </c>
      <c r="C145" s="52" t="s">
        <v>605</v>
      </c>
      <c r="D145" s="52" t="s">
        <v>606</v>
      </c>
      <c r="E145" s="52" t="s">
        <v>767</v>
      </c>
      <c r="F145" s="52">
        <v>1</v>
      </c>
      <c r="G145" s="53">
        <v>46297</v>
      </c>
      <c r="H145" s="53">
        <v>46297</v>
      </c>
      <c r="I145" s="52" t="s">
        <v>755</v>
      </c>
      <c r="J145" s="52" t="s">
        <v>648</v>
      </c>
      <c r="K145" s="54" t="s">
        <v>768</v>
      </c>
    </row>
    <row r="146" spans="1:11" ht="30" customHeight="1">
      <c r="A146" s="63">
        <v>142</v>
      </c>
      <c r="B146" s="64">
        <v>2</v>
      </c>
      <c r="C146" s="64" t="s">
        <v>387</v>
      </c>
      <c r="D146" s="64"/>
      <c r="E146" s="64" t="s">
        <v>387</v>
      </c>
      <c r="F146" s="64"/>
      <c r="G146" s="65">
        <v>46299</v>
      </c>
      <c r="H146" s="65">
        <v>46299</v>
      </c>
      <c r="I146" s="64"/>
      <c r="J146" s="64"/>
      <c r="K146" s="66" t="s">
        <v>509</v>
      </c>
    </row>
    <row r="147" spans="1:11" ht="30" customHeight="1">
      <c r="A147" s="67">
        <v>143</v>
      </c>
      <c r="B147" s="68">
        <v>3</v>
      </c>
      <c r="C147" s="68" t="s">
        <v>387</v>
      </c>
      <c r="D147" s="68" t="s">
        <v>679</v>
      </c>
      <c r="E147" s="68" t="s">
        <v>680</v>
      </c>
      <c r="F147" s="68"/>
      <c r="G147" s="69">
        <v>46299</v>
      </c>
      <c r="H147" s="69">
        <v>46299</v>
      </c>
      <c r="I147" s="68"/>
      <c r="J147" s="68"/>
      <c r="K147" s="70" t="s">
        <v>512</v>
      </c>
    </row>
    <row r="148" spans="1:11" ht="30" customHeight="1">
      <c r="A148" s="51">
        <v>144</v>
      </c>
      <c r="B148" s="52">
        <v>4</v>
      </c>
      <c r="C148" s="52" t="s">
        <v>387</v>
      </c>
      <c r="D148" s="52" t="s">
        <v>679</v>
      </c>
      <c r="E148" s="52" t="s">
        <v>769</v>
      </c>
      <c r="F148" s="52">
        <v>1</v>
      </c>
      <c r="G148" s="53">
        <v>46299</v>
      </c>
      <c r="H148" s="53">
        <v>46299</v>
      </c>
      <c r="I148" s="52" t="s">
        <v>770</v>
      </c>
      <c r="J148" s="52" t="s">
        <v>527</v>
      </c>
      <c r="K148" s="54" t="s">
        <v>771</v>
      </c>
    </row>
    <row r="149" spans="1:11" ht="30" customHeight="1">
      <c r="A149" s="51">
        <v>145</v>
      </c>
      <c r="B149" s="52">
        <v>4</v>
      </c>
      <c r="C149" s="52" t="s">
        <v>387</v>
      </c>
      <c r="D149" s="52" t="s">
        <v>679</v>
      </c>
      <c r="E149" s="52" t="s">
        <v>772</v>
      </c>
      <c r="F149" s="52">
        <v>1</v>
      </c>
      <c r="G149" s="53">
        <v>46299</v>
      </c>
      <c r="H149" s="53">
        <v>46299</v>
      </c>
      <c r="I149" s="52" t="s">
        <v>765</v>
      </c>
      <c r="J149" s="52" t="s">
        <v>619</v>
      </c>
      <c r="K149" s="54" t="s">
        <v>773</v>
      </c>
    </row>
    <row r="150" spans="1:11" ht="30" customHeight="1">
      <c r="A150" s="59">
        <v>146</v>
      </c>
      <c r="B150" s="60">
        <v>1</v>
      </c>
      <c r="C150" s="60"/>
      <c r="D150" s="60"/>
      <c r="E150" s="60" t="s">
        <v>341</v>
      </c>
      <c r="F150" s="60"/>
      <c r="G150" s="61">
        <v>46302</v>
      </c>
      <c r="H150" s="61">
        <v>46308</v>
      </c>
      <c r="I150" s="60"/>
      <c r="J150" s="60"/>
      <c r="K150" s="62" t="s">
        <v>507</v>
      </c>
    </row>
    <row r="151" spans="1:11" ht="30" customHeight="1">
      <c r="A151" s="63">
        <v>147</v>
      </c>
      <c r="B151" s="64">
        <v>2</v>
      </c>
      <c r="C151" s="64" t="s">
        <v>516</v>
      </c>
      <c r="D151" s="64"/>
      <c r="E151" s="64" t="s">
        <v>516</v>
      </c>
      <c r="F151" s="64"/>
      <c r="G151" s="65">
        <v>46302</v>
      </c>
      <c r="H151" s="65">
        <v>46308</v>
      </c>
      <c r="I151" s="64"/>
      <c r="J151" s="64"/>
      <c r="K151" s="66" t="s">
        <v>509</v>
      </c>
    </row>
    <row r="152" spans="1:11" ht="30" customHeight="1">
      <c r="A152" s="67">
        <v>148</v>
      </c>
      <c r="B152" s="68">
        <v>3</v>
      </c>
      <c r="C152" s="68" t="s">
        <v>516</v>
      </c>
      <c r="D152" s="68" t="s">
        <v>517</v>
      </c>
      <c r="E152" s="68" t="s">
        <v>518</v>
      </c>
      <c r="F152" s="68"/>
      <c r="G152" s="69">
        <v>46302</v>
      </c>
      <c r="H152" s="69">
        <v>46308</v>
      </c>
      <c r="I152" s="68"/>
      <c r="J152" s="68"/>
      <c r="K152" s="70" t="s">
        <v>512</v>
      </c>
    </row>
    <row r="153" spans="1:11" ht="30" customHeight="1">
      <c r="A153" s="51">
        <v>149</v>
      </c>
      <c r="B153" s="52">
        <v>4</v>
      </c>
      <c r="C153" s="52" t="s">
        <v>516</v>
      </c>
      <c r="D153" s="52" t="s">
        <v>517</v>
      </c>
      <c r="E153" s="52" t="s">
        <v>774</v>
      </c>
      <c r="F153" s="52">
        <v>1</v>
      </c>
      <c r="G153" s="53">
        <v>46302</v>
      </c>
      <c r="H153" s="53">
        <v>46302</v>
      </c>
      <c r="I153" s="52" t="s">
        <v>775</v>
      </c>
      <c r="J153" s="52" t="s">
        <v>554</v>
      </c>
      <c r="K153" s="54" t="s">
        <v>776</v>
      </c>
    </row>
    <row r="154" spans="1:11" ht="30" customHeight="1">
      <c r="A154" s="51">
        <v>150</v>
      </c>
      <c r="B154" s="52">
        <v>4</v>
      </c>
      <c r="C154" s="52" t="s">
        <v>516</v>
      </c>
      <c r="D154" s="52" t="s">
        <v>517</v>
      </c>
      <c r="E154" s="52" t="s">
        <v>777</v>
      </c>
      <c r="F154" s="52">
        <v>1</v>
      </c>
      <c r="G154" s="53">
        <v>46308</v>
      </c>
      <c r="H154" s="53">
        <v>46308</v>
      </c>
      <c r="I154" s="52" t="s">
        <v>778</v>
      </c>
      <c r="J154" s="52" t="s">
        <v>554</v>
      </c>
      <c r="K154" s="54" t="s">
        <v>555</v>
      </c>
    </row>
    <row r="155" spans="1:11" ht="30" customHeight="1">
      <c r="A155" s="63">
        <v>151</v>
      </c>
      <c r="B155" s="64">
        <v>2</v>
      </c>
      <c r="C155" s="64" t="s">
        <v>779</v>
      </c>
      <c r="D155" s="64"/>
      <c r="E155" s="64" t="s">
        <v>779</v>
      </c>
      <c r="F155" s="64"/>
      <c r="G155" s="65">
        <v>46302</v>
      </c>
      <c r="H155" s="65">
        <v>46303</v>
      </c>
      <c r="I155" s="64"/>
      <c r="J155" s="64"/>
      <c r="K155" s="66" t="s">
        <v>509</v>
      </c>
    </row>
    <row r="156" spans="1:11" ht="30" customHeight="1">
      <c r="A156" s="67">
        <v>152</v>
      </c>
      <c r="B156" s="68">
        <v>3</v>
      </c>
      <c r="C156" s="68" t="s">
        <v>779</v>
      </c>
      <c r="D156" s="68" t="s">
        <v>780</v>
      </c>
      <c r="E156" s="68" t="s">
        <v>781</v>
      </c>
      <c r="F156" s="68"/>
      <c r="G156" s="69">
        <v>46302</v>
      </c>
      <c r="H156" s="69">
        <v>46303</v>
      </c>
      <c r="I156" s="68"/>
      <c r="J156" s="68"/>
      <c r="K156" s="70" t="s">
        <v>512</v>
      </c>
    </row>
    <row r="157" spans="1:11" ht="30" customHeight="1">
      <c r="A157" s="51">
        <v>153</v>
      </c>
      <c r="B157" s="52">
        <v>4</v>
      </c>
      <c r="C157" s="52" t="s">
        <v>779</v>
      </c>
      <c r="D157" s="52" t="s">
        <v>780</v>
      </c>
      <c r="E157" s="52" t="s">
        <v>782</v>
      </c>
      <c r="F157" s="52">
        <v>1</v>
      </c>
      <c r="G157" s="53">
        <v>46302</v>
      </c>
      <c r="H157" s="53">
        <v>46302</v>
      </c>
      <c r="I157" s="52" t="s">
        <v>783</v>
      </c>
      <c r="J157" s="52" t="s">
        <v>619</v>
      </c>
      <c r="K157" s="54" t="s">
        <v>784</v>
      </c>
    </row>
    <row r="158" spans="1:11" ht="30" customHeight="1">
      <c r="A158" s="51">
        <v>154</v>
      </c>
      <c r="B158" s="52">
        <v>4</v>
      </c>
      <c r="C158" s="52" t="s">
        <v>779</v>
      </c>
      <c r="D158" s="52" t="s">
        <v>780</v>
      </c>
      <c r="E158" s="52" t="s">
        <v>785</v>
      </c>
      <c r="F158" s="52">
        <v>1</v>
      </c>
      <c r="G158" s="53">
        <v>46303</v>
      </c>
      <c r="H158" s="53">
        <v>46303</v>
      </c>
      <c r="I158" s="52" t="s">
        <v>786</v>
      </c>
      <c r="J158" s="52" t="s">
        <v>616</v>
      </c>
      <c r="K158" s="54" t="s">
        <v>787</v>
      </c>
    </row>
    <row r="159" spans="1:11" ht="30" customHeight="1">
      <c r="A159" s="51">
        <v>155</v>
      </c>
      <c r="B159" s="52">
        <v>4</v>
      </c>
      <c r="C159" s="52" t="s">
        <v>779</v>
      </c>
      <c r="D159" s="52" t="s">
        <v>780</v>
      </c>
      <c r="E159" s="52" t="s">
        <v>788</v>
      </c>
      <c r="F159" s="52">
        <v>1</v>
      </c>
      <c r="G159" s="53">
        <v>46303</v>
      </c>
      <c r="H159" s="53">
        <v>46303</v>
      </c>
      <c r="I159" s="52" t="s">
        <v>789</v>
      </c>
      <c r="J159" s="52" t="s">
        <v>591</v>
      </c>
      <c r="K159" s="54" t="s">
        <v>790</v>
      </c>
    </row>
    <row r="160" spans="1:11" ht="30" customHeight="1">
      <c r="A160" s="63">
        <v>156</v>
      </c>
      <c r="B160" s="64">
        <v>2</v>
      </c>
      <c r="C160" s="64" t="s">
        <v>508</v>
      </c>
      <c r="D160" s="64"/>
      <c r="E160" s="64" t="s">
        <v>508</v>
      </c>
      <c r="F160" s="64"/>
      <c r="G160" s="65">
        <v>46303</v>
      </c>
      <c r="H160" s="65">
        <v>46303</v>
      </c>
      <c r="I160" s="64"/>
      <c r="J160" s="64"/>
      <c r="K160" s="66" t="s">
        <v>509</v>
      </c>
    </row>
    <row r="161" spans="1:11" ht="30" customHeight="1">
      <c r="A161" s="67">
        <v>157</v>
      </c>
      <c r="B161" s="68">
        <v>3</v>
      </c>
      <c r="C161" s="68" t="s">
        <v>508</v>
      </c>
      <c r="D161" s="68" t="s">
        <v>510</v>
      </c>
      <c r="E161" s="68" t="s">
        <v>511</v>
      </c>
      <c r="F161" s="68"/>
      <c r="G161" s="69">
        <v>46303</v>
      </c>
      <c r="H161" s="69">
        <v>46303</v>
      </c>
      <c r="I161" s="68"/>
      <c r="J161" s="68"/>
      <c r="K161" s="70" t="s">
        <v>512</v>
      </c>
    </row>
    <row r="162" spans="1:11" ht="30" customHeight="1">
      <c r="A162" s="51">
        <v>158</v>
      </c>
      <c r="B162" s="52">
        <v>4</v>
      </c>
      <c r="C162" s="52" t="s">
        <v>508</v>
      </c>
      <c r="D162" s="52" t="s">
        <v>510</v>
      </c>
      <c r="E162" s="52" t="s">
        <v>791</v>
      </c>
      <c r="F162" s="52">
        <v>1</v>
      </c>
      <c r="G162" s="53">
        <v>46303</v>
      </c>
      <c r="H162" s="53">
        <v>46303</v>
      </c>
      <c r="I162" s="52" t="s">
        <v>789</v>
      </c>
      <c r="J162" s="52" t="s">
        <v>627</v>
      </c>
      <c r="K162" s="54" t="s">
        <v>342</v>
      </c>
    </row>
    <row r="163" spans="1:11" ht="30" customHeight="1">
      <c r="A163" s="63">
        <v>159</v>
      </c>
      <c r="B163" s="64">
        <v>2</v>
      </c>
      <c r="C163" s="64" t="s">
        <v>655</v>
      </c>
      <c r="D163" s="64"/>
      <c r="E163" s="64" t="s">
        <v>655</v>
      </c>
      <c r="F163" s="64"/>
      <c r="G163" s="65">
        <v>46304</v>
      </c>
      <c r="H163" s="65">
        <v>46306</v>
      </c>
      <c r="I163" s="64"/>
      <c r="J163" s="64"/>
      <c r="K163" s="66" t="s">
        <v>509</v>
      </c>
    </row>
    <row r="164" spans="1:11" ht="30" customHeight="1">
      <c r="A164" s="67">
        <v>160</v>
      </c>
      <c r="B164" s="68">
        <v>3</v>
      </c>
      <c r="C164" s="68" t="s">
        <v>655</v>
      </c>
      <c r="D164" s="68" t="s">
        <v>656</v>
      </c>
      <c r="E164" s="68" t="s">
        <v>657</v>
      </c>
      <c r="F164" s="68"/>
      <c r="G164" s="69">
        <v>46304</v>
      </c>
      <c r="H164" s="69">
        <v>46306</v>
      </c>
      <c r="I164" s="68"/>
      <c r="J164" s="68"/>
      <c r="K164" s="70" t="s">
        <v>512</v>
      </c>
    </row>
    <row r="165" spans="1:11" ht="30" customHeight="1">
      <c r="A165" s="51">
        <v>161</v>
      </c>
      <c r="B165" s="52">
        <v>4</v>
      </c>
      <c r="C165" s="52" t="s">
        <v>655</v>
      </c>
      <c r="D165" s="52" t="s">
        <v>656</v>
      </c>
      <c r="E165" s="52" t="s">
        <v>792</v>
      </c>
      <c r="F165" s="52">
        <v>1</v>
      </c>
      <c r="G165" s="53">
        <v>46304</v>
      </c>
      <c r="H165" s="53">
        <v>46304</v>
      </c>
      <c r="I165" s="52" t="s">
        <v>789</v>
      </c>
      <c r="J165" s="52" t="s">
        <v>616</v>
      </c>
      <c r="K165" s="54" t="s">
        <v>793</v>
      </c>
    </row>
    <row r="166" spans="1:11" ht="30" customHeight="1">
      <c r="A166" s="51">
        <v>162</v>
      </c>
      <c r="B166" s="52">
        <v>4</v>
      </c>
      <c r="C166" s="52" t="s">
        <v>655</v>
      </c>
      <c r="D166" s="52" t="s">
        <v>656</v>
      </c>
      <c r="E166" s="52" t="s">
        <v>794</v>
      </c>
      <c r="F166" s="52">
        <v>1</v>
      </c>
      <c r="G166" s="53">
        <v>46306</v>
      </c>
      <c r="H166" s="53">
        <v>46306</v>
      </c>
      <c r="I166" s="52" t="s">
        <v>795</v>
      </c>
      <c r="J166" s="52" t="s">
        <v>527</v>
      </c>
      <c r="K166" s="54" t="s">
        <v>796</v>
      </c>
    </row>
    <row r="167" spans="1:11" ht="30" customHeight="1">
      <c r="A167" s="63">
        <v>163</v>
      </c>
      <c r="B167" s="64">
        <v>2</v>
      </c>
      <c r="C167" s="64" t="s">
        <v>743</v>
      </c>
      <c r="D167" s="64"/>
      <c r="E167" s="64" t="s">
        <v>743</v>
      </c>
      <c r="F167" s="64"/>
      <c r="G167" s="65">
        <v>46304</v>
      </c>
      <c r="H167" s="65">
        <v>46304</v>
      </c>
      <c r="I167" s="64"/>
      <c r="J167" s="64"/>
      <c r="K167" s="66" t="s">
        <v>509</v>
      </c>
    </row>
    <row r="168" spans="1:11" ht="30" customHeight="1">
      <c r="A168" s="67">
        <v>164</v>
      </c>
      <c r="B168" s="68">
        <v>3</v>
      </c>
      <c r="C168" s="68" t="s">
        <v>743</v>
      </c>
      <c r="D168" s="68" t="s">
        <v>744</v>
      </c>
      <c r="E168" s="68" t="s">
        <v>745</v>
      </c>
      <c r="F168" s="68"/>
      <c r="G168" s="69">
        <v>46304</v>
      </c>
      <c r="H168" s="69">
        <v>46304</v>
      </c>
      <c r="I168" s="68"/>
      <c r="J168" s="68"/>
      <c r="K168" s="70" t="s">
        <v>512</v>
      </c>
    </row>
    <row r="169" spans="1:11" ht="30" customHeight="1">
      <c r="A169" s="51">
        <v>165</v>
      </c>
      <c r="B169" s="52">
        <v>4</v>
      </c>
      <c r="C169" s="52" t="s">
        <v>743</v>
      </c>
      <c r="D169" s="52" t="s">
        <v>744</v>
      </c>
      <c r="E169" s="52" t="s">
        <v>797</v>
      </c>
      <c r="F169" s="52">
        <v>1</v>
      </c>
      <c r="G169" s="53">
        <v>46304</v>
      </c>
      <c r="H169" s="53">
        <v>46304</v>
      </c>
      <c r="I169" s="52" t="s">
        <v>798</v>
      </c>
      <c r="J169" s="52" t="s">
        <v>648</v>
      </c>
      <c r="K169" s="54" t="s">
        <v>799</v>
      </c>
    </row>
    <row r="170" spans="1:11" ht="30" customHeight="1">
      <c r="A170" s="63">
        <v>166</v>
      </c>
      <c r="B170" s="64">
        <v>2</v>
      </c>
      <c r="C170" s="64" t="s">
        <v>800</v>
      </c>
      <c r="D170" s="64"/>
      <c r="E170" s="64" t="s">
        <v>800</v>
      </c>
      <c r="F170" s="64"/>
      <c r="G170" s="65">
        <v>46303</v>
      </c>
      <c r="H170" s="65">
        <v>46307</v>
      </c>
      <c r="I170" s="64"/>
      <c r="J170" s="64"/>
      <c r="K170" s="66" t="s">
        <v>509</v>
      </c>
    </row>
    <row r="171" spans="1:11" ht="30" customHeight="1">
      <c r="A171" s="67">
        <v>167</v>
      </c>
      <c r="B171" s="68">
        <v>3</v>
      </c>
      <c r="C171" s="68" t="s">
        <v>800</v>
      </c>
      <c r="D171" s="68" t="s">
        <v>801</v>
      </c>
      <c r="E171" s="68" t="s">
        <v>802</v>
      </c>
      <c r="F171" s="68"/>
      <c r="G171" s="69">
        <v>46303</v>
      </c>
      <c r="H171" s="69">
        <v>46307</v>
      </c>
      <c r="I171" s="68"/>
      <c r="J171" s="68"/>
      <c r="K171" s="70" t="s">
        <v>512</v>
      </c>
    </row>
    <row r="172" spans="1:11" ht="30" customHeight="1">
      <c r="A172" s="51">
        <v>168</v>
      </c>
      <c r="B172" s="52">
        <v>4</v>
      </c>
      <c r="C172" s="52" t="s">
        <v>800</v>
      </c>
      <c r="D172" s="52" t="s">
        <v>801</v>
      </c>
      <c r="E172" s="52" t="s">
        <v>803</v>
      </c>
      <c r="F172" s="52">
        <v>1</v>
      </c>
      <c r="G172" s="53">
        <v>46303</v>
      </c>
      <c r="H172" s="53">
        <v>46303</v>
      </c>
      <c r="I172" s="52" t="s">
        <v>804</v>
      </c>
      <c r="J172" s="52" t="s">
        <v>527</v>
      </c>
      <c r="K172" s="54" t="s">
        <v>805</v>
      </c>
    </row>
    <row r="173" spans="1:11" ht="30" customHeight="1">
      <c r="A173" s="51">
        <v>169</v>
      </c>
      <c r="B173" s="52">
        <v>4</v>
      </c>
      <c r="C173" s="52" t="s">
        <v>800</v>
      </c>
      <c r="D173" s="52" t="s">
        <v>801</v>
      </c>
      <c r="E173" s="52" t="s">
        <v>806</v>
      </c>
      <c r="F173" s="52">
        <v>1</v>
      </c>
      <c r="G173" s="53">
        <v>46305</v>
      </c>
      <c r="H173" s="53">
        <v>46305</v>
      </c>
      <c r="I173" s="52" t="s">
        <v>795</v>
      </c>
      <c r="J173" s="52" t="s">
        <v>527</v>
      </c>
      <c r="K173" s="54" t="s">
        <v>807</v>
      </c>
    </row>
    <row r="174" spans="1:11" ht="30" customHeight="1">
      <c r="A174" s="51">
        <v>170</v>
      </c>
      <c r="B174" s="52">
        <v>4</v>
      </c>
      <c r="C174" s="52" t="s">
        <v>800</v>
      </c>
      <c r="D174" s="52" t="s">
        <v>801</v>
      </c>
      <c r="E174" s="52" t="s">
        <v>808</v>
      </c>
      <c r="F174" s="52">
        <v>2</v>
      </c>
      <c r="G174" s="53">
        <v>46306</v>
      </c>
      <c r="H174" s="53">
        <v>46307</v>
      </c>
      <c r="I174" s="52" t="s">
        <v>809</v>
      </c>
      <c r="J174" s="52" t="s">
        <v>762</v>
      </c>
      <c r="K174" s="54" t="s">
        <v>810</v>
      </c>
    </row>
    <row r="175" spans="1:11" ht="30" customHeight="1">
      <c r="A175" s="59">
        <v>171</v>
      </c>
      <c r="B175" s="60">
        <v>1</v>
      </c>
      <c r="C175" s="60"/>
      <c r="D175" s="60"/>
      <c r="E175" s="60" t="s">
        <v>54</v>
      </c>
      <c r="F175" s="60"/>
      <c r="G175" s="61">
        <v>46309</v>
      </c>
      <c r="H175" s="61">
        <v>46310</v>
      </c>
      <c r="I175" s="60"/>
      <c r="J175" s="60"/>
      <c r="K175" s="62" t="s">
        <v>507</v>
      </c>
    </row>
    <row r="176" spans="1:11" ht="30" customHeight="1">
      <c r="A176" s="63">
        <v>172</v>
      </c>
      <c r="B176" s="64">
        <v>2</v>
      </c>
      <c r="C176" s="64" t="s">
        <v>811</v>
      </c>
      <c r="D176" s="64"/>
      <c r="E176" s="64" t="s">
        <v>811</v>
      </c>
      <c r="F176" s="64"/>
      <c r="G176" s="65">
        <v>46309</v>
      </c>
      <c r="H176" s="65">
        <v>46310</v>
      </c>
      <c r="I176" s="64"/>
      <c r="J176" s="64"/>
      <c r="K176" s="66" t="s">
        <v>509</v>
      </c>
    </row>
    <row r="177" spans="1:11" ht="30" customHeight="1">
      <c r="A177" s="67">
        <v>173</v>
      </c>
      <c r="B177" s="68">
        <v>3</v>
      </c>
      <c r="C177" s="68" t="s">
        <v>811</v>
      </c>
      <c r="D177" s="68" t="s">
        <v>812</v>
      </c>
      <c r="E177" s="68" t="s">
        <v>813</v>
      </c>
      <c r="F177" s="68"/>
      <c r="G177" s="69">
        <v>46309</v>
      </c>
      <c r="H177" s="69">
        <v>46310</v>
      </c>
      <c r="I177" s="68"/>
      <c r="J177" s="68"/>
      <c r="K177" s="70" t="s">
        <v>512</v>
      </c>
    </row>
    <row r="178" spans="1:11" ht="30" customHeight="1">
      <c r="A178" s="51">
        <v>174</v>
      </c>
      <c r="B178" s="52">
        <v>4</v>
      </c>
      <c r="C178" s="52" t="s">
        <v>811</v>
      </c>
      <c r="D178" s="52" t="s">
        <v>812</v>
      </c>
      <c r="E178" s="52" t="s">
        <v>814</v>
      </c>
      <c r="F178" s="52">
        <v>1</v>
      </c>
      <c r="G178" s="53">
        <v>46309</v>
      </c>
      <c r="H178" s="53">
        <v>46309</v>
      </c>
      <c r="I178" s="52" t="s">
        <v>815</v>
      </c>
      <c r="J178" s="52" t="s">
        <v>514</v>
      </c>
      <c r="K178" s="54" t="s">
        <v>816</v>
      </c>
    </row>
    <row r="179" spans="1:11" ht="30" customHeight="1">
      <c r="A179" s="51">
        <v>175</v>
      </c>
      <c r="B179" s="52">
        <v>4</v>
      </c>
      <c r="C179" s="52" t="s">
        <v>811</v>
      </c>
      <c r="D179" s="52" t="s">
        <v>812</v>
      </c>
      <c r="E179" s="52" t="s">
        <v>817</v>
      </c>
      <c r="F179" s="52">
        <v>1</v>
      </c>
      <c r="G179" s="53">
        <v>46310</v>
      </c>
      <c r="H179" s="53">
        <v>46310</v>
      </c>
      <c r="I179" s="52" t="s">
        <v>818</v>
      </c>
      <c r="J179" s="52" t="s">
        <v>819</v>
      </c>
      <c r="K179" s="54" t="s">
        <v>820</v>
      </c>
    </row>
    <row r="180" spans="1:11" ht="30" customHeight="1">
      <c r="A180" s="63">
        <v>176</v>
      </c>
      <c r="B180" s="64">
        <v>2</v>
      </c>
      <c r="C180" s="64" t="s">
        <v>387</v>
      </c>
      <c r="D180" s="64"/>
      <c r="E180" s="64" t="s">
        <v>387</v>
      </c>
      <c r="F180" s="64"/>
      <c r="G180" s="65">
        <v>46309</v>
      </c>
      <c r="H180" s="65">
        <v>46309</v>
      </c>
      <c r="I180" s="64"/>
      <c r="J180" s="64"/>
      <c r="K180" s="66" t="s">
        <v>509</v>
      </c>
    </row>
    <row r="181" spans="1:11" ht="30" customHeight="1">
      <c r="A181" s="67">
        <v>177</v>
      </c>
      <c r="B181" s="68">
        <v>3</v>
      </c>
      <c r="C181" s="68" t="s">
        <v>387</v>
      </c>
      <c r="D181" s="68" t="s">
        <v>679</v>
      </c>
      <c r="E181" s="68" t="s">
        <v>680</v>
      </c>
      <c r="F181" s="68"/>
      <c r="G181" s="69">
        <v>46309</v>
      </c>
      <c r="H181" s="69">
        <v>46309</v>
      </c>
      <c r="I181" s="68"/>
      <c r="J181" s="68"/>
      <c r="K181" s="70" t="s">
        <v>512</v>
      </c>
    </row>
    <row r="182" spans="1:11" ht="30" customHeight="1">
      <c r="A182" s="51">
        <v>178</v>
      </c>
      <c r="B182" s="52">
        <v>4</v>
      </c>
      <c r="C182" s="52" t="s">
        <v>387</v>
      </c>
      <c r="D182" s="52" t="s">
        <v>679</v>
      </c>
      <c r="E182" s="52" t="s">
        <v>821</v>
      </c>
      <c r="F182" s="52">
        <v>1</v>
      </c>
      <c r="G182" s="53">
        <v>46309</v>
      </c>
      <c r="H182" s="53">
        <v>46309</v>
      </c>
      <c r="I182" s="52" t="s">
        <v>822</v>
      </c>
      <c r="J182" s="52" t="s">
        <v>514</v>
      </c>
      <c r="K182" s="54" t="s">
        <v>823</v>
      </c>
    </row>
    <row r="183" spans="1:11" ht="30" customHeight="1">
      <c r="A183" s="63">
        <v>179</v>
      </c>
      <c r="B183" s="64">
        <v>2</v>
      </c>
      <c r="C183" s="64" t="s">
        <v>516</v>
      </c>
      <c r="D183" s="64"/>
      <c r="E183" s="64" t="s">
        <v>516</v>
      </c>
      <c r="F183" s="64"/>
      <c r="G183" s="65">
        <v>46310</v>
      </c>
      <c r="H183" s="65">
        <v>46310</v>
      </c>
      <c r="I183" s="64"/>
      <c r="J183" s="64"/>
      <c r="K183" s="66" t="s">
        <v>509</v>
      </c>
    </row>
    <row r="184" spans="1:11" ht="30" customHeight="1">
      <c r="A184" s="67">
        <v>180</v>
      </c>
      <c r="B184" s="68">
        <v>3</v>
      </c>
      <c r="C184" s="68" t="s">
        <v>516</v>
      </c>
      <c r="D184" s="68" t="s">
        <v>517</v>
      </c>
      <c r="E184" s="68" t="s">
        <v>518</v>
      </c>
      <c r="F184" s="68"/>
      <c r="G184" s="69">
        <v>46310</v>
      </c>
      <c r="H184" s="69">
        <v>46310</v>
      </c>
      <c r="I184" s="68"/>
      <c r="J184" s="68"/>
      <c r="K184" s="70" t="s">
        <v>512</v>
      </c>
    </row>
    <row r="185" spans="1:11" ht="30" customHeight="1">
      <c r="A185" s="55">
        <v>181</v>
      </c>
      <c r="B185" s="56">
        <v>4</v>
      </c>
      <c r="C185" s="56" t="s">
        <v>516</v>
      </c>
      <c r="D185" s="56" t="s">
        <v>517</v>
      </c>
      <c r="E185" s="56" t="s">
        <v>824</v>
      </c>
      <c r="F185" s="56">
        <v>1</v>
      </c>
      <c r="G185" s="57">
        <v>46310</v>
      </c>
      <c r="H185" s="57">
        <v>46310</v>
      </c>
      <c r="I185" s="56" t="s">
        <v>825</v>
      </c>
      <c r="J185" s="56" t="s">
        <v>514</v>
      </c>
      <c r="K185" s="58" t="s">
        <v>826</v>
      </c>
    </row>
  </sheetData>
  <mergeCells count="2">
    <mergeCell ref="A1:T1"/>
    <mergeCell ref="A2:T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5"/>
  <sheetViews>
    <sheetView workbookViewId="0">
      <selection sqref="A1:F1"/>
    </sheetView>
  </sheetViews>
  <sheetFormatPr baseColWidth="10" defaultColWidth="9" defaultRowHeight="14.25"/>
  <cols>
    <col min="1" max="1" width="7" customWidth="1"/>
    <col min="2" max="2" width="35" customWidth="1"/>
    <col min="3" max="3" width="20" customWidth="1"/>
    <col min="4" max="4" width="55" customWidth="1"/>
    <col min="5" max="5" width="38" customWidth="1"/>
    <col min="6" max="6" width="55" customWidth="1"/>
  </cols>
  <sheetData>
    <row r="1" spans="1:6" ht="19.149999999999999" customHeight="1">
      <c r="A1" s="90" t="s">
        <v>827</v>
      </c>
      <c r="B1" s="90"/>
      <c r="C1" s="90"/>
      <c r="D1" s="90"/>
      <c r="E1" s="90"/>
      <c r="F1" s="90"/>
    </row>
    <row r="2" spans="1:6" ht="15" customHeight="1">
      <c r="A2" s="91" t="s">
        <v>828</v>
      </c>
      <c r="B2" s="91"/>
      <c r="C2" s="91"/>
      <c r="D2" s="91"/>
      <c r="E2" s="91"/>
      <c r="F2" s="91"/>
    </row>
    <row r="4" spans="1:6" ht="15" customHeight="1">
      <c r="A4" s="1" t="s">
        <v>829</v>
      </c>
      <c r="B4" s="12" t="s">
        <v>830</v>
      </c>
      <c r="C4" s="12" t="s">
        <v>831</v>
      </c>
      <c r="D4" s="12" t="s">
        <v>832</v>
      </c>
      <c r="E4" s="12" t="s">
        <v>833</v>
      </c>
      <c r="F4" s="2" t="s">
        <v>834</v>
      </c>
    </row>
    <row r="5" spans="1:6" ht="15" customHeight="1">
      <c r="A5" s="3">
        <v>1</v>
      </c>
      <c r="B5" s="13" t="s">
        <v>835</v>
      </c>
      <c r="C5" s="13" t="s">
        <v>836</v>
      </c>
      <c r="D5" s="13" t="s">
        <v>837</v>
      </c>
      <c r="E5" s="13" t="s">
        <v>239</v>
      </c>
      <c r="F5" s="4" t="s">
        <v>838</v>
      </c>
    </row>
    <row r="6" spans="1:6" ht="15" customHeight="1">
      <c r="A6" s="5">
        <v>2</v>
      </c>
      <c r="B6" s="14" t="s">
        <v>839</v>
      </c>
      <c r="C6" s="14" t="s">
        <v>840</v>
      </c>
      <c r="D6" s="14" t="s">
        <v>841</v>
      </c>
      <c r="E6" s="14" t="s">
        <v>842</v>
      </c>
      <c r="F6" s="6" t="s">
        <v>843</v>
      </c>
    </row>
    <row r="7" spans="1:6" ht="15" customHeight="1">
      <c r="A7" s="5">
        <v>3</v>
      </c>
      <c r="B7" s="14" t="s">
        <v>844</v>
      </c>
      <c r="C7" s="14" t="s">
        <v>845</v>
      </c>
      <c r="D7" s="14" t="s">
        <v>846</v>
      </c>
      <c r="E7" s="14" t="s">
        <v>151</v>
      </c>
      <c r="F7" s="6" t="s">
        <v>847</v>
      </c>
    </row>
    <row r="8" spans="1:6" ht="15" customHeight="1">
      <c r="A8" s="5">
        <v>4</v>
      </c>
      <c r="B8" s="14" t="s">
        <v>848</v>
      </c>
      <c r="C8" s="14" t="s">
        <v>845</v>
      </c>
      <c r="D8" s="14" t="s">
        <v>849</v>
      </c>
      <c r="E8" s="14" t="s">
        <v>850</v>
      </c>
      <c r="F8" s="6" t="s">
        <v>851</v>
      </c>
    </row>
    <row r="9" spans="1:6" ht="15" customHeight="1">
      <c r="A9" s="5">
        <v>5</v>
      </c>
      <c r="B9" s="14" t="s">
        <v>852</v>
      </c>
      <c r="C9" s="14" t="s">
        <v>845</v>
      </c>
      <c r="D9" s="14" t="s">
        <v>853</v>
      </c>
      <c r="E9" s="14" t="s">
        <v>850</v>
      </c>
      <c r="F9" s="6" t="s">
        <v>854</v>
      </c>
    </row>
    <row r="10" spans="1:6" ht="15" customHeight="1">
      <c r="A10" s="5">
        <v>6</v>
      </c>
      <c r="B10" s="14" t="s">
        <v>855</v>
      </c>
      <c r="C10" s="14" t="s">
        <v>836</v>
      </c>
      <c r="D10" s="14" t="s">
        <v>856</v>
      </c>
      <c r="E10" s="14" t="s">
        <v>857</v>
      </c>
      <c r="F10" s="6" t="s">
        <v>858</v>
      </c>
    </row>
    <row r="11" spans="1:6" ht="21.6" customHeight="1">
      <c r="A11" s="5">
        <v>7</v>
      </c>
      <c r="B11" s="14" t="s">
        <v>859</v>
      </c>
      <c r="C11" s="14" t="s">
        <v>845</v>
      </c>
      <c r="D11" s="14" t="s">
        <v>860</v>
      </c>
      <c r="E11" s="14" t="s">
        <v>861</v>
      </c>
      <c r="F11" s="6" t="s">
        <v>862</v>
      </c>
    </row>
    <row r="12" spans="1:6" ht="15" customHeight="1">
      <c r="A12" s="5">
        <v>8</v>
      </c>
      <c r="B12" s="14" t="s">
        <v>863</v>
      </c>
      <c r="C12" s="14" t="s">
        <v>864</v>
      </c>
      <c r="D12" s="14" t="s">
        <v>865</v>
      </c>
      <c r="E12" s="14" t="s">
        <v>866</v>
      </c>
      <c r="F12" s="6" t="s">
        <v>867</v>
      </c>
    </row>
    <row r="13" spans="1:6" ht="15" customHeight="1">
      <c r="A13" s="5">
        <v>9</v>
      </c>
      <c r="B13" s="14" t="s">
        <v>868</v>
      </c>
      <c r="C13" s="14" t="s">
        <v>869</v>
      </c>
      <c r="D13" s="14" t="s">
        <v>870</v>
      </c>
      <c r="E13" s="14" t="s">
        <v>850</v>
      </c>
      <c r="F13" s="6" t="s">
        <v>871</v>
      </c>
    </row>
    <row r="14" spans="1:6" ht="21.6" customHeight="1">
      <c r="A14" s="5">
        <v>10</v>
      </c>
      <c r="B14" s="14" t="s">
        <v>872</v>
      </c>
      <c r="C14" s="14" t="s">
        <v>873</v>
      </c>
      <c r="D14" s="14" t="s">
        <v>874</v>
      </c>
      <c r="E14" s="14" t="s">
        <v>239</v>
      </c>
      <c r="F14" s="6" t="s">
        <v>875</v>
      </c>
    </row>
    <row r="15" spans="1:6" ht="15" customHeight="1">
      <c r="A15" s="7">
        <v>11</v>
      </c>
      <c r="B15" s="15" t="s">
        <v>876</v>
      </c>
      <c r="C15" s="15" t="s">
        <v>877</v>
      </c>
      <c r="D15" s="15" t="s">
        <v>878</v>
      </c>
      <c r="E15" s="15" t="s">
        <v>879</v>
      </c>
      <c r="F15" s="8" t="s">
        <v>880</v>
      </c>
    </row>
  </sheetData>
  <mergeCells count="2"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Resumen</vt:lpstr>
      <vt:lpstr>Interesados</vt:lpstr>
      <vt:lpstr>Reglas de Negocio</vt:lpstr>
      <vt:lpstr>Requerimientos</vt:lpstr>
      <vt:lpstr>Casos de Prueba</vt:lpstr>
      <vt:lpstr>Trazabilidad</vt:lpstr>
      <vt:lpstr>Cronograma</vt:lpstr>
      <vt:lpstr>Cambios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</dc:creator>
  <cp:lastModifiedBy>Alexander Huahuaccapa Ccama</cp:lastModifiedBy>
  <dcterms:created xsi:type="dcterms:W3CDTF">2026-08-26T02:50:13Z</dcterms:created>
  <dcterms:modified xsi:type="dcterms:W3CDTF">2026-08-26T02:50:13Z</dcterms:modified>
</cp:coreProperties>
</file>