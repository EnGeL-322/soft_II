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02cedd5be048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teresados" sheetId="2" r:id="Rf939284485c34495"/>
    <x:sheet xmlns:r="http://schemas.openxmlformats.org/officeDocument/2006/relationships" name="Reglas de Negocio" sheetId="3" r:id="Rbf453169d8bc4c94"/>
    <x:sheet xmlns:r="http://schemas.openxmlformats.org/officeDocument/2006/relationships" name="Matriz Requerimientos" sheetId="4" r:id="Rfb7540230fa1402b"/>
    <x:sheet xmlns:r="http://schemas.openxmlformats.org/officeDocument/2006/relationships" name="Casos de Prueba" sheetId="5" r:id="Re6ff2ac82a29435f"/>
    <x:sheet xmlns:r="http://schemas.openxmlformats.org/officeDocument/2006/relationships" name="Matriz Trazabilidad" sheetId="6" r:id="Rd378d1a1d53f446e"/>
    <x:sheet xmlns:r="http://schemas.openxmlformats.org/officeDocument/2006/relationships" name="Cronograma" sheetId="7" r:id="Ra43f46edb6fa43e1"/>
  </x:sheets>
</x:workbook>
</file>

<file path=xl/sharedStrings.xml><?xml version="1.0" encoding="utf-8"?>
<x:sst xmlns:x="http://schemas.openxmlformats.org/spreadsheetml/2006/main">
  <x:si>
    <x:t xml:space="preserve">ID</x:t>
  </x:si>
  <x:si>
    <x:t xml:space="preserve">Interesado / Rol</x:t>
  </x:si>
  <x:si>
    <x:t xml:space="preserve">Necesidad principal</x:t>
  </x:si>
  <x:si>
    <x:t xml:space="preserve">Nivel de influencia</x:t>
  </x:si>
  <x:si>
    <x:t xml:space="preserve">Cómo se le consultó</x:t>
  </x:si>
  <x:si>
    <x:t xml:space="preserve">Regla de negocio</x:t>
  </x:si>
  <x:si>
    <x:t xml:space="preserve">Fuente</x:t>
  </x:si>
  <x:si>
    <x:t xml:space="preserve">Requisitos que la implementan</x:t>
  </x:si>
  <x:si>
    <x:t xml:space="preserve">Nombre</x:t>
  </x:si>
  <x:si>
    <x:t xml:space="preserve">Descripción  (El sistema deberá…)</x:t>
  </x:si>
  <x:si>
    <x:t xml:space="preserve">Tipo</x:t>
  </x:si>
  <x:si>
    <x:t xml:space="preserve">Categoría RNF</x:t>
  </x:si>
  <x:si>
    <x:t xml:space="preserve">Actor</x:t>
  </x:si>
  <x:si>
    <x:t xml:space="preserve">Origen</x:t>
  </x:si>
  <x:si>
    <x:t xml:space="preserve">Referencia origen</x:t>
  </x:si>
  <x:si>
    <x:t xml:space="preserve">Prioridad</x:t>
  </x:si>
  <x:si>
    <x:t xml:space="preserve">Criterio de aceptación</x:t>
  </x:si>
  <x:si>
    <x:t xml:space="preserve">Componente</x:t>
  </x:si>
  <x:si>
    <x:t xml:space="preserve">Dependencias</x:t>
  </x:si>
  <x:si>
    <x:t xml:space="preserve">Estado</x:t>
  </x:si>
  <x:si>
    <x:t xml:space="preserve">Requisito verificado</x:t>
  </x:si>
  <x:si>
    <x:t xml:space="preserve">Escenario</x:t>
  </x:si>
  <x:si>
    <x:t xml:space="preserve">Datos de entrada</x:t>
  </x:si>
  <x:si>
    <x:t xml:space="preserve">Resultado esperado</x:t>
  </x:si>
  <x:si>
    <x:t xml:space="preserve">Resultado obtenido</x:t>
  </x:si>
  <x:si>
    <x:t xml:space="preserve">ID requisito</x:t>
  </x:si>
  <x:si>
    <x:t xml:space="preserve">Casos de prueba</x:t>
  </x:si>
  <x:si>
    <x:t xml:space="preserve">Módulo / archivo de código</x:t>
  </x:si>
  <x:si>
    <x:t xml:space="preserve">Documento de diseño o ADR</x:t>
  </x:si>
  <x:si>
    <x:t xml:space="preserve">¿Trazabilidad completa?</x:t>
  </x:si>
</x:sst>
</file>

<file path=xl/styles.xml><?xml version="1.0" encoding="utf-8"?>
<x:styleSheet xmlns:x="http://schemas.openxmlformats.org/spreadsheetml/2006/main">
  <x:fonts count="16">
    <x:font>
      <x:sz val="11"/>
      <x:color theme="1"/>
      <x:name val="Calibri"/>
    </x:font>
    <x:font>
      <x:b/>
      <x:sz val="14"/>
      <x:color rgb="FFFFFFFF"/>
      <x:name val="Arial"/>
    </x:font>
    <x:font>
      <x:i/>
      <x:sz val="9"/>
      <x:color rgb="FF5A6472"/>
      <x:name val="Arial"/>
    </x:font>
    <x:font>
      <x:b/>
      <x:sz val="10"/>
      <x:color rgb="FFFFFFFF"/>
      <x:name val="Arial"/>
    </x:font>
    <x:font>
      <x:sz val="9"/>
      <x:color rgb="FF1C1C1C"/>
      <x:name val="Arial"/>
    </x:font>
    <x:font>
      <x:b/>
      <x:sz val="9"/>
      <x:color rgb="FFFFFFFF"/>
      <x:name val="Arial"/>
    </x:font>
    <x:font>
      <x:b/>
      <x:sz val="18"/>
      <x:color rgb="FFFFFFFF"/>
      <x:name val="Calibri"/>
    </x:font>
    <x:font>
      <x:i/>
      <x:sz val="10"/>
      <x:color rgb="FF5B6573"/>
      <x:name val="Calibri"/>
    </x:font>
    <x:font>
      <x:b/>
      <x:sz val="10"/>
      <x:color rgb="FF17365D"/>
      <x:name val="Calibri"/>
    </x:font>
    <x:font>
      <x:b/>
      <x:sz val="10"/>
      <x:color rgb="FFFFFFFF"/>
      <x:name val="Calibri"/>
    </x:font>
    <x:font>
      <x:b/>
      <x:sz val="9"/>
      <x:color rgb="FFFFFFFF"/>
      <x:name val="Calibri"/>
    </x:font>
    <x:font>
      <x:sz val="9"/>
      <x:color rgb="FF343A40"/>
      <x:name val="Calibri"/>
    </x:font>
    <x:font>
      <x:b/>
      <x:sz val="9"/>
      <x:color rgb="FF17365D"/>
      <x:name val="Calibri"/>
    </x:font>
    <x:font>
      <x:b/>
      <x:sz val="11"/>
      <x:color rgb="FF17365D"/>
      <x:name val="Calibri"/>
    </x:font>
    <x:font>
      <x:i/>
      <x:sz val="9"/>
      <x:color rgb="FF5B6573"/>
      <x:name val="Calibri"/>
    </x:font>
    <x:font>
      <x:b/>
      <x:sz val="8"/>
      <x:color rgb="FFFFFFFF"/>
      <x:name val="Calibri"/>
    </x:font>
  </x:fonts>
  <x:fills count="20">
    <x:fill>
      <x:patternFill patternType="none"/>
    </x:fill>
    <x:fill>
      <x:patternFill patternType="gray125"/>
    </x:fill>
    <x:fill>
      <x:patternFill patternType="solid">
        <x:fgColor rgb="FF12294D"/>
      </x:patternFill>
    </x:fill>
    <x:fill>
      <x:patternFill patternType="solid">
        <x:fgColor rgb="FFFFF6DC"/>
      </x:patternFill>
    </x:fill>
    <x:fill>
      <x:patternFill patternType="solid">
        <x:fgColor rgb="FFF4F6FA"/>
      </x:patternFill>
    </x:fill>
    <x:fill>
      <x:patternFill patternType="solid">
        <x:fgColor rgb="FF17365D"/>
      </x:patternFill>
    </x:fill>
    <x:fill>
      <x:patternFill patternType="solid">
        <x:fgColor rgb="FFDCE6F1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E4DFEC"/>
      </x:patternFill>
    </x:fill>
    <x:fill>
      <x:patternFill patternType="solid">
        <x:fgColor rgb="FF2F75B5"/>
      </x:patternFill>
    </x:fill>
    <x:fill>
      <x:patternFill patternType="solid">
        <x:fgColor rgb="FF548235"/>
      </x:patternFill>
    </x:fill>
    <x:fill>
      <x:patternFill patternType="solid">
        <x:fgColor rgb="FFC55A11"/>
      </x:patternFill>
    </x:fill>
    <x:fill>
      <x:patternFill patternType="solid">
        <x:fgColor rgb="FFFFF7DF"/>
      </x:patternFill>
    </x:fill>
    <x:fill>
      <x:patternFill patternType="solid">
        <x:fgColor rgb="FFD9EAF7"/>
      </x:patternFill>
    </x:fill>
    <x:fill>
      <x:patternFill patternType="solid">
        <x:fgColor rgb="FFBDD7EE"/>
      </x:patternFill>
    </x:fill>
    <x:fill>
      <x:patternFill patternType="solid">
        <x:fgColor rgb="FFC6E0B4"/>
      </x:patternFill>
    </x:fill>
    <x:fill>
      <x:patternFill patternType="solid">
        <x:fgColor rgb="FFF8CBAD"/>
      </x:patternFill>
    </x:fill>
    <x:fill>
      <x:patternFill patternType="solid">
        <x:fgColor rgb="FFF2F2F2"/>
      </x:patternFill>
    </x:fill>
  </x:fills>
  <x:borders count="34">
    <x:border/>
    <x:border>
      <x:left style="thin">
        <x:color rgb="FFC9D3E4"/>
      </x:left>
      <x:right style="thin">
        <x:color rgb="FFC9D3E4"/>
      </x:right>
      <x:top style="thin">
        <x:color rgb="FFC9D3E4"/>
      </x:top>
      <x:bottom style="thin">
        <x:color rgb="FFC9D3E4"/>
      </x:bottom>
    </x:border>
    <x:border/>
    <x:border>
      <x:left style="thin">
        <x:color rgb="FFC9D3E4"/>
      </x:left>
      <x:right style="thin">
        <x:color rgb="FFC9D3E4"/>
      </x:right>
      <x:top style="thin">
        <x:color rgb="FFC9D3E4"/>
      </x:top>
      <x:bottom style="thin">
        <x:color rgb="FFC9D3E4"/>
      </x:bottom>
    </x:border>
    <x:border>
      <x:left style="thin">
        <x:color rgb="FFA6B6C8"/>
      </x:left>
      <x:top style="thin">
        <x:color rgb="FFA6B6C8"/>
      </x:top>
      <x:bottom style="thin">
        <x:color rgb="FFA6B6C8"/>
      </x:bottom>
    </x:border>
    <x:border>
      <x:top style="thin">
        <x:color rgb="FFA6B6C8"/>
      </x:top>
      <x:bottom style="thin">
        <x:color rgb="FFA6B6C8"/>
      </x:bottom>
    </x:border>
    <x:border>
      <x:right style="thin">
        <x:color rgb="FFA6B6C8"/>
      </x:right>
      <x:top style="thin">
        <x:color rgb="FFA6B6C8"/>
      </x:top>
      <x:bottom style="thin">
        <x:color rgb="FFA6B6C8"/>
      </x:bottom>
    </x:border>
    <x:border>
      <x:left style="thin">
        <x:color rgb="FFA6B6C8"/>
      </x:left>
      <x:top style="thin">
        <x:color rgb="FFA6B6C8"/>
      </x:top>
      <x:bottom style="thin">
        <x:color rgb="FFA6B6C8"/>
      </x:bottom>
    </x:border>
    <x:border>
      <x:top style="thin">
        <x:color rgb="FFA6B6C8"/>
      </x:top>
      <x:bottom style="thin">
        <x:color rgb="FFA6B6C8"/>
      </x:bottom>
    </x:border>
    <x:border>
      <x:right style="thin">
        <x:color rgb="FFA6B6C8"/>
      </x:right>
      <x:top style="thin">
        <x:color rgb="FFA6B6C8"/>
      </x:top>
      <x:bottom style="thin">
        <x:color rgb="FFA6B6C8"/>
      </x:bottom>
    </x:border>
    <x:border>
      <x:left style="thin">
        <x:color rgb="FFFFFFFF"/>
      </x:left>
      <x:top style="thin">
        <x:color rgb="FFFFFFFF"/>
      </x:top>
      <x:bottom style="thin">
        <x:color rgb="FFFFFFFF"/>
      </x:bottom>
    </x:border>
    <x:border>
      <x:top style="thin">
        <x:color rgb="FFFFFFFF"/>
      </x:top>
      <x:bottom style="thin">
        <x:color rgb="FFFFFFFF"/>
      </x:bottom>
    </x:border>
    <x:border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FFFFFF"/>
      </x:left>
      <x:top style="thin">
        <x:color rgb="FFFFFFFF"/>
      </x:top>
      <x:bottom style="thin">
        <x:color rgb="FFFFFFFF"/>
      </x:bottom>
    </x:border>
    <x:border>
      <x:top style="thin">
        <x:color rgb="FFFFFFFF"/>
      </x:top>
      <x:bottom style="thin">
        <x:color rgb="FFFFFFFF"/>
      </x:bottom>
    </x:border>
    <x:border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D5DEE8"/>
      </x:left>
      <x:top style="thin">
        <x:color rgb="FFD5DEE8"/>
      </x:top>
    </x:border>
    <x:border>
      <x:top style="thin">
        <x:color rgb="FFD5DEE8"/>
      </x:top>
    </x:border>
    <x:border>
      <x:right style="thin">
        <x:color rgb="FFD5DEE8"/>
      </x:right>
      <x:top style="thin">
        <x:color rgb="FFD5DEE8"/>
      </x:top>
    </x:border>
    <x:border>
      <x:left style="thin">
        <x:color rgb="FFD5DEE8"/>
      </x:left>
    </x:border>
    <x:border>
      <x:right style="thin">
        <x:color rgb="FFD5DEE8"/>
      </x:right>
    </x:border>
    <x:border>
      <x:left style="thin">
        <x:color rgb="FFD5DEE8"/>
      </x:left>
      <x:bottom style="thin">
        <x:color rgb="FFD5DEE8"/>
      </x:bottom>
    </x:border>
    <x:border>
      <x:bottom style="thin">
        <x:color rgb="FFD5DEE8"/>
      </x:bottom>
    </x:border>
    <x:border>
      <x:right style="thin">
        <x:color rgb="FFD5DEE8"/>
      </x:right>
      <x:bottom style="thin">
        <x:color rgb="FFD5DEE8"/>
      </x:bottom>
    </x:border>
    <x:border>
      <x:left style="thin">
        <x:color rgb="FFD5DEE8"/>
      </x:left>
      <x:top style="thin">
        <x:color rgb="FFD5DEE8"/>
      </x:top>
    </x:border>
    <x:border>
      <x:top style="thin">
        <x:color rgb="FFD5DEE8"/>
      </x:top>
    </x:border>
    <x:border>
      <x:right style="thin">
        <x:color rgb="FFD5DEE8"/>
      </x:right>
      <x:top style="thin">
        <x:color rgb="FFD5DEE8"/>
      </x:top>
    </x:border>
    <x:border>
      <x:left style="thin">
        <x:color rgb="FFD5DEE8"/>
      </x:left>
    </x:border>
    <x:border>
      <x:right style="thin">
        <x:color rgb="FFD5DEE8"/>
      </x:right>
    </x:border>
    <x:border>
      <x:left style="thin">
        <x:color rgb="FFD5DEE8"/>
      </x:left>
      <x:bottom style="thin">
        <x:color rgb="FFD5DEE8"/>
      </x:bottom>
    </x:border>
    <x:border>
      <x:bottom style="thin">
        <x:color rgb="FFD5DEE8"/>
      </x:bottom>
    </x:border>
    <x:border>
      <x:right style="thin">
        <x:color rgb="FFD5DEE8"/>
      </x:right>
      <x:bottom style="thin">
        <x:color rgb="FFD5DEE8"/>
      </x:bottom>
    </x:border>
    <x:border>
      <x:left style="thin">
        <x:color rgb="FFA6B6C8"/>
      </x:left>
      <x:right style="thin">
        <x:color rgb="FFA6B6C8"/>
      </x:right>
      <x:top style="thin">
        <x:color rgb="FFA6B6C8"/>
      </x:top>
      <x:bottom style="thin">
        <x:color rgb="FFA6B6C8"/>
      </x:bottom>
    </x:border>
    <x:border>
      <x:left style="thin">
        <x:color rgb="FFA6B6C8"/>
      </x:left>
      <x:right style="thin">
        <x:color rgb="FFA6B6C8"/>
      </x:right>
      <x:top style="thin">
        <x:color rgb="FFA6B6C8"/>
      </x:top>
      <x:bottom style="thin">
        <x:color rgb="FFA6B6C8"/>
      </x:bottom>
    </x:border>
  </x:borders>
  <x:cellStyleXfs count="1">
    <x:xf numFmtId="0" fontId="0" fillId="0" borderId="0"/>
  </x:cellStyleXfs>
  <x:cellXfs count="448">
    <x:xf numFmtId="0" fontId="0" fillId="0" borderId="0" xfId="0"/>
    <x:xf numFmtId="0" fontId="3" fillId="2" borderId="1" xfId="0" applyFont="1" applyFill="1" applyBorder="1" applyAlignment="1">
      <x:alignment horizontal="center" vertical="center" wrapText="1"/>
    </x:xf>
    <x:xf numFmtId="0" fontId="4" fillId="3" borderId="1" xfId="0" applyFont="1" applyFill="1" applyBorder="1" applyAlignment="1">
      <x:alignment horizontal="center" vertical="center" wrapText="1"/>
    </x:xf>
    <x:xf numFmtId="0" fontId="4" fillId="3" borderId="1" xfId="0" applyFont="1" applyFill="1" applyBorder="1" applyAlignment="1">
      <x:alignment horizontal="left" vertical="center" wrapText="1"/>
    </x:xf>
    <x:xf numFmtId="0" fontId="4" fillId="3" borderId="1" xfId="0" applyFont="1" applyFill="1" applyBorder="1" applyAlignment="1">
      <x:alignment horizontal="left" vertical="top" wrapText="1"/>
    </x:xf>
    <x:xf numFmtId="0" fontId="5" fillId="2" borderId="1" xfId="0" applyFont="1" applyFill="1" applyBorder="1" applyAlignment="1">
      <x:alignment horizontal="center" vertical="center" wrapText="1"/>
    </x:xf>
    <x:xf numFmtId="0" fontId="4" fillId="4" borderId="1" xfId="0" applyFont="1" applyFill="1" applyBorder="1" applyAlignment="1">
      <x:alignment horizontal="center" vertical="center" wrapText="1"/>
    </x:xf>
    <x:xf numFmtId="0" fontId="4" fillId="4" borderId="1" xfId="0" applyFont="1" applyFill="1" applyBorder="1" applyAlignment="1">
      <x:alignment horizontal="left" vertical="center" wrapText="1"/>
    </x:xf>
    <x:xf numFmtId="0" fontId="1" fillId="2" borderId="0" xfId="0" applyFont="1" applyFill="1" applyAlignment="1">
      <x:alignment horizontal="left" vertical="center"/>
    </x:xf>
    <x:xf numFmtId="0" fontId="2" fillId="0" borderId="0" xfId="0" applyFont="1" applyAlignment="1">
      <x:alignment horizontal="left" vertical="center"/>
    </x:xf>
    <x:xf numFmtId="0" fontId="0" fillId="0" borderId="2" xfId="0" applyNumberFormat="1" applyFont="1" applyFill="1" applyBorder="1"/>
    <x:xf numFmtId="0" fontId="3" fillId="2" borderId="3" xfId="0" applyNumberFormat="1" applyFont="1" applyFill="1" applyBorder="1" applyAlignment="1">
      <x:alignment horizontal="center" vertical="center" wrapText="1"/>
    </x:xf>
    <x:xf numFmtId="0" fontId="4" fillId="3" borderId="3" xfId="0" applyNumberFormat="1" applyFont="1" applyFill="1" applyBorder="1" applyAlignment="1">
      <x:alignment horizontal="center" vertical="center" wrapText="1"/>
    </x:xf>
    <x:xf numFmtId="0" fontId="4" fillId="3" borderId="3" xfId="0" applyNumberFormat="1" applyFont="1" applyFill="1" applyBorder="1" applyAlignment="1">
      <x:alignment horizontal="left" vertical="center" wrapText="1"/>
    </x:xf>
    <x:xf numFmtId="0" fontId="4" fillId="3" borderId="3" xfId="0" applyNumberFormat="1" applyFont="1" applyFill="1" applyBorder="1" applyAlignment="1">
      <x:alignment horizontal="left" vertical="top" wrapText="1"/>
    </x:xf>
    <x:xf numFmtId="0" fontId="5" fillId="2" borderId="3" xfId="0" applyNumberFormat="1" applyFont="1" applyFill="1" applyBorder="1" applyAlignment="1">
      <x:alignment horizontal="center" vertical="center" wrapText="1"/>
    </x:xf>
    <x:xf numFmtId="0" fontId="4" fillId="4" borderId="3" xfId="0" applyNumberFormat="1" applyFont="1" applyFill="1" applyBorder="1" applyAlignment="1">
      <x:alignment horizontal="center" vertical="center" wrapText="1"/>
    </x:xf>
    <x:xf numFmtId="0" fontId="4" fillId="4" borderId="3" xfId="0" applyNumberFormat="1" applyFont="1" applyFill="1" applyBorder="1" applyAlignment="1">
      <x:alignment horizontal="left" vertical="center" wrapText="1"/>
    </x:xf>
    <x:xf numFmtId="0" fontId="1" fillId="2" borderId="2" xfId="0" applyNumberFormat="1" applyFont="1" applyFill="1" applyBorder="1" applyAlignment="1">
      <x:alignment horizontal="left" vertical="center"/>
    </x:xf>
    <x:xf numFmtId="0" fontId="2" fillId="0" borderId="2" xfId="0" applyNumberFormat="1" applyFont="1" applyFill="1" applyBorder="1" applyAlignment="1">
      <x:alignment horizontal="left" vertical="center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horizontal="left"/>
    </x:xf>
    <x:xf numFmtId="0" fontId="6" fillId="5" borderId="0" xfId="0" applyNumberFormat="1" applyFont="1" applyFill="1" applyBorder="1" applyAlignment="1">
      <x:alignment horizontal="left" vertical="center"/>
    </x:xf>
    <x:xf numFmtId="0" fontId="0" fillId="5" borderId="2" xfId="0" applyNumberFormat="1" applyFont="1" applyFill="1" applyBorder="1"/>
    <x:xf numFmtId="0" fontId="6" fillId="5" borderId="2" xfId="0" applyNumberFormat="1" applyFont="1" applyFill="1" applyBorder="1"/>
    <x:xf numFmtId="0" fontId="6" fillId="5" borderId="2" xfId="0" applyNumberFormat="1" applyFont="1" applyFill="1" applyBorder="1" applyAlignment="1">
      <x:alignment horizontal="left"/>
    </x:xf>
    <x:xf numFmtId="0" fontId="6" fillId="5" borderId="2" xfId="0" applyNumberFormat="1" applyFont="1" applyFill="1" applyBorder="1" applyAlignment="1">
      <x:alignment horizontal="left" vertical="center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vertical="center" wrapText="1"/>
    </x:xf>
    <x:xf numFmtId="0" fontId="7" fillId="0" borderId="2" xfId="0" applyNumberFormat="1" applyFont="1" applyFill="1" applyBorder="1"/>
    <x:xf numFmtId="0" fontId="7" fillId="0" borderId="2" xfId="0" applyNumberFormat="1" applyFont="1" applyFill="1" applyBorder="1" applyAlignment="1">
      <x:alignment wrapText="1"/>
    </x:xf>
    <x:xf numFmtId="0" fontId="7" fillId="0" borderId="2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8" fillId="6" borderId="0" xfId="0" applyNumberFormat="1" applyFont="1" applyFill="1" applyBorder="1"/>
    <x:xf numFmtId="0" fontId="8" fillId="6" borderId="4" xfId="0" applyNumberFormat="1" applyFont="1" applyFill="1" applyBorder="1"/>
    <x:xf numFmtId="0" fontId="8" fillId="6" borderId="5" xfId="0" applyNumberFormat="1" applyFont="1" applyFill="1" applyBorder="1"/>
    <x:xf numFmtId="0" fontId="8" fillId="6" borderId="6" xfId="0" applyNumberFormat="1" applyFont="1" applyFill="1" applyBorder="1"/>
    <x:xf numFmtId="0" fontId="8" fillId="6" borderId="4" xfId="0" applyNumberFormat="1" applyFont="1" applyFill="1" applyBorder="1" applyAlignment="1">
      <x:alignment wrapText="1"/>
    </x:xf>
    <x:xf numFmtId="0" fontId="8" fillId="6" borderId="5" xfId="0" applyNumberFormat="1" applyFont="1" applyFill="1" applyBorder="1" applyAlignment="1">
      <x:alignment wrapText="1"/>
    </x:xf>
    <x:xf numFmtId="0" fontId="8" fillId="6" borderId="6" xfId="0" applyNumberFormat="1" applyFont="1" applyFill="1" applyBorder="1" applyAlignment="1">
      <x:alignment wrapText="1"/>
    </x:xf>
    <x:xf numFmtId="0" fontId="8" fillId="6" borderId="4" xfId="0" applyNumberFormat="1" applyFont="1" applyFill="1" applyBorder="1" applyAlignment="1">
      <x:alignment horizontal="center" wrapText="1"/>
    </x:xf>
    <x:xf numFmtId="0" fontId="8" fillId="6" borderId="5" xfId="0" applyNumberFormat="1" applyFont="1" applyFill="1" applyBorder="1" applyAlignment="1">
      <x:alignment horizontal="center" wrapText="1"/>
    </x:xf>
    <x:xf numFmtId="0" fontId="8" fillId="6" borderId="6" xfId="0" applyNumberFormat="1" applyFont="1" applyFill="1" applyBorder="1" applyAlignment="1">
      <x:alignment horizontal="center" wrapText="1"/>
    </x:xf>
    <x:xf numFmtId="0" fontId="8" fillId="6" borderId="4" xfId="0" applyNumberFormat="1" applyFont="1" applyFill="1" applyBorder="1" applyAlignment="1">
      <x:alignment horizontal="center" vertical="center" wrapText="1"/>
    </x:xf>
    <x:xf numFmtId="0" fontId="8" fillId="6" borderId="5" xfId="0" applyNumberFormat="1" applyFont="1" applyFill="1" applyBorder="1" applyAlignment="1">
      <x:alignment horizontal="center" vertical="center" wrapText="1"/>
    </x:xf>
    <x:xf numFmtId="0" fontId="8" fillId="6" borderId="6" xfId="0" applyNumberFormat="1" applyFont="1" applyFill="1" applyBorder="1" applyAlignment="1">
      <x:alignment horizontal="center" vertical="center" wrapText="1"/>
    </x:xf>
    <x:xf numFmtId="0" fontId="0" fillId="6" borderId="2" xfId="0" applyNumberFormat="1" applyFont="1" applyFill="1" applyBorder="1"/>
    <x:xf numFmtId="0" fontId="8" fillId="6" borderId="2" xfId="0" applyNumberFormat="1" applyFont="1" applyFill="1" applyBorder="1"/>
    <x:xf numFmtId="0" fontId="8" fillId="6" borderId="7" xfId="0" applyNumberFormat="1" applyFont="1" applyFill="1" applyBorder="1"/>
    <x:xf numFmtId="0" fontId="8" fillId="6" borderId="8" xfId="0" applyNumberFormat="1" applyFont="1" applyFill="1" applyBorder="1"/>
    <x:xf numFmtId="0" fontId="8" fillId="6" borderId="9" xfId="0" applyNumberFormat="1" applyFont="1" applyFill="1" applyBorder="1"/>
    <x:xf numFmtId="0" fontId="8" fillId="6" borderId="7" xfId="0" applyNumberFormat="1" applyFont="1" applyFill="1" applyBorder="1" applyAlignment="1">
      <x:alignment wrapText="1"/>
    </x:xf>
    <x:xf numFmtId="0" fontId="8" fillId="6" borderId="8" xfId="0" applyNumberFormat="1" applyFont="1" applyFill="1" applyBorder="1" applyAlignment="1">
      <x:alignment wrapText="1"/>
    </x:xf>
    <x:xf numFmtId="0" fontId="8" fillId="6" borderId="9" xfId="0" applyNumberFormat="1" applyFont="1" applyFill="1" applyBorder="1" applyAlignment="1">
      <x:alignment wrapText="1"/>
    </x:xf>
    <x:xf numFmtId="0" fontId="8" fillId="6" borderId="7" xfId="0" applyNumberFormat="1" applyFont="1" applyFill="1" applyBorder="1" applyAlignment="1">
      <x:alignment horizontal="center" wrapText="1"/>
    </x:xf>
    <x:xf numFmtId="0" fontId="8" fillId="6" borderId="8" xfId="0" applyNumberFormat="1" applyFont="1" applyFill="1" applyBorder="1" applyAlignment="1">
      <x:alignment horizontal="center" wrapText="1"/>
    </x:xf>
    <x:xf numFmtId="0" fontId="8" fillId="6" borderId="9" xfId="0" applyNumberFormat="1" applyFont="1" applyFill="1" applyBorder="1" applyAlignment="1">
      <x:alignment horizontal="center" wrapText="1"/>
    </x:xf>
    <x:xf numFmtId="0" fontId="8" fillId="6" borderId="7" xfId="0" applyNumberFormat="1" applyFont="1" applyFill="1" applyBorder="1" applyAlignment="1">
      <x:alignment horizontal="center" vertical="center" wrapText="1"/>
    </x:xf>
    <x:xf numFmtId="0" fontId="8" fillId="6" borderId="8" xfId="0" applyNumberFormat="1" applyFont="1" applyFill="1" applyBorder="1" applyAlignment="1">
      <x:alignment horizontal="center" vertical="center" wrapText="1"/>
    </x:xf>
    <x:xf numFmtId="0" fontId="8" fillId="6" borderId="9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8" fillId="7" borderId="0" xfId="0" applyNumberFormat="1" applyFont="1" applyFill="1" applyBorder="1"/>
    <x:xf numFmtId="0" fontId="8" fillId="7" borderId="4" xfId="0" applyNumberFormat="1" applyFont="1" applyFill="1" applyBorder="1"/>
    <x:xf numFmtId="0" fontId="8" fillId="7" borderId="5" xfId="0" applyNumberFormat="1" applyFont="1" applyFill="1" applyBorder="1"/>
    <x:xf numFmtId="0" fontId="8" fillId="7" borderId="6" xfId="0" applyNumberFormat="1" applyFont="1" applyFill="1" applyBorder="1"/>
    <x:xf numFmtId="0" fontId="8" fillId="7" borderId="4" xfId="0" applyNumberFormat="1" applyFont="1" applyFill="1" applyBorder="1" applyAlignment="1">
      <x:alignment wrapText="1"/>
    </x:xf>
    <x:xf numFmtId="0" fontId="8" fillId="7" borderId="5" xfId="0" applyNumberFormat="1" applyFont="1" applyFill="1" applyBorder="1" applyAlignment="1">
      <x:alignment wrapText="1"/>
    </x:xf>
    <x:xf numFmtId="0" fontId="8" fillId="7" borderId="6" xfId="0" applyNumberFormat="1" applyFont="1" applyFill="1" applyBorder="1" applyAlignment="1">
      <x:alignment wrapText="1"/>
    </x:xf>
    <x:xf numFmtId="0" fontId="8" fillId="7" borderId="4" xfId="0" applyNumberFormat="1" applyFont="1" applyFill="1" applyBorder="1" applyAlignment="1">
      <x:alignment horizontal="center" wrapText="1"/>
    </x:xf>
    <x:xf numFmtId="0" fontId="8" fillId="7" borderId="5" xfId="0" applyNumberFormat="1" applyFont="1" applyFill="1" applyBorder="1" applyAlignment="1">
      <x:alignment horizontal="center" wrapText="1"/>
    </x:xf>
    <x:xf numFmtId="0" fontId="8" fillId="7" borderId="6" xfId="0" applyNumberFormat="1" applyFont="1" applyFill="1" applyBorder="1" applyAlignment="1">
      <x:alignment horizontal="center" wrapText="1"/>
    </x:xf>
    <x:xf numFmtId="0" fontId="8" fillId="7" borderId="4" xfId="0" applyNumberFormat="1" applyFont="1" applyFill="1" applyBorder="1" applyAlignment="1">
      <x:alignment horizontal="center" vertical="center" wrapText="1"/>
    </x:xf>
    <x:xf numFmtId="0" fontId="8" fillId="7" borderId="5" xfId="0" applyNumberFormat="1" applyFont="1" applyFill="1" applyBorder="1" applyAlignment="1">
      <x:alignment horizontal="center" vertical="center" wrapText="1"/>
    </x:xf>
    <x:xf numFmtId="0" fontId="8" fillId="7" borderId="6" xfId="0" applyNumberFormat="1" applyFont="1" applyFill="1" applyBorder="1" applyAlignment="1">
      <x:alignment horizontal="center" vertical="center" wrapText="1"/>
    </x:xf>
    <x:xf numFmtId="0" fontId="0" fillId="7" borderId="2" xfId="0" applyNumberFormat="1" applyFont="1" applyFill="1" applyBorder="1"/>
    <x:xf numFmtId="0" fontId="8" fillId="7" borderId="2" xfId="0" applyNumberFormat="1" applyFont="1" applyFill="1" applyBorder="1"/>
    <x:xf numFmtId="0" fontId="8" fillId="7" borderId="7" xfId="0" applyNumberFormat="1" applyFont="1" applyFill="1" applyBorder="1"/>
    <x:xf numFmtId="0" fontId="8" fillId="7" borderId="8" xfId="0" applyNumberFormat="1" applyFont="1" applyFill="1" applyBorder="1"/>
    <x:xf numFmtId="0" fontId="8" fillId="7" borderId="9" xfId="0" applyNumberFormat="1" applyFont="1" applyFill="1" applyBorder="1"/>
    <x:xf numFmtId="0" fontId="8" fillId="7" borderId="7" xfId="0" applyNumberFormat="1" applyFont="1" applyFill="1" applyBorder="1" applyAlignment="1">
      <x:alignment wrapText="1"/>
    </x:xf>
    <x:xf numFmtId="0" fontId="8" fillId="7" borderId="8" xfId="0" applyNumberFormat="1" applyFont="1" applyFill="1" applyBorder="1" applyAlignment="1">
      <x:alignment wrapText="1"/>
    </x:xf>
    <x:xf numFmtId="0" fontId="8" fillId="7" borderId="9" xfId="0" applyNumberFormat="1" applyFont="1" applyFill="1" applyBorder="1" applyAlignment="1">
      <x:alignment wrapText="1"/>
    </x:xf>
    <x:xf numFmtId="0" fontId="8" fillId="7" borderId="7" xfId="0" applyNumberFormat="1" applyFont="1" applyFill="1" applyBorder="1" applyAlignment="1">
      <x:alignment horizontal="center" wrapText="1"/>
    </x:xf>
    <x:xf numFmtId="0" fontId="8" fillId="7" borderId="8" xfId="0" applyNumberFormat="1" applyFont="1" applyFill="1" applyBorder="1" applyAlignment="1">
      <x:alignment horizontal="center" wrapText="1"/>
    </x:xf>
    <x:xf numFmtId="0" fontId="8" fillId="7" borderId="9" xfId="0" applyNumberFormat="1" applyFont="1" applyFill="1" applyBorder="1" applyAlignment="1">
      <x:alignment horizontal="center" wrapText="1"/>
    </x:xf>
    <x:xf numFmtId="0" fontId="8" fillId="7" borderId="7" xfId="0" applyNumberFormat="1" applyFont="1" applyFill="1" applyBorder="1" applyAlignment="1">
      <x:alignment horizontal="center" vertical="center" wrapText="1"/>
    </x:xf>
    <x:xf numFmtId="0" fontId="8" fillId="7" borderId="8" xfId="0" applyNumberFormat="1" applyFont="1" applyFill="1" applyBorder="1" applyAlignment="1">
      <x:alignment horizontal="center" vertical="center" wrapText="1"/>
    </x:xf>
    <x:xf numFmtId="0" fontId="8" fillId="7" borderId="9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8" fillId="8" borderId="0" xfId="0" applyNumberFormat="1" applyFont="1" applyFill="1" applyBorder="1"/>
    <x:xf numFmtId="0" fontId="8" fillId="8" borderId="4" xfId="0" applyNumberFormat="1" applyFont="1" applyFill="1" applyBorder="1"/>
    <x:xf numFmtId="0" fontId="8" fillId="8" borderId="5" xfId="0" applyNumberFormat="1" applyFont="1" applyFill="1" applyBorder="1"/>
    <x:xf numFmtId="0" fontId="8" fillId="8" borderId="6" xfId="0" applyNumberFormat="1" applyFont="1" applyFill="1" applyBorder="1"/>
    <x:xf numFmtId="0" fontId="8" fillId="8" borderId="4" xfId="0" applyNumberFormat="1" applyFont="1" applyFill="1" applyBorder="1" applyAlignment="1">
      <x:alignment wrapText="1"/>
    </x:xf>
    <x:xf numFmtId="0" fontId="8" fillId="8" borderId="5" xfId="0" applyNumberFormat="1" applyFont="1" applyFill="1" applyBorder="1" applyAlignment="1">
      <x:alignment wrapText="1"/>
    </x:xf>
    <x:xf numFmtId="0" fontId="8" fillId="8" borderId="6" xfId="0" applyNumberFormat="1" applyFont="1" applyFill="1" applyBorder="1" applyAlignment="1">
      <x:alignment wrapText="1"/>
    </x:xf>
    <x:xf numFmtId="0" fontId="8" fillId="8" borderId="4" xfId="0" applyNumberFormat="1" applyFont="1" applyFill="1" applyBorder="1" applyAlignment="1">
      <x:alignment horizontal="center" wrapText="1"/>
    </x:xf>
    <x:xf numFmtId="0" fontId="8" fillId="8" borderId="5" xfId="0" applyNumberFormat="1" applyFont="1" applyFill="1" applyBorder="1" applyAlignment="1">
      <x:alignment horizontal="center" wrapText="1"/>
    </x:xf>
    <x:xf numFmtId="0" fontId="8" fillId="8" borderId="6" xfId="0" applyNumberFormat="1" applyFont="1" applyFill="1" applyBorder="1" applyAlignment="1">
      <x:alignment horizontal="center" wrapText="1"/>
    </x:xf>
    <x:xf numFmtId="0" fontId="8" fillId="8" borderId="4" xfId="0" applyNumberFormat="1" applyFont="1" applyFill="1" applyBorder="1" applyAlignment="1">
      <x:alignment horizontal="center" vertical="center" wrapText="1"/>
    </x:xf>
    <x:xf numFmtId="0" fontId="8" fillId="8" borderId="5" xfId="0" applyNumberFormat="1" applyFont="1" applyFill="1" applyBorder="1" applyAlignment="1">
      <x:alignment horizontal="center" vertical="center" wrapText="1"/>
    </x:xf>
    <x:xf numFmtId="0" fontId="8" fillId="8" borderId="6" xfId="0" applyNumberFormat="1" applyFont="1" applyFill="1" applyBorder="1" applyAlignment="1">
      <x:alignment horizontal="center" vertical="center" wrapText="1"/>
    </x:xf>
    <x:xf numFmtId="0" fontId="0" fillId="8" borderId="2" xfId="0" applyNumberFormat="1" applyFont="1" applyFill="1" applyBorder="1"/>
    <x:xf numFmtId="0" fontId="8" fillId="8" borderId="2" xfId="0" applyNumberFormat="1" applyFont="1" applyFill="1" applyBorder="1"/>
    <x:xf numFmtId="0" fontId="8" fillId="8" borderId="7" xfId="0" applyNumberFormat="1" applyFont="1" applyFill="1" applyBorder="1"/>
    <x:xf numFmtId="0" fontId="8" fillId="8" borderId="8" xfId="0" applyNumberFormat="1" applyFont="1" applyFill="1" applyBorder="1"/>
    <x:xf numFmtId="0" fontId="8" fillId="8" borderId="9" xfId="0" applyNumberFormat="1" applyFont="1" applyFill="1" applyBorder="1"/>
    <x:xf numFmtId="0" fontId="8" fillId="8" borderId="7" xfId="0" applyNumberFormat="1" applyFont="1" applyFill="1" applyBorder="1" applyAlignment="1">
      <x:alignment wrapText="1"/>
    </x:xf>
    <x:xf numFmtId="0" fontId="8" fillId="8" borderId="8" xfId="0" applyNumberFormat="1" applyFont="1" applyFill="1" applyBorder="1" applyAlignment="1">
      <x:alignment wrapText="1"/>
    </x:xf>
    <x:xf numFmtId="0" fontId="8" fillId="8" borderId="9" xfId="0" applyNumberFormat="1" applyFont="1" applyFill="1" applyBorder="1" applyAlignment="1">
      <x:alignment wrapText="1"/>
    </x:xf>
    <x:xf numFmtId="0" fontId="8" fillId="8" borderId="7" xfId="0" applyNumberFormat="1" applyFont="1" applyFill="1" applyBorder="1" applyAlignment="1">
      <x:alignment horizontal="center" wrapText="1"/>
    </x:xf>
    <x:xf numFmtId="0" fontId="8" fillId="8" borderId="8" xfId="0" applyNumberFormat="1" applyFont="1" applyFill="1" applyBorder="1" applyAlignment="1">
      <x:alignment horizontal="center" wrapText="1"/>
    </x:xf>
    <x:xf numFmtId="0" fontId="8" fillId="8" borderId="9" xfId="0" applyNumberFormat="1" applyFont="1" applyFill="1" applyBorder="1" applyAlignment="1">
      <x:alignment horizontal="center" wrapText="1"/>
    </x:xf>
    <x:xf numFmtId="0" fontId="8" fillId="8" borderId="7" xfId="0" applyNumberFormat="1" applyFont="1" applyFill="1" applyBorder="1" applyAlignment="1">
      <x:alignment horizontal="center" vertical="center" wrapText="1"/>
    </x:xf>
    <x:xf numFmtId="0" fontId="8" fillId="8" borderId="8" xfId="0" applyNumberFormat="1" applyFont="1" applyFill="1" applyBorder="1" applyAlignment="1">
      <x:alignment horizontal="center" vertical="center" wrapText="1"/>
    </x:xf>
    <x:xf numFmtId="0" fontId="8" fillId="8" borderId="9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8" fillId="9" borderId="0" xfId="0" applyNumberFormat="1" applyFont="1" applyFill="1" applyBorder="1"/>
    <x:xf numFmtId="0" fontId="8" fillId="9" borderId="4" xfId="0" applyNumberFormat="1" applyFont="1" applyFill="1" applyBorder="1"/>
    <x:xf numFmtId="0" fontId="8" fillId="9" borderId="5" xfId="0" applyNumberFormat="1" applyFont="1" applyFill="1" applyBorder="1"/>
    <x:xf numFmtId="0" fontId="8" fillId="9" borderId="6" xfId="0" applyNumberFormat="1" applyFont="1" applyFill="1" applyBorder="1"/>
    <x:xf numFmtId="0" fontId="8" fillId="9" borderId="4" xfId="0" applyNumberFormat="1" applyFont="1" applyFill="1" applyBorder="1" applyAlignment="1">
      <x:alignment wrapText="1"/>
    </x:xf>
    <x:xf numFmtId="0" fontId="8" fillId="9" borderId="5" xfId="0" applyNumberFormat="1" applyFont="1" applyFill="1" applyBorder="1" applyAlignment="1">
      <x:alignment wrapText="1"/>
    </x:xf>
    <x:xf numFmtId="0" fontId="8" fillId="9" borderId="6" xfId="0" applyNumberFormat="1" applyFont="1" applyFill="1" applyBorder="1" applyAlignment="1">
      <x:alignment wrapText="1"/>
    </x:xf>
    <x:xf numFmtId="0" fontId="8" fillId="9" borderId="4" xfId="0" applyNumberFormat="1" applyFont="1" applyFill="1" applyBorder="1" applyAlignment="1">
      <x:alignment horizontal="center" wrapText="1"/>
    </x:xf>
    <x:xf numFmtId="0" fontId="8" fillId="9" borderId="5" xfId="0" applyNumberFormat="1" applyFont="1" applyFill="1" applyBorder="1" applyAlignment="1">
      <x:alignment horizontal="center" wrapText="1"/>
    </x:xf>
    <x:xf numFmtId="0" fontId="8" fillId="9" borderId="6" xfId="0" applyNumberFormat="1" applyFont="1" applyFill="1" applyBorder="1" applyAlignment="1">
      <x:alignment horizontal="center" wrapText="1"/>
    </x:xf>
    <x:xf numFmtId="0" fontId="8" fillId="9" borderId="4" xfId="0" applyNumberFormat="1" applyFont="1" applyFill="1" applyBorder="1" applyAlignment="1">
      <x:alignment horizontal="center" vertical="center" wrapText="1"/>
    </x:xf>
    <x:xf numFmtId="0" fontId="8" fillId="9" borderId="5" xfId="0" applyNumberFormat="1" applyFont="1" applyFill="1" applyBorder="1" applyAlignment="1">
      <x:alignment horizontal="center" vertical="center" wrapText="1"/>
    </x:xf>
    <x:xf numFmtId="0" fontId="8" fillId="9" borderId="6" xfId="0" applyNumberFormat="1" applyFont="1" applyFill="1" applyBorder="1" applyAlignment="1">
      <x:alignment horizontal="center" vertical="center" wrapText="1"/>
    </x:xf>
    <x:xf numFmtId="0" fontId="0" fillId="9" borderId="2" xfId="0" applyNumberFormat="1" applyFont="1" applyFill="1" applyBorder="1"/>
    <x:xf numFmtId="0" fontId="8" fillId="9" borderId="2" xfId="0" applyNumberFormat="1" applyFont="1" applyFill="1" applyBorder="1"/>
    <x:xf numFmtId="0" fontId="8" fillId="9" borderId="7" xfId="0" applyNumberFormat="1" applyFont="1" applyFill="1" applyBorder="1"/>
    <x:xf numFmtId="0" fontId="8" fillId="9" borderId="8" xfId="0" applyNumberFormat="1" applyFont="1" applyFill="1" applyBorder="1"/>
    <x:xf numFmtId="0" fontId="8" fillId="9" borderId="9" xfId="0" applyNumberFormat="1" applyFont="1" applyFill="1" applyBorder="1"/>
    <x:xf numFmtId="0" fontId="8" fillId="9" borderId="7" xfId="0" applyNumberFormat="1" applyFont="1" applyFill="1" applyBorder="1" applyAlignment="1">
      <x:alignment wrapText="1"/>
    </x:xf>
    <x:xf numFmtId="0" fontId="8" fillId="9" borderId="8" xfId="0" applyNumberFormat="1" applyFont="1" applyFill="1" applyBorder="1" applyAlignment="1">
      <x:alignment wrapText="1"/>
    </x:xf>
    <x:xf numFmtId="0" fontId="8" fillId="9" borderId="9" xfId="0" applyNumberFormat="1" applyFont="1" applyFill="1" applyBorder="1" applyAlignment="1">
      <x:alignment wrapText="1"/>
    </x:xf>
    <x:xf numFmtId="0" fontId="8" fillId="9" borderId="7" xfId="0" applyNumberFormat="1" applyFont="1" applyFill="1" applyBorder="1" applyAlignment="1">
      <x:alignment horizontal="center" wrapText="1"/>
    </x:xf>
    <x:xf numFmtId="0" fontId="8" fillId="9" borderId="8" xfId="0" applyNumberFormat="1" applyFont="1" applyFill="1" applyBorder="1" applyAlignment="1">
      <x:alignment horizontal="center" wrapText="1"/>
    </x:xf>
    <x:xf numFmtId="0" fontId="8" fillId="9" borderId="9" xfId="0" applyNumberFormat="1" applyFont="1" applyFill="1" applyBorder="1" applyAlignment="1">
      <x:alignment horizontal="center" wrapText="1"/>
    </x:xf>
    <x:xf numFmtId="0" fontId="8" fillId="9" borderId="7" xfId="0" applyNumberFormat="1" applyFont="1" applyFill="1" applyBorder="1" applyAlignment="1">
      <x:alignment horizontal="center" vertical="center" wrapText="1"/>
    </x:xf>
    <x:xf numFmtId="0" fontId="8" fillId="9" borderId="8" xfId="0" applyNumberFormat="1" applyFont="1" applyFill="1" applyBorder="1" applyAlignment="1">
      <x:alignment horizontal="center" vertical="center" wrapText="1"/>
    </x:xf>
    <x:xf numFmtId="0" fontId="8" fillId="9" borderId="9" xfId="0" applyNumberFormat="1" applyFont="1" applyFill="1" applyBorder="1" applyAlignment="1">
      <x:alignment horizontal="center" vertical="center" wrapText="1"/>
    </x:xf>
    <x:xf numFmtId="0" fontId="0" fillId="10" borderId="0" xfId="0" applyNumberFormat="1" applyFont="1" applyFill="1" applyBorder="1"/>
    <x:xf numFmtId="0" fontId="8" fillId="10" borderId="0" xfId="0" applyNumberFormat="1" applyFont="1" applyFill="1" applyBorder="1"/>
    <x:xf numFmtId="0" fontId="8" fillId="10" borderId="4" xfId="0" applyNumberFormat="1" applyFont="1" applyFill="1" applyBorder="1"/>
    <x:xf numFmtId="0" fontId="8" fillId="10" borderId="5" xfId="0" applyNumberFormat="1" applyFont="1" applyFill="1" applyBorder="1"/>
    <x:xf numFmtId="0" fontId="8" fillId="10" borderId="6" xfId="0" applyNumberFormat="1" applyFont="1" applyFill="1" applyBorder="1"/>
    <x:xf numFmtId="0" fontId="8" fillId="10" borderId="4" xfId="0" applyNumberFormat="1" applyFont="1" applyFill="1" applyBorder="1" applyAlignment="1">
      <x:alignment wrapText="1"/>
    </x:xf>
    <x:xf numFmtId="0" fontId="8" fillId="10" borderId="5" xfId="0" applyNumberFormat="1" applyFont="1" applyFill="1" applyBorder="1" applyAlignment="1">
      <x:alignment wrapText="1"/>
    </x:xf>
    <x:xf numFmtId="0" fontId="8" fillId="10" borderId="6" xfId="0" applyNumberFormat="1" applyFont="1" applyFill="1" applyBorder="1" applyAlignment="1">
      <x:alignment wrapText="1"/>
    </x:xf>
    <x:xf numFmtId="0" fontId="8" fillId="10" borderId="4" xfId="0" applyNumberFormat="1" applyFont="1" applyFill="1" applyBorder="1" applyAlignment="1">
      <x:alignment horizontal="center" wrapText="1"/>
    </x:xf>
    <x:xf numFmtId="0" fontId="8" fillId="10" borderId="5" xfId="0" applyNumberFormat="1" applyFont="1" applyFill="1" applyBorder="1" applyAlignment="1">
      <x:alignment horizontal="center" wrapText="1"/>
    </x:xf>
    <x:xf numFmtId="0" fontId="8" fillId="10" borderId="6" xfId="0" applyNumberFormat="1" applyFont="1" applyFill="1" applyBorder="1" applyAlignment="1">
      <x:alignment horizontal="center" wrapText="1"/>
    </x:xf>
    <x:xf numFmtId="0" fontId="8" fillId="10" borderId="4" xfId="0" applyNumberFormat="1" applyFont="1" applyFill="1" applyBorder="1" applyAlignment="1">
      <x:alignment horizontal="center" vertical="center" wrapText="1"/>
    </x:xf>
    <x:xf numFmtId="0" fontId="8" fillId="10" borderId="5" xfId="0" applyNumberFormat="1" applyFont="1" applyFill="1" applyBorder="1" applyAlignment="1">
      <x:alignment horizontal="center" vertical="center" wrapText="1"/>
    </x:xf>
    <x:xf numFmtId="0" fontId="8" fillId="10" borderId="6" xfId="0" applyNumberFormat="1" applyFont="1" applyFill="1" applyBorder="1" applyAlignment="1">
      <x:alignment horizontal="center" vertical="center" wrapText="1"/>
    </x:xf>
    <x:xf numFmtId="0" fontId="0" fillId="10" borderId="2" xfId="0" applyNumberFormat="1" applyFont="1" applyFill="1" applyBorder="1"/>
    <x:xf numFmtId="0" fontId="8" fillId="10" borderId="2" xfId="0" applyNumberFormat="1" applyFont="1" applyFill="1" applyBorder="1"/>
    <x:xf numFmtId="0" fontId="8" fillId="10" borderId="7" xfId="0" applyNumberFormat="1" applyFont="1" applyFill="1" applyBorder="1"/>
    <x:xf numFmtId="0" fontId="8" fillId="10" borderId="8" xfId="0" applyNumberFormat="1" applyFont="1" applyFill="1" applyBorder="1"/>
    <x:xf numFmtId="0" fontId="8" fillId="10" borderId="9" xfId="0" applyNumberFormat="1" applyFont="1" applyFill="1" applyBorder="1"/>
    <x:xf numFmtId="0" fontId="8" fillId="10" borderId="7" xfId="0" applyNumberFormat="1" applyFont="1" applyFill="1" applyBorder="1" applyAlignment="1">
      <x:alignment wrapText="1"/>
    </x:xf>
    <x:xf numFmtId="0" fontId="8" fillId="10" borderId="8" xfId="0" applyNumberFormat="1" applyFont="1" applyFill="1" applyBorder="1" applyAlignment="1">
      <x:alignment wrapText="1"/>
    </x:xf>
    <x:xf numFmtId="0" fontId="8" fillId="10" borderId="9" xfId="0" applyNumberFormat="1" applyFont="1" applyFill="1" applyBorder="1" applyAlignment="1">
      <x:alignment wrapText="1"/>
    </x:xf>
    <x:xf numFmtId="0" fontId="8" fillId="10" borderId="7" xfId="0" applyNumberFormat="1" applyFont="1" applyFill="1" applyBorder="1" applyAlignment="1">
      <x:alignment horizontal="center" wrapText="1"/>
    </x:xf>
    <x:xf numFmtId="0" fontId="8" fillId="10" borderId="8" xfId="0" applyNumberFormat="1" applyFont="1" applyFill="1" applyBorder="1" applyAlignment="1">
      <x:alignment horizontal="center" wrapText="1"/>
    </x:xf>
    <x:xf numFmtId="0" fontId="8" fillId="10" borderId="9" xfId="0" applyNumberFormat="1" applyFont="1" applyFill="1" applyBorder="1" applyAlignment="1">
      <x:alignment horizontal="center" wrapText="1"/>
    </x:xf>
    <x:xf numFmtId="0" fontId="8" fillId="10" borderId="7" xfId="0" applyNumberFormat="1" applyFont="1" applyFill="1" applyBorder="1" applyAlignment="1">
      <x:alignment horizontal="center" vertical="center" wrapText="1"/>
    </x:xf>
    <x:xf numFmtId="0" fontId="8" fillId="10" borderId="8" xfId="0" applyNumberFormat="1" applyFont="1" applyFill="1" applyBorder="1" applyAlignment="1">
      <x:alignment horizontal="center" vertical="center" wrapText="1"/>
    </x:xf>
    <x:xf numFmtId="0" fontId="8" fillId="10" borderId="9" xfId="0" applyNumberFormat="1" applyFont="1" applyFill="1" applyBorder="1" applyAlignment="1">
      <x:alignment horizontal="center" vertical="center" wrapText="1"/>
    </x:xf>
    <x:xf numFmtId="0" fontId="0" fillId="11" borderId="0" xfId="0" applyNumberFormat="1" applyFont="1" applyFill="1" applyBorder="1"/>
    <x:xf numFmtId="0" fontId="9" fillId="11" borderId="0" xfId="0" applyNumberFormat="1" applyFont="1" applyFill="1" applyBorder="1"/>
    <x:xf numFmtId="0" fontId="9" fillId="11" borderId="10" xfId="0" applyNumberFormat="1" applyFont="1" applyFill="1" applyBorder="1"/>
    <x:xf numFmtId="0" fontId="9" fillId="11" borderId="11" xfId="0" applyNumberFormat="1" applyFont="1" applyFill="1" applyBorder="1"/>
    <x:xf numFmtId="0" fontId="9" fillId="11" borderId="12" xfId="0" applyNumberFormat="1" applyFont="1" applyFill="1" applyBorder="1"/>
    <x:xf numFmtId="0" fontId="9" fillId="11" borderId="10" xfId="0" applyNumberFormat="1" applyFont="1" applyFill="1" applyBorder="1" applyAlignment="1">
      <x:alignment horizontal="center"/>
    </x:xf>
    <x:xf numFmtId="0" fontId="9" fillId="11" borderId="11" xfId="0" applyNumberFormat="1" applyFont="1" applyFill="1" applyBorder="1" applyAlignment="1">
      <x:alignment horizontal="center"/>
    </x:xf>
    <x:xf numFmtId="0" fontId="9" fillId="11" borderId="12" xfId="0" applyNumberFormat="1" applyFont="1" applyFill="1" applyBorder="1" applyAlignment="1">
      <x:alignment horizontal="center"/>
    </x:xf>
    <x:xf numFmtId="0" fontId="9" fillId="11" borderId="10" xfId="0" applyNumberFormat="1" applyFont="1" applyFill="1" applyBorder="1" applyAlignment="1">
      <x:alignment horizontal="center" vertical="center"/>
    </x:xf>
    <x:xf numFmtId="0" fontId="9" fillId="11" borderId="11" xfId="0" applyNumberFormat="1" applyFont="1" applyFill="1" applyBorder="1" applyAlignment="1">
      <x:alignment horizontal="center" vertical="center"/>
    </x:xf>
    <x:xf numFmtId="0" fontId="9" fillId="11" borderId="12" xfId="0" applyNumberFormat="1" applyFont="1" applyFill="1" applyBorder="1" applyAlignment="1">
      <x:alignment horizontal="center" vertical="center"/>
    </x:xf>
    <x:xf numFmtId="0" fontId="0" fillId="11" borderId="2" xfId="0" applyNumberFormat="1" applyFont="1" applyFill="1" applyBorder="1"/>
    <x:xf numFmtId="0" fontId="9" fillId="11" borderId="2" xfId="0" applyNumberFormat="1" applyFont="1" applyFill="1" applyBorder="1"/>
    <x:xf numFmtId="0" fontId="9" fillId="11" borderId="13" xfId="0" applyNumberFormat="1" applyFont="1" applyFill="1" applyBorder="1"/>
    <x:xf numFmtId="0" fontId="9" fillId="11" borderId="14" xfId="0" applyNumberFormat="1" applyFont="1" applyFill="1" applyBorder="1"/>
    <x:xf numFmtId="0" fontId="9" fillId="11" borderId="15" xfId="0" applyNumberFormat="1" applyFont="1" applyFill="1" applyBorder="1"/>
    <x:xf numFmtId="0" fontId="9" fillId="11" borderId="13" xfId="0" applyNumberFormat="1" applyFont="1" applyFill="1" applyBorder="1" applyAlignment="1">
      <x:alignment horizontal="center"/>
    </x:xf>
    <x:xf numFmtId="0" fontId="9" fillId="11" borderId="14" xfId="0" applyNumberFormat="1" applyFont="1" applyFill="1" applyBorder="1" applyAlignment="1">
      <x:alignment horizontal="center"/>
    </x:xf>
    <x:xf numFmtId="0" fontId="9" fillId="11" borderId="15" xfId="0" applyNumberFormat="1" applyFont="1" applyFill="1" applyBorder="1" applyAlignment="1">
      <x:alignment horizontal="center"/>
    </x:xf>
    <x:xf numFmtId="0" fontId="9" fillId="11" borderId="13" xfId="0" applyNumberFormat="1" applyFont="1" applyFill="1" applyBorder="1" applyAlignment="1">
      <x:alignment horizontal="center" vertical="center"/>
    </x:xf>
    <x:xf numFmtId="0" fontId="9" fillId="11" borderId="14" xfId="0" applyNumberFormat="1" applyFont="1" applyFill="1" applyBorder="1" applyAlignment="1">
      <x:alignment horizontal="center" vertical="center"/>
    </x:xf>
    <x:xf numFmtId="0" fontId="9" fillId="11" borderId="15" xfId="0" applyNumberFormat="1" applyFont="1" applyFill="1" applyBorder="1" applyAlignment="1">
      <x:alignment horizontal="center" vertical="center"/>
    </x:xf>
    <x:xf numFmtId="0" fontId="0" fillId="12" borderId="0" xfId="0" applyNumberFormat="1" applyFont="1" applyFill="1" applyBorder="1"/>
    <x:xf numFmtId="0" fontId="9" fillId="12" borderId="0" xfId="0" applyNumberFormat="1" applyFont="1" applyFill="1" applyBorder="1"/>
    <x:xf numFmtId="0" fontId="9" fillId="12" borderId="10" xfId="0" applyNumberFormat="1" applyFont="1" applyFill="1" applyBorder="1"/>
    <x:xf numFmtId="0" fontId="9" fillId="12" borderId="11" xfId="0" applyNumberFormat="1" applyFont="1" applyFill="1" applyBorder="1"/>
    <x:xf numFmtId="0" fontId="9" fillId="12" borderId="12" xfId="0" applyNumberFormat="1" applyFont="1" applyFill="1" applyBorder="1"/>
    <x:xf numFmtId="0" fontId="9" fillId="12" borderId="10" xfId="0" applyNumberFormat="1" applyFont="1" applyFill="1" applyBorder="1" applyAlignment="1">
      <x:alignment horizontal="center"/>
    </x:xf>
    <x:xf numFmtId="0" fontId="9" fillId="12" borderId="11" xfId="0" applyNumberFormat="1" applyFont="1" applyFill="1" applyBorder="1" applyAlignment="1">
      <x:alignment horizontal="center"/>
    </x:xf>
    <x:xf numFmtId="0" fontId="9" fillId="12" borderId="12" xfId="0" applyNumberFormat="1" applyFont="1" applyFill="1" applyBorder="1" applyAlignment="1">
      <x:alignment horizontal="center"/>
    </x:xf>
    <x:xf numFmtId="0" fontId="9" fillId="12" borderId="10" xfId="0" applyNumberFormat="1" applyFont="1" applyFill="1" applyBorder="1" applyAlignment="1">
      <x:alignment horizontal="center" vertical="center"/>
    </x:xf>
    <x:xf numFmtId="0" fontId="9" fillId="12" borderId="11" xfId="0" applyNumberFormat="1" applyFont="1" applyFill="1" applyBorder="1" applyAlignment="1">
      <x:alignment horizontal="center" vertical="center"/>
    </x:xf>
    <x:xf numFmtId="0" fontId="9" fillId="12" borderId="12" xfId="0" applyNumberFormat="1" applyFont="1" applyFill="1" applyBorder="1" applyAlignment="1">
      <x:alignment horizontal="center" vertical="center"/>
    </x:xf>
    <x:xf numFmtId="0" fontId="0" fillId="12" borderId="2" xfId="0" applyNumberFormat="1" applyFont="1" applyFill="1" applyBorder="1"/>
    <x:xf numFmtId="0" fontId="9" fillId="12" borderId="2" xfId="0" applyNumberFormat="1" applyFont="1" applyFill="1" applyBorder="1"/>
    <x:xf numFmtId="0" fontId="9" fillId="12" borderId="13" xfId="0" applyNumberFormat="1" applyFont="1" applyFill="1" applyBorder="1"/>
    <x:xf numFmtId="0" fontId="9" fillId="12" borderId="14" xfId="0" applyNumberFormat="1" applyFont="1" applyFill="1" applyBorder="1"/>
    <x:xf numFmtId="0" fontId="9" fillId="12" borderId="15" xfId="0" applyNumberFormat="1" applyFont="1" applyFill="1" applyBorder="1"/>
    <x:xf numFmtId="0" fontId="9" fillId="12" borderId="13" xfId="0" applyNumberFormat="1" applyFont="1" applyFill="1" applyBorder="1" applyAlignment="1">
      <x:alignment horizontal="center"/>
    </x:xf>
    <x:xf numFmtId="0" fontId="9" fillId="12" borderId="14" xfId="0" applyNumberFormat="1" applyFont="1" applyFill="1" applyBorder="1" applyAlignment="1">
      <x:alignment horizontal="center"/>
    </x:xf>
    <x:xf numFmtId="0" fontId="9" fillId="12" borderId="15" xfId="0" applyNumberFormat="1" applyFont="1" applyFill="1" applyBorder="1" applyAlignment="1">
      <x:alignment horizontal="center"/>
    </x:xf>
    <x:xf numFmtId="0" fontId="9" fillId="12" borderId="13" xfId="0" applyNumberFormat="1" applyFont="1" applyFill="1" applyBorder="1" applyAlignment="1">
      <x:alignment horizontal="center" vertical="center"/>
    </x:xf>
    <x:xf numFmtId="0" fontId="9" fillId="12" borderId="14" xfId="0" applyNumberFormat="1" applyFont="1" applyFill="1" applyBorder="1" applyAlignment="1">
      <x:alignment horizontal="center" vertical="center"/>
    </x:xf>
    <x:xf numFmtId="0" fontId="9" fillId="12" borderId="15" xfId="0" applyNumberFormat="1" applyFont="1" applyFill="1" applyBorder="1" applyAlignment="1">
      <x:alignment horizontal="center" vertical="center"/>
    </x:xf>
    <x:xf numFmtId="0" fontId="0" fillId="13" borderId="0" xfId="0" applyNumberFormat="1" applyFont="1" applyFill="1" applyBorder="1"/>
    <x:xf numFmtId="0" fontId="9" fillId="13" borderId="0" xfId="0" applyNumberFormat="1" applyFont="1" applyFill="1" applyBorder="1"/>
    <x:xf numFmtId="0" fontId="9" fillId="13" borderId="10" xfId="0" applyNumberFormat="1" applyFont="1" applyFill="1" applyBorder="1"/>
    <x:xf numFmtId="0" fontId="9" fillId="13" borderId="11" xfId="0" applyNumberFormat="1" applyFont="1" applyFill="1" applyBorder="1"/>
    <x:xf numFmtId="0" fontId="9" fillId="13" borderId="12" xfId="0" applyNumberFormat="1" applyFont="1" applyFill="1" applyBorder="1"/>
    <x:xf numFmtId="0" fontId="9" fillId="13" borderId="10" xfId="0" applyNumberFormat="1" applyFont="1" applyFill="1" applyBorder="1" applyAlignment="1">
      <x:alignment horizontal="center"/>
    </x:xf>
    <x:xf numFmtId="0" fontId="9" fillId="13" borderId="11" xfId="0" applyNumberFormat="1" applyFont="1" applyFill="1" applyBorder="1" applyAlignment="1">
      <x:alignment horizontal="center"/>
    </x:xf>
    <x:xf numFmtId="0" fontId="9" fillId="13" borderId="12" xfId="0" applyNumberFormat="1" applyFont="1" applyFill="1" applyBorder="1" applyAlignment="1">
      <x:alignment horizontal="center"/>
    </x:xf>
    <x:xf numFmtId="0" fontId="9" fillId="13" borderId="10" xfId="0" applyNumberFormat="1" applyFont="1" applyFill="1" applyBorder="1" applyAlignment="1">
      <x:alignment horizontal="center" vertical="center"/>
    </x:xf>
    <x:xf numFmtId="0" fontId="9" fillId="13" borderId="11" xfId="0" applyNumberFormat="1" applyFont="1" applyFill="1" applyBorder="1" applyAlignment="1">
      <x:alignment horizontal="center" vertical="center"/>
    </x:xf>
    <x:xf numFmtId="0" fontId="9" fillId="13" borderId="12" xfId="0" applyNumberFormat="1" applyFont="1" applyFill="1" applyBorder="1" applyAlignment="1">
      <x:alignment horizontal="center" vertical="center"/>
    </x:xf>
    <x:xf numFmtId="0" fontId="0" fillId="13" borderId="2" xfId="0" applyNumberFormat="1" applyFont="1" applyFill="1" applyBorder="1"/>
    <x:xf numFmtId="0" fontId="9" fillId="13" borderId="2" xfId="0" applyNumberFormat="1" applyFont="1" applyFill="1" applyBorder="1"/>
    <x:xf numFmtId="0" fontId="9" fillId="13" borderId="13" xfId="0" applyNumberFormat="1" applyFont="1" applyFill="1" applyBorder="1"/>
    <x:xf numFmtId="0" fontId="9" fillId="13" borderId="14" xfId="0" applyNumberFormat="1" applyFont="1" applyFill="1" applyBorder="1"/>
    <x:xf numFmtId="0" fontId="9" fillId="13" borderId="15" xfId="0" applyNumberFormat="1" applyFont="1" applyFill="1" applyBorder="1"/>
    <x:xf numFmtId="0" fontId="9" fillId="13" borderId="13" xfId="0" applyNumberFormat="1" applyFont="1" applyFill="1" applyBorder="1" applyAlignment="1">
      <x:alignment horizontal="center"/>
    </x:xf>
    <x:xf numFmtId="0" fontId="9" fillId="13" borderId="14" xfId="0" applyNumberFormat="1" applyFont="1" applyFill="1" applyBorder="1" applyAlignment="1">
      <x:alignment horizontal="center"/>
    </x:xf>
    <x:xf numFmtId="0" fontId="9" fillId="13" borderId="15" xfId="0" applyNumberFormat="1" applyFont="1" applyFill="1" applyBorder="1" applyAlignment="1">
      <x:alignment horizontal="center"/>
    </x:xf>
    <x:xf numFmtId="0" fontId="9" fillId="13" borderId="13" xfId="0" applyNumberFormat="1" applyFont="1" applyFill="1" applyBorder="1" applyAlignment="1">
      <x:alignment horizontal="center" vertical="center"/>
    </x:xf>
    <x:xf numFmtId="0" fontId="9" fillId="13" borderId="14" xfId="0" applyNumberFormat="1" applyFont="1" applyFill="1" applyBorder="1" applyAlignment="1">
      <x:alignment horizontal="center" vertical="center"/>
    </x:xf>
    <x:xf numFmtId="0" fontId="9" fillId="13" borderId="15" xfId="0" applyNumberFormat="1" applyFont="1" applyFill="1" applyBorder="1" applyAlignment="1">
      <x:alignment horizontal="center" vertical="center"/>
    </x:xf>
    <x:xf numFmtId="0" fontId="10" fillId="5" borderId="0" xfId="0" applyNumberFormat="1" applyFont="1" applyFill="1" applyBorder="1"/>
    <x:xf numFmtId="0" fontId="10" fillId="5" borderId="10" xfId="0" applyNumberFormat="1" applyFont="1" applyFill="1" applyBorder="1"/>
    <x:xf numFmtId="0" fontId="10" fillId="5" borderId="11" xfId="0" applyNumberFormat="1" applyFont="1" applyFill="1" applyBorder="1"/>
    <x:xf numFmtId="0" fontId="10" fillId="5" borderId="12" xfId="0" applyNumberFormat="1" applyFont="1" applyFill="1" applyBorder="1"/>
    <x:xf numFmtId="0" fontId="10" fillId="5" borderId="10" xfId="0" applyNumberFormat="1" applyFont="1" applyFill="1" applyBorder="1" applyAlignment="1">
      <x:alignment wrapText="1"/>
    </x:xf>
    <x:xf numFmtId="0" fontId="10" fillId="5" borderId="11" xfId="0" applyNumberFormat="1" applyFont="1" applyFill="1" applyBorder="1" applyAlignment="1">
      <x:alignment wrapText="1"/>
    </x:xf>
    <x:xf numFmtId="0" fontId="10" fillId="5" borderId="12" xfId="0" applyNumberFormat="1" applyFont="1" applyFill="1" applyBorder="1" applyAlignment="1">
      <x:alignment wrapText="1"/>
    </x:xf>
    <x:xf numFmtId="0" fontId="10" fillId="5" borderId="10" xfId="0" applyNumberFormat="1" applyFont="1" applyFill="1" applyBorder="1" applyAlignment="1">
      <x:alignment horizontal="center" wrapText="1"/>
    </x:xf>
    <x:xf numFmtId="0" fontId="10" fillId="5" borderId="11" xfId="0" applyNumberFormat="1" applyFont="1" applyFill="1" applyBorder="1" applyAlignment="1">
      <x:alignment horizontal="center" wrapText="1"/>
    </x:xf>
    <x:xf numFmtId="0" fontId="10" fillId="5" borderId="12" xfId="0" applyNumberFormat="1" applyFont="1" applyFill="1" applyBorder="1" applyAlignment="1">
      <x:alignment horizontal="center" wrapText="1"/>
    </x:xf>
    <x:xf numFmtId="0" fontId="10" fillId="5" borderId="10" xfId="0" applyNumberFormat="1" applyFont="1" applyFill="1" applyBorder="1" applyAlignment="1">
      <x:alignment horizontal="center" vertical="center" wrapText="1"/>
    </x:xf>
    <x:xf numFmtId="0" fontId="10" fillId="5" borderId="11" xfId="0" applyNumberFormat="1" applyFont="1" applyFill="1" applyBorder="1" applyAlignment="1">
      <x:alignment horizontal="center" vertical="center" wrapText="1"/>
    </x:xf>
    <x:xf numFmtId="0" fontId="10" fillId="5" borderId="12" xfId="0" applyNumberFormat="1" applyFont="1" applyFill="1" applyBorder="1" applyAlignment="1">
      <x:alignment horizontal="center" vertical="center" wrapText="1"/>
    </x:xf>
    <x:xf numFmtId="0" fontId="10" fillId="5" borderId="2" xfId="0" applyNumberFormat="1" applyFont="1" applyFill="1" applyBorder="1"/>
    <x:xf numFmtId="0" fontId="10" fillId="5" borderId="13" xfId="0" applyNumberFormat="1" applyFont="1" applyFill="1" applyBorder="1"/>
    <x:xf numFmtId="0" fontId="10" fillId="5" borderId="14" xfId="0" applyNumberFormat="1" applyFont="1" applyFill="1" applyBorder="1"/>
    <x:xf numFmtId="0" fontId="10" fillId="5" borderId="15" xfId="0" applyNumberFormat="1" applyFont="1" applyFill="1" applyBorder="1"/>
    <x:xf numFmtId="0" fontId="10" fillId="5" borderId="13" xfId="0" applyNumberFormat="1" applyFont="1" applyFill="1" applyBorder="1" applyAlignment="1">
      <x:alignment wrapText="1"/>
    </x:xf>
    <x:xf numFmtId="0" fontId="10" fillId="5" borderId="14" xfId="0" applyNumberFormat="1" applyFont="1" applyFill="1" applyBorder="1" applyAlignment="1">
      <x:alignment wrapText="1"/>
    </x:xf>
    <x:xf numFmtId="0" fontId="10" fillId="5" borderId="15" xfId="0" applyNumberFormat="1" applyFont="1" applyFill="1" applyBorder="1" applyAlignment="1">
      <x:alignment wrapText="1"/>
    </x:xf>
    <x:xf numFmtId="0" fontId="10" fillId="5" borderId="13" xfId="0" applyNumberFormat="1" applyFont="1" applyFill="1" applyBorder="1" applyAlignment="1">
      <x:alignment horizontal="center" wrapText="1"/>
    </x:xf>
    <x:xf numFmtId="0" fontId="10" fillId="5" borderId="14" xfId="0" applyNumberFormat="1" applyFont="1" applyFill="1" applyBorder="1" applyAlignment="1">
      <x:alignment horizontal="center" wrapText="1"/>
    </x:xf>
    <x:xf numFmtId="0" fontId="10" fillId="5" borderId="15" xfId="0" applyNumberFormat="1" applyFont="1" applyFill="1" applyBorder="1" applyAlignment="1">
      <x:alignment horizontal="center" wrapText="1"/>
    </x:xf>
    <x:xf numFmtId="0" fontId="10" fillId="5" borderId="13" xfId="0" applyNumberFormat="1" applyFont="1" applyFill="1" applyBorder="1" applyAlignment="1">
      <x:alignment horizontal="center" vertical="center" wrapText="1"/>
    </x:xf>
    <x:xf numFmtId="0" fontId="10" fillId="5" borderId="14" xfId="0" applyNumberFormat="1" applyFont="1" applyFill="1" applyBorder="1" applyAlignment="1">
      <x:alignment horizontal="center" vertical="center" wrapText="1"/>
    </x:xf>
    <x:xf numFmtId="0" fontId="10" fillId="5" borderId="15" xfId="0" applyNumberFormat="1" applyFont="1" applyFill="1" applyBorder="1" applyAlignment="1">
      <x:alignment horizontal="center" vertical="center" wrapText="1"/>
    </x:xf>
    <x:xf numFmtId="0" fontId="0" fillId="14" borderId="0" xfId="0" applyNumberFormat="1" applyFont="1" applyFill="1" applyBorder="1"/>
    <x:xf numFmtId="0" fontId="11" fillId="14" borderId="0" xfId="0" applyNumberFormat="1" applyFont="1" applyFill="1" applyBorder="1"/>
    <x:xf numFmtId="0" fontId="11" fillId="14" borderId="16" xfId="0" applyNumberFormat="1" applyFont="1" applyFill="1" applyBorder="1"/>
    <x:xf numFmtId="0" fontId="11" fillId="14" borderId="17" xfId="0" applyNumberFormat="1" applyFont="1" applyFill="1" applyBorder="1"/>
    <x:xf numFmtId="0" fontId="11" fillId="14" borderId="18" xfId="0" applyNumberFormat="1" applyFont="1" applyFill="1" applyBorder="1"/>
    <x:xf numFmtId="0" fontId="11" fillId="14" borderId="19" xfId="0" applyNumberFormat="1" applyFont="1" applyFill="1" applyBorder="1"/>
    <x:xf numFmtId="0" fontId="11" fillId="14" borderId="20" xfId="0" applyNumberFormat="1" applyFont="1" applyFill="1" applyBorder="1"/>
    <x:xf numFmtId="0" fontId="11" fillId="14" borderId="21" xfId="0" applyNumberFormat="1" applyFont="1" applyFill="1" applyBorder="1"/>
    <x:xf numFmtId="0" fontId="11" fillId="14" borderId="22" xfId="0" applyNumberFormat="1" applyFont="1" applyFill="1" applyBorder="1"/>
    <x:xf numFmtId="0" fontId="11" fillId="14" borderId="23" xfId="0" applyNumberFormat="1" applyFont="1" applyFill="1" applyBorder="1"/>
    <x:xf numFmtId="0" fontId="11" fillId="14" borderId="16" xfId="0" applyNumberFormat="1" applyFont="1" applyFill="1" applyBorder="1" applyAlignment="1">
      <x:alignment wrapText="1"/>
    </x:xf>
    <x:xf numFmtId="0" fontId="11" fillId="14" borderId="17" xfId="0" applyNumberFormat="1" applyFont="1" applyFill="1" applyBorder="1" applyAlignment="1">
      <x:alignment wrapText="1"/>
    </x:xf>
    <x:xf numFmtId="0" fontId="11" fillId="14" borderId="18" xfId="0" applyNumberFormat="1" applyFont="1" applyFill="1" applyBorder="1" applyAlignment="1">
      <x:alignment wrapText="1"/>
    </x:xf>
    <x:xf numFmtId="0" fontId="11" fillId="14" borderId="19" xfId="0" applyNumberFormat="1" applyFont="1" applyFill="1" applyBorder="1" applyAlignment="1">
      <x:alignment wrapText="1"/>
    </x:xf>
    <x:xf numFmtId="0" fontId="11" fillId="14" borderId="0" xfId="0" applyNumberFormat="1" applyFont="1" applyFill="1" applyBorder="1" applyAlignment="1">
      <x:alignment wrapText="1"/>
    </x:xf>
    <x:xf numFmtId="0" fontId="11" fillId="14" borderId="20" xfId="0" applyNumberFormat="1" applyFont="1" applyFill="1" applyBorder="1" applyAlignment="1">
      <x:alignment wrapText="1"/>
    </x:xf>
    <x:xf numFmtId="0" fontId="11" fillId="14" borderId="21" xfId="0" applyNumberFormat="1" applyFont="1" applyFill="1" applyBorder="1" applyAlignment="1">
      <x:alignment wrapText="1"/>
    </x:xf>
    <x:xf numFmtId="0" fontId="11" fillId="14" borderId="22" xfId="0" applyNumberFormat="1" applyFont="1" applyFill="1" applyBorder="1" applyAlignment="1">
      <x:alignment wrapText="1"/>
    </x:xf>
    <x:xf numFmtId="0" fontId="11" fillId="14" borderId="23" xfId="0" applyNumberFormat="1" applyFont="1" applyFill="1" applyBorder="1" applyAlignment="1">
      <x:alignment wrapText="1"/>
    </x:xf>
    <x:xf numFmtId="0" fontId="11" fillId="14" borderId="16" xfId="0" applyNumberFormat="1" applyFont="1" applyFill="1" applyBorder="1" applyAlignment="1">
      <x:alignment vertical="center" wrapText="1"/>
    </x:xf>
    <x:xf numFmtId="0" fontId="11" fillId="14" borderId="17" xfId="0" applyNumberFormat="1" applyFont="1" applyFill="1" applyBorder="1" applyAlignment="1">
      <x:alignment vertical="center" wrapText="1"/>
    </x:xf>
    <x:xf numFmtId="0" fontId="11" fillId="14" borderId="18" xfId="0" applyNumberFormat="1" applyFont="1" applyFill="1" applyBorder="1" applyAlignment="1">
      <x:alignment vertical="center" wrapText="1"/>
    </x:xf>
    <x:xf numFmtId="0" fontId="11" fillId="14" borderId="19" xfId="0" applyNumberFormat="1" applyFont="1" applyFill="1" applyBorder="1" applyAlignment="1">
      <x:alignment vertical="center" wrapText="1"/>
    </x:xf>
    <x:xf numFmtId="0" fontId="11" fillId="14" borderId="0" xfId="0" applyNumberFormat="1" applyFont="1" applyFill="1" applyBorder="1" applyAlignment="1">
      <x:alignment vertical="center" wrapText="1"/>
    </x:xf>
    <x:xf numFmtId="0" fontId="11" fillId="14" borderId="20" xfId="0" applyNumberFormat="1" applyFont="1" applyFill="1" applyBorder="1" applyAlignment="1">
      <x:alignment vertical="center" wrapText="1"/>
    </x:xf>
    <x:xf numFmtId="0" fontId="11" fillId="14" borderId="21" xfId="0" applyNumberFormat="1" applyFont="1" applyFill="1" applyBorder="1" applyAlignment="1">
      <x:alignment vertical="center" wrapText="1"/>
    </x:xf>
    <x:xf numFmtId="0" fontId="11" fillId="14" borderId="22" xfId="0" applyNumberFormat="1" applyFont="1" applyFill="1" applyBorder="1" applyAlignment="1">
      <x:alignment vertical="center" wrapText="1"/>
    </x:xf>
    <x:xf numFmtId="0" fontId="11" fillId="14" borderId="23" xfId="0" applyNumberFormat="1" applyFont="1" applyFill="1" applyBorder="1" applyAlignment="1">
      <x:alignment vertical="center" wrapText="1"/>
    </x:xf>
    <x:xf numFmtId="0" fontId="0" fillId="14" borderId="2" xfId="0" applyNumberFormat="1" applyFont="1" applyFill="1" applyBorder="1"/>
    <x:xf numFmtId="0" fontId="11" fillId="14" borderId="2" xfId="0" applyNumberFormat="1" applyFont="1" applyFill="1" applyBorder="1"/>
    <x:xf numFmtId="0" fontId="11" fillId="14" borderId="24" xfId="0" applyNumberFormat="1" applyFont="1" applyFill="1" applyBorder="1"/>
    <x:xf numFmtId="0" fontId="11" fillId="14" borderId="25" xfId="0" applyNumberFormat="1" applyFont="1" applyFill="1" applyBorder="1"/>
    <x:xf numFmtId="0" fontId="11" fillId="14" borderId="26" xfId="0" applyNumberFormat="1" applyFont="1" applyFill="1" applyBorder="1"/>
    <x:xf numFmtId="0" fontId="11" fillId="14" borderId="27" xfId="0" applyNumberFormat="1" applyFont="1" applyFill="1" applyBorder="1"/>
    <x:xf numFmtId="0" fontId="11" fillId="14" borderId="28" xfId="0" applyNumberFormat="1" applyFont="1" applyFill="1" applyBorder="1"/>
    <x:xf numFmtId="0" fontId="11" fillId="14" borderId="29" xfId="0" applyNumberFormat="1" applyFont="1" applyFill="1" applyBorder="1"/>
    <x:xf numFmtId="0" fontId="11" fillId="14" borderId="30" xfId="0" applyNumberFormat="1" applyFont="1" applyFill="1" applyBorder="1"/>
    <x:xf numFmtId="0" fontId="11" fillId="14" borderId="31" xfId="0" applyNumberFormat="1" applyFont="1" applyFill="1" applyBorder="1"/>
    <x:xf numFmtId="0" fontId="11" fillId="14" borderId="24" xfId="0" applyNumberFormat="1" applyFont="1" applyFill="1" applyBorder="1" applyAlignment="1">
      <x:alignment wrapText="1"/>
    </x:xf>
    <x:xf numFmtId="0" fontId="11" fillId="14" borderId="25" xfId="0" applyNumberFormat="1" applyFont="1" applyFill="1" applyBorder="1" applyAlignment="1">
      <x:alignment wrapText="1"/>
    </x:xf>
    <x:xf numFmtId="0" fontId="11" fillId="14" borderId="26" xfId="0" applyNumberFormat="1" applyFont="1" applyFill="1" applyBorder="1" applyAlignment="1">
      <x:alignment wrapText="1"/>
    </x:xf>
    <x:xf numFmtId="0" fontId="11" fillId="14" borderId="27" xfId="0" applyNumberFormat="1" applyFont="1" applyFill="1" applyBorder="1" applyAlignment="1">
      <x:alignment wrapText="1"/>
    </x:xf>
    <x:xf numFmtId="0" fontId="11" fillId="14" borderId="2" xfId="0" applyNumberFormat="1" applyFont="1" applyFill="1" applyBorder="1" applyAlignment="1">
      <x:alignment wrapText="1"/>
    </x:xf>
    <x:xf numFmtId="0" fontId="11" fillId="14" borderId="28" xfId="0" applyNumberFormat="1" applyFont="1" applyFill="1" applyBorder="1" applyAlignment="1">
      <x:alignment wrapText="1"/>
    </x:xf>
    <x:xf numFmtId="0" fontId="11" fillId="14" borderId="29" xfId="0" applyNumberFormat="1" applyFont="1" applyFill="1" applyBorder="1" applyAlignment="1">
      <x:alignment wrapText="1"/>
    </x:xf>
    <x:xf numFmtId="0" fontId="11" fillId="14" borderId="30" xfId="0" applyNumberFormat="1" applyFont="1" applyFill="1" applyBorder="1" applyAlignment="1">
      <x:alignment wrapText="1"/>
    </x:xf>
    <x:xf numFmtId="0" fontId="11" fillId="14" borderId="31" xfId="0" applyNumberFormat="1" applyFont="1" applyFill="1" applyBorder="1" applyAlignment="1">
      <x:alignment wrapText="1"/>
    </x:xf>
    <x:xf numFmtId="0" fontId="11" fillId="14" borderId="24" xfId="0" applyNumberFormat="1" applyFont="1" applyFill="1" applyBorder="1" applyAlignment="1">
      <x:alignment vertical="center" wrapText="1"/>
    </x:xf>
    <x:xf numFmtId="0" fontId="11" fillId="14" borderId="25" xfId="0" applyNumberFormat="1" applyFont="1" applyFill="1" applyBorder="1" applyAlignment="1">
      <x:alignment vertical="center" wrapText="1"/>
    </x:xf>
    <x:xf numFmtId="0" fontId="11" fillId="14" borderId="26" xfId="0" applyNumberFormat="1" applyFont="1" applyFill="1" applyBorder="1" applyAlignment="1">
      <x:alignment vertical="center" wrapText="1"/>
    </x:xf>
    <x:xf numFmtId="0" fontId="11" fillId="14" borderId="27" xfId="0" applyNumberFormat="1" applyFont="1" applyFill="1" applyBorder="1" applyAlignment="1">
      <x:alignment vertical="center" wrapText="1"/>
    </x:xf>
    <x:xf numFmtId="0" fontId="11" fillId="14" borderId="2" xfId="0" applyNumberFormat="1" applyFont="1" applyFill="1" applyBorder="1" applyAlignment="1">
      <x:alignment vertical="center" wrapText="1"/>
    </x:xf>
    <x:xf numFmtId="0" fontId="11" fillId="14" borderId="28" xfId="0" applyNumberFormat="1" applyFont="1" applyFill="1" applyBorder="1" applyAlignment="1">
      <x:alignment vertical="center" wrapText="1"/>
    </x:xf>
    <x:xf numFmtId="0" fontId="11" fillId="14" borderId="29" xfId="0" applyNumberFormat="1" applyFont="1" applyFill="1" applyBorder="1" applyAlignment="1">
      <x:alignment vertical="center" wrapText="1"/>
    </x:xf>
    <x:xf numFmtId="0" fontId="11" fillId="14" borderId="30" xfId="0" applyNumberFormat="1" applyFont="1" applyFill="1" applyBorder="1" applyAlignment="1">
      <x:alignment vertical="center" wrapText="1"/>
    </x:xf>
    <x:xf numFmtId="0" fontId="11" fillId="14" borderId="31" xfId="0" applyNumberFormat="1" applyFont="1" applyFill="1" applyBorder="1" applyAlignment="1">
      <x:alignment vertical="center" wrapText="1"/>
    </x:xf>
    <x:xf numFmtId="0" fontId="11" fillId="15" borderId="17" xfId="0" applyNumberFormat="1" applyFont="1" applyFill="1" applyBorder="1" applyAlignment="1">
      <x:alignment vertical="center" wrapText="1"/>
    </x:xf>
    <x:xf numFmtId="0" fontId="11" fillId="15" borderId="25" xfId="0" applyNumberFormat="1" applyFont="1" applyFill="1" applyBorder="1" applyAlignment="1">
      <x:alignment vertical="center" wrapText="1"/>
    </x:xf>
    <x:xf numFmtId="0" fontId="12" fillId="15" borderId="17" xfId="0" applyNumberFormat="1" applyFont="1" applyFill="1" applyBorder="1" applyAlignment="1">
      <x:alignment vertical="center" wrapText="1"/>
    </x:xf>
    <x:xf numFmtId="0" fontId="12" fillId="15" borderId="25" xfId="0" applyNumberFormat="1" applyFont="1" applyFill="1" applyBorder="1" applyAlignment="1">
      <x:alignment vertical="center" wrapText="1"/>
    </x:xf>
    <x:xf numFmtId="0" fontId="11" fillId="16" borderId="17" xfId="0" applyNumberFormat="1" applyFont="1" applyFill="1" applyBorder="1" applyAlignment="1">
      <x:alignment vertical="center" wrapText="1"/>
    </x:xf>
    <x:xf numFmtId="0" fontId="13" fillId="16" borderId="17" xfId="0" applyNumberFormat="1" applyFont="1" applyFill="1" applyBorder="1" applyAlignment="1">
      <x:alignment vertical="center" wrapText="1"/>
    </x:xf>
    <x:xf numFmtId="0" fontId="13" fillId="16" borderId="32" xfId="0" applyNumberFormat="1" applyFont="1" applyFill="1" applyBorder="1" applyAlignment="1">
      <x:alignment vertical="center" wrapText="1"/>
    </x:xf>
    <x:xf numFmtId="0" fontId="13" fillId="16" borderId="32" xfId="0" applyNumberFormat="1" applyFont="1" applyFill="1" applyBorder="1" applyAlignment="1">
      <x:alignment horizontal="center" vertical="center" wrapText="1"/>
    </x:xf>
    <x:xf numFmtId="0" fontId="11" fillId="16" borderId="25" xfId="0" applyNumberFormat="1" applyFont="1" applyFill="1" applyBorder="1" applyAlignment="1">
      <x:alignment vertical="center" wrapText="1"/>
    </x:xf>
    <x:xf numFmtId="0" fontId="13" fillId="16" borderId="25" xfId="0" applyNumberFormat="1" applyFont="1" applyFill="1" applyBorder="1" applyAlignment="1">
      <x:alignment vertical="center" wrapText="1"/>
    </x:xf>
    <x:xf numFmtId="0" fontId="13" fillId="16" borderId="33" xfId="0" applyNumberFormat="1" applyFont="1" applyFill="1" applyBorder="1" applyAlignment="1">
      <x:alignment vertical="center" wrapText="1"/>
    </x:xf>
    <x:xf numFmtId="0" fontId="13" fillId="16" borderId="33" xfId="0" applyNumberFormat="1" applyFont="1" applyFill="1" applyBorder="1" applyAlignment="1">
      <x:alignment horizontal="center" vertical="center" wrapText="1"/>
    </x:xf>
    <x:xf numFmtId="0" fontId="11" fillId="15" borderId="0" xfId="0" applyNumberFormat="1" applyFont="1" applyFill="1" applyBorder="1" applyAlignment="1">
      <x:alignment vertical="center" wrapText="1"/>
    </x:xf>
    <x:xf numFmtId="0" fontId="11" fillId="15" borderId="2" xfId="0" applyNumberFormat="1" applyFont="1" applyFill="1" applyBorder="1" applyAlignment="1">
      <x:alignment vertical="center" wrapText="1"/>
    </x:xf>
    <x:xf numFmtId="0" fontId="12" fillId="15" borderId="0" xfId="0" applyNumberFormat="1" applyFont="1" applyFill="1" applyBorder="1" applyAlignment="1">
      <x:alignment vertical="center" wrapText="1"/>
    </x:xf>
    <x:xf numFmtId="0" fontId="12" fillId="15" borderId="2" xfId="0" applyNumberFormat="1" applyFont="1" applyFill="1" applyBorder="1" applyAlignment="1">
      <x:alignment vertical="center" wrapText="1"/>
    </x:xf>
    <x:xf numFmtId="0" fontId="11" fillId="16" borderId="0" xfId="0" applyNumberFormat="1" applyFont="1" applyFill="1" applyBorder="1" applyAlignment="1">
      <x:alignment vertical="center" wrapText="1"/>
    </x:xf>
    <x:xf numFmtId="0" fontId="13" fillId="16" borderId="0" xfId="0" applyNumberFormat="1" applyFont="1" applyFill="1" applyBorder="1" applyAlignment="1">
      <x:alignment vertical="center" wrapText="1"/>
    </x:xf>
    <x:xf numFmtId="0" fontId="11" fillId="16" borderId="2" xfId="0" applyNumberFormat="1" applyFont="1" applyFill="1" applyBorder="1" applyAlignment="1">
      <x:alignment vertical="center" wrapText="1"/>
    </x:xf>
    <x:xf numFmtId="0" fontId="13" fillId="16" borderId="2" xfId="0" applyNumberFormat="1" applyFont="1" applyFill="1" applyBorder="1" applyAlignment="1">
      <x:alignment vertical="center" wrapText="1"/>
    </x:xf>
    <x:xf numFmtId="0" fontId="11" fillId="7" borderId="0" xfId="0" applyNumberFormat="1" applyFont="1" applyFill="1" applyBorder="1" applyAlignment="1">
      <x:alignment vertical="center" wrapText="1"/>
    </x:xf>
    <x:xf numFmtId="0" fontId="11" fillId="7" borderId="2" xfId="0" applyNumberFormat="1" applyFont="1" applyFill="1" applyBorder="1" applyAlignment="1">
      <x:alignment vertical="center" wrapText="1"/>
    </x:xf>
    <x:xf numFmtId="0" fontId="12" fillId="7" borderId="0" xfId="0" applyNumberFormat="1" applyFont="1" applyFill="1" applyBorder="1" applyAlignment="1">
      <x:alignment vertical="center" wrapText="1"/>
    </x:xf>
    <x:xf numFmtId="0" fontId="12" fillId="7" borderId="2" xfId="0" applyNumberFormat="1" applyFont="1" applyFill="1" applyBorder="1" applyAlignment="1">
      <x:alignment vertical="center" wrapText="1"/>
    </x:xf>
    <x:xf numFmtId="0" fontId="11" fillId="17" borderId="0" xfId="0" applyNumberFormat="1" applyFont="1" applyFill="1" applyBorder="1" applyAlignment="1">
      <x:alignment vertical="center" wrapText="1"/>
    </x:xf>
    <x:xf numFmtId="0" fontId="13" fillId="17" borderId="0" xfId="0" applyNumberFormat="1" applyFont="1" applyFill="1" applyBorder="1" applyAlignment="1">
      <x:alignment vertical="center" wrapText="1"/>
    </x:xf>
    <x:xf numFmtId="0" fontId="13" fillId="17" borderId="32" xfId="0" applyNumberFormat="1" applyFont="1" applyFill="1" applyBorder="1" applyAlignment="1">
      <x:alignment vertical="center" wrapText="1"/>
    </x:xf>
    <x:xf numFmtId="0" fontId="13" fillId="17" borderId="32" xfId="0" applyNumberFormat="1" applyFont="1" applyFill="1" applyBorder="1" applyAlignment="1">
      <x:alignment horizontal="center" vertical="center" wrapText="1"/>
    </x:xf>
    <x:xf numFmtId="0" fontId="11" fillId="17" borderId="2" xfId="0" applyNumberFormat="1" applyFont="1" applyFill="1" applyBorder="1" applyAlignment="1">
      <x:alignment vertical="center" wrapText="1"/>
    </x:xf>
    <x:xf numFmtId="0" fontId="13" fillId="17" borderId="2" xfId="0" applyNumberFormat="1" applyFont="1" applyFill="1" applyBorder="1" applyAlignment="1">
      <x:alignment vertical="center" wrapText="1"/>
    </x:xf>
    <x:xf numFmtId="0" fontId="13" fillId="17" borderId="33" xfId="0" applyNumberFormat="1" applyFont="1" applyFill="1" applyBorder="1" applyAlignment="1">
      <x:alignment vertical="center" wrapText="1"/>
    </x:xf>
    <x:xf numFmtId="0" fontId="13" fillId="17" borderId="33" xfId="0" applyNumberFormat="1" applyFont="1" applyFill="1" applyBorder="1" applyAlignment="1">
      <x:alignment horizontal="center" vertical="center" wrapText="1"/>
    </x:xf>
    <x:xf numFmtId="0" fontId="11" fillId="9" borderId="0" xfId="0" applyNumberFormat="1" applyFont="1" applyFill="1" applyBorder="1" applyAlignment="1">
      <x:alignment vertical="center" wrapText="1"/>
    </x:xf>
    <x:xf numFmtId="0" fontId="11" fillId="9" borderId="2" xfId="0" applyNumberFormat="1" applyFont="1" applyFill="1" applyBorder="1" applyAlignment="1">
      <x:alignment vertical="center" wrapText="1"/>
    </x:xf>
    <x:xf numFmtId="0" fontId="12" fillId="9" borderId="0" xfId="0" applyNumberFormat="1" applyFont="1" applyFill="1" applyBorder="1" applyAlignment="1">
      <x:alignment vertical="center" wrapText="1"/>
    </x:xf>
    <x:xf numFmtId="0" fontId="12" fillId="9" borderId="2" xfId="0" applyNumberFormat="1" applyFont="1" applyFill="1" applyBorder="1" applyAlignment="1">
      <x:alignment vertical="center" wrapText="1"/>
    </x:xf>
    <x:xf numFmtId="0" fontId="11" fillId="18" borderId="0" xfId="0" applyNumberFormat="1" applyFont="1" applyFill="1" applyBorder="1" applyAlignment="1">
      <x:alignment vertical="center" wrapText="1"/>
    </x:xf>
    <x:xf numFmtId="0" fontId="13" fillId="18" borderId="0" xfId="0" applyNumberFormat="1" applyFont="1" applyFill="1" applyBorder="1" applyAlignment="1">
      <x:alignment vertical="center" wrapText="1"/>
    </x:xf>
    <x:xf numFmtId="0" fontId="13" fillId="18" borderId="32" xfId="0" applyNumberFormat="1" applyFont="1" applyFill="1" applyBorder="1" applyAlignment="1">
      <x:alignment vertical="center" wrapText="1"/>
    </x:xf>
    <x:xf numFmtId="0" fontId="13" fillId="18" borderId="32" xfId="0" applyNumberFormat="1" applyFont="1" applyFill="1" applyBorder="1" applyAlignment="1">
      <x:alignment horizontal="center" vertical="center" wrapText="1"/>
    </x:xf>
    <x:xf numFmtId="0" fontId="11" fillId="18" borderId="2" xfId="0" applyNumberFormat="1" applyFont="1" applyFill="1" applyBorder="1" applyAlignment="1">
      <x:alignment vertical="center" wrapText="1"/>
    </x:xf>
    <x:xf numFmtId="0" fontId="13" fillId="18" borderId="2" xfId="0" applyNumberFormat="1" applyFont="1" applyFill="1" applyBorder="1" applyAlignment="1">
      <x:alignment vertical="center" wrapText="1"/>
    </x:xf>
    <x:xf numFmtId="0" fontId="13" fillId="18" borderId="33" xfId="0" applyNumberFormat="1" applyFont="1" applyFill="1" applyBorder="1" applyAlignment="1">
      <x:alignment vertical="center" wrapText="1"/>
    </x:xf>
    <x:xf numFmtId="0" fontId="13" fillId="18" borderId="33" xfId="0" applyNumberFormat="1" applyFont="1" applyFill="1" applyBorder="1" applyAlignment="1">
      <x:alignment horizontal="center" vertical="center" wrapText="1"/>
    </x:xf>
    <x:xf numFmtId="0" fontId="11" fillId="18" borderId="20" xfId="0" applyNumberFormat="1" applyFont="1" applyFill="1" applyBorder="1" applyAlignment="1">
      <x:alignment vertical="center" wrapText="1"/>
    </x:xf>
    <x:xf numFmtId="0" fontId="13" fillId="18" borderId="20" xfId="0" applyNumberFormat="1" applyFont="1" applyFill="1" applyBorder="1" applyAlignment="1">
      <x:alignment vertical="center" wrapText="1"/>
    </x:xf>
    <x:xf numFmtId="0" fontId="11" fillId="18" borderId="28" xfId="0" applyNumberFormat="1" applyFont="1" applyFill="1" applyBorder="1" applyAlignment="1">
      <x:alignment vertical="center" wrapText="1"/>
    </x:xf>
    <x:xf numFmtId="0" fontId="13" fillId="18" borderId="28" xfId="0" applyNumberFormat="1" applyFont="1" applyFill="1" applyBorder="1" applyAlignment="1">
      <x:alignment vertical="center" wrapText="1"/>
    </x:xf>
    <x:xf numFmtId="0" fontId="11" fillId="9" borderId="22" xfId="0" applyNumberFormat="1" applyFont="1" applyFill="1" applyBorder="1" applyAlignment="1">
      <x:alignment vertical="center" wrapText="1"/>
    </x:xf>
    <x:xf numFmtId="0" fontId="11" fillId="9" borderId="30" xfId="0" applyNumberFormat="1" applyFont="1" applyFill="1" applyBorder="1" applyAlignment="1">
      <x:alignment vertical="center" wrapText="1"/>
    </x:xf>
    <x:xf numFmtId="0" fontId="12" fillId="9" borderId="22" xfId="0" applyNumberFormat="1" applyFont="1" applyFill="1" applyBorder="1" applyAlignment="1">
      <x:alignment vertical="center" wrapText="1"/>
    </x:xf>
    <x:xf numFmtId="0" fontId="12" fillId="9" borderId="30" xfId="0" applyNumberFormat="1" applyFont="1" applyFill="1" applyBorder="1" applyAlignment="1">
      <x:alignment vertical="center" wrapText="1"/>
    </x:xf>
    <x:xf numFmtId="0" fontId="11" fillId="18" borderId="23" xfId="0" applyNumberFormat="1" applyFont="1" applyFill="1" applyBorder="1" applyAlignment="1">
      <x:alignment vertical="center" wrapText="1"/>
    </x:xf>
    <x:xf numFmtId="0" fontId="13" fillId="18" borderId="23" xfId="0" applyNumberFormat="1" applyFont="1" applyFill="1" applyBorder="1" applyAlignment="1">
      <x:alignment vertical="center" wrapText="1"/>
    </x:xf>
    <x:xf numFmtId="0" fontId="11" fillId="18" borderId="31" xfId="0" applyNumberFormat="1" applyFont="1" applyFill="1" applyBorder="1" applyAlignment="1">
      <x:alignment vertical="center" wrapText="1"/>
    </x:xf>
    <x:xf numFmtId="0" fontId="13" fillId="18" borderId="31" xfId="0" applyNumberFormat="1" applyFont="1" applyFill="1" applyBorder="1" applyAlignment="1">
      <x:alignment vertical="center" wrapText="1"/>
    </x:xf>
    <x:xf numFmtId="0" fontId="11" fillId="14" borderId="16" xfId="0" applyNumberFormat="1" applyFont="1" applyFill="1" applyBorder="1" applyAlignment="1">
      <x:alignment horizontal="center" vertical="center" wrapText="1"/>
    </x:xf>
    <x:xf numFmtId="0" fontId="12" fillId="15" borderId="17" xfId="0" applyNumberFormat="1" applyFont="1" applyFill="1" applyBorder="1" applyAlignment="1">
      <x:alignment horizontal="center" vertical="center" wrapText="1"/>
    </x:xf>
    <x:xf numFmtId="0" fontId="11" fillId="14" borderId="19" xfId="0" applyNumberFormat="1" applyFont="1" applyFill="1" applyBorder="1" applyAlignment="1">
      <x:alignment horizontal="center" vertical="center" wrapText="1"/>
    </x:xf>
    <x:xf numFmtId="0" fontId="12" fillId="15" borderId="0" xfId="0" applyNumberFormat="1" applyFont="1" applyFill="1" applyBorder="1" applyAlignment="1">
      <x:alignment horizontal="center" vertical="center" wrapText="1"/>
    </x:xf>
    <x:xf numFmtId="0" fontId="12" fillId="7" borderId="0" xfId="0" applyNumberFormat="1" applyFont="1" applyFill="1" applyBorder="1" applyAlignment="1">
      <x:alignment horizontal="center" vertical="center" wrapText="1"/>
    </x:xf>
    <x:xf numFmtId="0" fontId="12" fillId="9" borderId="0" xfId="0" applyNumberFormat="1" applyFont="1" applyFill="1" applyBorder="1" applyAlignment="1">
      <x:alignment horizontal="center" vertical="center" wrapText="1"/>
    </x:xf>
    <x:xf numFmtId="0" fontId="11" fillId="14" borderId="21" xfId="0" applyNumberFormat="1" applyFont="1" applyFill="1" applyBorder="1" applyAlignment="1">
      <x:alignment horizontal="center" vertical="center" wrapText="1"/>
    </x:xf>
    <x:xf numFmtId="0" fontId="12" fillId="9" borderId="22" xfId="0" applyNumberFormat="1" applyFont="1" applyFill="1" applyBorder="1" applyAlignment="1">
      <x:alignment horizontal="center" vertical="center" wrapText="1"/>
    </x:xf>
    <x:xf numFmtId="0" fontId="11" fillId="14" borderId="24" xfId="0" applyNumberFormat="1" applyFont="1" applyFill="1" applyBorder="1" applyAlignment="1">
      <x:alignment horizontal="center" vertical="center" wrapText="1"/>
    </x:xf>
    <x:xf numFmtId="0" fontId="12" fillId="15" borderId="25" xfId="0" applyNumberFormat="1" applyFont="1" applyFill="1" applyBorder="1" applyAlignment="1">
      <x:alignment horizontal="center" vertical="center" wrapText="1"/>
    </x:xf>
    <x:xf numFmtId="0" fontId="11" fillId="14" borderId="27" xfId="0" applyNumberFormat="1" applyFont="1" applyFill="1" applyBorder="1" applyAlignment="1">
      <x:alignment horizontal="center" vertical="center" wrapText="1"/>
    </x:xf>
    <x:xf numFmtId="0" fontId="12" fillId="15" borderId="2" xfId="0" applyNumberFormat="1" applyFont="1" applyFill="1" applyBorder="1" applyAlignment="1">
      <x:alignment horizontal="center" vertical="center" wrapText="1"/>
    </x:xf>
    <x:xf numFmtId="0" fontId="12" fillId="7" borderId="2" xfId="0" applyNumberFormat="1" applyFont="1" applyFill="1" applyBorder="1" applyAlignment="1">
      <x:alignment horizontal="center" vertical="center" wrapText="1"/>
    </x:xf>
    <x:xf numFmtId="0" fontId="12" fillId="9" borderId="2" xfId="0" applyNumberFormat="1" applyFont="1" applyFill="1" applyBorder="1" applyAlignment="1">
      <x:alignment horizontal="center" vertical="center" wrapText="1"/>
    </x:xf>
    <x:xf numFmtId="0" fontId="11" fillId="14" borderId="29" xfId="0" applyNumberFormat="1" applyFont="1" applyFill="1" applyBorder="1" applyAlignment="1">
      <x:alignment horizontal="center" vertical="center" wrapText="1"/>
    </x:xf>
    <x:xf numFmtId="0" fontId="12" fillId="9" borderId="30" xfId="0" applyNumberFormat="1" applyFont="1" applyFill="1" applyBorder="1" applyAlignment="1">
      <x:alignment horizontal="center" vertical="center" wrapText="1"/>
    </x:xf>
    <x:xf numFmtId="0" fontId="11" fillId="14" borderId="17" xfId="0" applyNumberFormat="1" applyFont="1" applyFill="1" applyBorder="1" applyAlignment="1">
      <x:alignment horizontal="center" vertical="center" wrapText="1"/>
    </x:xf>
    <x:xf numFmtId="0" fontId="11" fillId="14" borderId="18" xfId="0" applyNumberFormat="1" applyFont="1" applyFill="1" applyBorder="1" applyAlignment="1">
      <x:alignment horizontal="center" vertical="center" wrapText="1"/>
    </x:xf>
    <x:xf numFmtId="0" fontId="11" fillId="14" borderId="0" xfId="0" applyNumberFormat="1" applyFont="1" applyFill="1" applyBorder="1" applyAlignment="1">
      <x:alignment horizontal="center" vertical="center" wrapText="1"/>
    </x:xf>
    <x:xf numFmtId="0" fontId="11" fillId="14" borderId="20" xfId="0" applyNumberFormat="1" applyFont="1" applyFill="1" applyBorder="1" applyAlignment="1">
      <x:alignment horizontal="center" vertical="center" wrapText="1"/>
    </x:xf>
    <x:xf numFmtId="0" fontId="11" fillId="14" borderId="22" xfId="0" applyNumberFormat="1" applyFont="1" applyFill="1" applyBorder="1" applyAlignment="1">
      <x:alignment horizontal="center" vertical="center" wrapText="1"/>
    </x:xf>
    <x:xf numFmtId="0" fontId="11" fillId="14" borderId="25" xfId="0" applyNumberFormat="1" applyFont="1" applyFill="1" applyBorder="1" applyAlignment="1">
      <x:alignment horizontal="center" vertical="center" wrapText="1"/>
    </x:xf>
    <x:xf numFmtId="0" fontId="11" fillId="14" borderId="26" xfId="0" applyNumberFormat="1" applyFont="1" applyFill="1" applyBorder="1" applyAlignment="1">
      <x:alignment horizontal="center" vertical="center" wrapText="1"/>
    </x:xf>
    <x:xf numFmtId="0" fontId="11" fillId="14" borderId="2" xfId="0" applyNumberFormat="1" applyFont="1" applyFill="1" applyBorder="1" applyAlignment="1">
      <x:alignment horizontal="center" vertical="center" wrapText="1"/>
    </x:xf>
    <x:xf numFmtId="0" fontId="11" fillId="14" borderId="28" xfId="0" applyNumberFormat="1" applyFont="1" applyFill="1" applyBorder="1" applyAlignment="1">
      <x:alignment horizontal="center" vertical="center" wrapText="1"/>
    </x:xf>
    <x:xf numFmtId="0" fontId="11" fillId="14" borderId="30" xfId="0" applyNumberFormat="1" applyFont="1" applyFill="1" applyBorder="1" applyAlignment="1">
      <x:alignment horizontal="center" vertical="center" wrapText="1"/>
    </x:xf>
    <x:xf numFmtId="0" fontId="0" fillId="19" borderId="0" xfId="0" applyNumberFormat="1" applyFont="1" applyFill="1" applyBorder="1"/>
    <x:xf numFmtId="0" fontId="14" fillId="19" borderId="0" xfId="0" applyNumberFormat="1" applyFont="1" applyFill="1" applyBorder="1"/>
    <x:xf numFmtId="0" fontId="14" fillId="19" borderId="0" xfId="0" applyNumberFormat="1" applyFont="1" applyFill="1" applyBorder="1" applyAlignment="1">
      <x:alignment wrapText="1"/>
    </x:xf>
    <x:xf numFmtId="0" fontId="14" fillId="19" borderId="0" xfId="0" applyNumberFormat="1" applyFont="1" applyFill="1" applyBorder="1" applyAlignment="1">
      <x:alignment vertical="center" wrapText="1"/>
    </x:xf>
    <x:xf numFmtId="0" fontId="0" fillId="19" borderId="2" xfId="0" applyNumberFormat="1" applyFont="1" applyFill="1" applyBorder="1"/>
    <x:xf numFmtId="0" fontId="14" fillId="19" borderId="2" xfId="0" applyNumberFormat="1" applyFont="1" applyFill="1" applyBorder="1"/>
    <x:xf numFmtId="0" fontId="14" fillId="19" borderId="2" xfId="0" applyNumberFormat="1" applyFont="1" applyFill="1" applyBorder="1" applyAlignment="1">
      <x:alignment wrapText="1"/>
    </x:xf>
    <x:xf numFmtId="0" fontId="14" fillId="19" borderId="2" xfId="0" applyNumberFormat="1" applyFont="1" applyFill="1" applyBorder="1" applyAlignment="1">
      <x:alignment vertical="center" wrapText="1"/>
    </x:xf>
    <x:xf numFmtId="0" fontId="9" fillId="11" borderId="10" xfId="0" applyNumberFormat="1" applyFont="1" applyFill="1" applyBorder="1" applyAlignment="1">
      <x:alignment horizontal="center" vertical="center" wrapText="1"/>
    </x:xf>
    <x:xf numFmtId="0" fontId="9" fillId="11" borderId="11" xfId="0" applyNumberFormat="1" applyFont="1" applyFill="1" applyBorder="1" applyAlignment="1">
      <x:alignment horizontal="center" vertical="center" wrapText="1"/>
    </x:xf>
    <x:xf numFmtId="0" fontId="9" fillId="11" borderId="12" xfId="0" applyNumberFormat="1" applyFont="1" applyFill="1" applyBorder="1" applyAlignment="1">
      <x:alignment horizontal="center" vertical="center" wrapText="1"/>
    </x:xf>
    <x:xf numFmtId="0" fontId="9" fillId="11" borderId="13" xfId="0" applyNumberFormat="1" applyFont="1" applyFill="1" applyBorder="1" applyAlignment="1">
      <x:alignment horizontal="center" vertical="center" wrapText="1"/>
    </x:xf>
    <x:xf numFmtId="0" fontId="9" fillId="11" borderId="14" xfId="0" applyNumberFormat="1" applyFont="1" applyFill="1" applyBorder="1" applyAlignment="1">
      <x:alignment horizontal="center" vertical="center" wrapText="1"/>
    </x:xf>
    <x:xf numFmtId="0" fontId="9" fillId="11" borderId="15" xfId="0" applyNumberFormat="1" applyFont="1" applyFill="1" applyBorder="1" applyAlignment="1">
      <x:alignment horizontal="center" vertical="center" wrapText="1"/>
    </x:xf>
    <x:xf numFmtId="0" fontId="15" fillId="11" borderId="10" xfId="0" applyNumberFormat="1" applyFont="1" applyFill="1" applyBorder="1" applyAlignment="1">
      <x:alignment horizontal="center" vertical="center" wrapText="1"/>
    </x:xf>
    <x:xf numFmtId="0" fontId="15" fillId="11" borderId="11" xfId="0" applyNumberFormat="1" applyFont="1" applyFill="1" applyBorder="1" applyAlignment="1">
      <x:alignment horizontal="center" vertical="center" wrapText="1"/>
    </x:xf>
    <x:xf numFmtId="0" fontId="15" fillId="11" borderId="12" xfId="0" applyNumberFormat="1" applyFont="1" applyFill="1" applyBorder="1" applyAlignment="1">
      <x:alignment horizontal="center" vertical="center" wrapText="1"/>
    </x:xf>
    <x:xf numFmtId="0" fontId="15" fillId="11" borderId="13" xfId="0" applyNumberFormat="1" applyFont="1" applyFill="1" applyBorder="1" applyAlignment="1">
      <x:alignment horizontal="center" vertical="center" wrapText="1"/>
    </x:xf>
    <x:xf numFmtId="0" fontId="15" fillId="11" borderId="14" xfId="0" applyNumberFormat="1" applyFont="1" applyFill="1" applyBorder="1" applyAlignment="1">
      <x:alignment horizontal="center" vertical="center" wrapText="1"/>
    </x:xf>
    <x:xf numFmtId="0" fontId="15" fillId="11" borderId="15" xfId="0" applyNumberFormat="1" applyFont="1" applyFill="1" applyBorder="1" applyAlignment="1">
      <x:alignment horizontal="center" vertical="center" wrapText="1"/>
    </x:xf>
    <x:xf numFmtId="0" fontId="9" fillId="12" borderId="10" xfId="0" applyNumberFormat="1" applyFont="1" applyFill="1" applyBorder="1" applyAlignment="1">
      <x:alignment horizontal="center" vertical="center" wrapText="1"/>
    </x:xf>
    <x:xf numFmtId="0" fontId="9" fillId="12" borderId="11" xfId="0" applyNumberFormat="1" applyFont="1" applyFill="1" applyBorder="1" applyAlignment="1">
      <x:alignment horizontal="center" vertical="center" wrapText="1"/>
    </x:xf>
    <x:xf numFmtId="0" fontId="9" fillId="12" borderId="12" xfId="0" applyNumberFormat="1" applyFont="1" applyFill="1" applyBorder="1" applyAlignment="1">
      <x:alignment horizontal="center" vertical="center" wrapText="1"/>
    </x:xf>
    <x:xf numFmtId="0" fontId="9" fillId="12" borderId="13" xfId="0" applyNumberFormat="1" applyFont="1" applyFill="1" applyBorder="1" applyAlignment="1">
      <x:alignment horizontal="center" vertical="center" wrapText="1"/>
    </x:xf>
    <x:xf numFmtId="0" fontId="9" fillId="12" borderId="14" xfId="0" applyNumberFormat="1" applyFont="1" applyFill="1" applyBorder="1" applyAlignment="1">
      <x:alignment horizontal="center" vertical="center" wrapText="1"/>
    </x:xf>
    <x:xf numFmtId="0" fontId="9" fillId="12" borderId="15" xfId="0" applyNumberFormat="1" applyFont="1" applyFill="1" applyBorder="1" applyAlignment="1">
      <x:alignment horizontal="center" vertical="center" wrapText="1"/>
    </x:xf>
    <x:xf numFmtId="0" fontId="15" fillId="12" borderId="10" xfId="0" applyNumberFormat="1" applyFont="1" applyFill="1" applyBorder="1" applyAlignment="1">
      <x:alignment horizontal="center" vertical="center" wrapText="1"/>
    </x:xf>
    <x:xf numFmtId="0" fontId="15" fillId="12" borderId="11" xfId="0" applyNumberFormat="1" applyFont="1" applyFill="1" applyBorder="1" applyAlignment="1">
      <x:alignment horizontal="center" vertical="center" wrapText="1"/>
    </x:xf>
    <x:xf numFmtId="0" fontId="15" fillId="12" borderId="12" xfId="0" applyNumberFormat="1" applyFont="1" applyFill="1" applyBorder="1" applyAlignment="1">
      <x:alignment horizontal="center" vertical="center" wrapText="1"/>
    </x:xf>
    <x:xf numFmtId="0" fontId="15" fillId="12" borderId="13" xfId="0" applyNumberFormat="1" applyFont="1" applyFill="1" applyBorder="1" applyAlignment="1">
      <x:alignment horizontal="center" vertical="center" wrapText="1"/>
    </x:xf>
    <x:xf numFmtId="0" fontId="15" fillId="12" borderId="14" xfId="0" applyNumberFormat="1" applyFont="1" applyFill="1" applyBorder="1" applyAlignment="1">
      <x:alignment horizontal="center" vertical="center" wrapText="1"/>
    </x:xf>
    <x:xf numFmtId="0" fontId="15" fillId="12" borderId="15" xfId="0" applyNumberFormat="1" applyFont="1" applyFill="1" applyBorder="1" applyAlignment="1">
      <x:alignment horizontal="center" vertical="center" wrapText="1"/>
    </x:xf>
    <x:xf numFmtId="0" fontId="9" fillId="13" borderId="10" xfId="0" applyNumberFormat="1" applyFont="1" applyFill="1" applyBorder="1" applyAlignment="1">
      <x:alignment horizontal="center" vertical="center" wrapText="1"/>
    </x:xf>
    <x:xf numFmtId="0" fontId="9" fillId="13" borderId="11" xfId="0" applyNumberFormat="1" applyFont="1" applyFill="1" applyBorder="1" applyAlignment="1">
      <x:alignment horizontal="center" vertical="center" wrapText="1"/>
    </x:xf>
    <x:xf numFmtId="0" fontId="9" fillId="13" borderId="12" xfId="0" applyNumberFormat="1" applyFont="1" applyFill="1" applyBorder="1" applyAlignment="1">
      <x:alignment horizontal="center" vertical="center" wrapText="1"/>
    </x:xf>
    <x:xf numFmtId="0" fontId="9" fillId="13" borderId="13" xfId="0" applyNumberFormat="1" applyFont="1" applyFill="1" applyBorder="1" applyAlignment="1">
      <x:alignment horizontal="center" vertical="center" wrapText="1"/>
    </x:xf>
    <x:xf numFmtId="0" fontId="9" fillId="13" borderId="14" xfId="0" applyNumberFormat="1" applyFont="1" applyFill="1" applyBorder="1" applyAlignment="1">
      <x:alignment horizontal="center" vertical="center" wrapText="1"/>
    </x:xf>
    <x:xf numFmtId="0" fontId="9" fillId="13" borderId="15" xfId="0" applyNumberFormat="1" applyFont="1" applyFill="1" applyBorder="1" applyAlignment="1">
      <x:alignment horizontal="center" vertical="center" wrapText="1"/>
    </x:xf>
    <x:xf numFmtId="0" fontId="15" fillId="13" borderId="10" xfId="0" applyNumberFormat="1" applyFont="1" applyFill="1" applyBorder="1" applyAlignment="1">
      <x:alignment horizontal="center" vertical="center" wrapText="1"/>
    </x:xf>
    <x:xf numFmtId="0" fontId="15" fillId="13" borderId="11" xfId="0" applyNumberFormat="1" applyFont="1" applyFill="1" applyBorder="1" applyAlignment="1">
      <x:alignment horizontal="center" vertical="center" wrapText="1"/>
    </x:xf>
    <x:xf numFmtId="0" fontId="15" fillId="13" borderId="12" xfId="0" applyNumberFormat="1" applyFont="1" applyFill="1" applyBorder="1" applyAlignment="1">
      <x:alignment horizontal="center" vertical="center" wrapText="1"/>
    </x:xf>
    <x:xf numFmtId="0" fontId="15" fillId="13" borderId="13" xfId="0" applyNumberFormat="1" applyFont="1" applyFill="1" applyBorder="1" applyAlignment="1">
      <x:alignment horizontal="center" vertical="center" wrapText="1"/>
    </x:xf>
    <x:xf numFmtId="0" fontId="15" fillId="13" borderId="14" xfId="0" applyNumberFormat="1" applyFont="1" applyFill="1" applyBorder="1" applyAlignment="1">
      <x:alignment horizontal="center" vertical="center" wrapText="1"/>
    </x:xf>
    <x:xf numFmtId="0" fontId="15" fillId="13" borderId="15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12">
    <x:dxf>
      <x:font>
        <x:b/>
        <x:sz val="9"/>
        <x:color rgb="FFC0392B"/>
        <x:name val="Arial"/>
      </x:font>
      <x:fill>
        <x:patternFill>
          <x:bgColor rgb="FFFBDDDC"/>
        </x:patternFill>
      </x:fill>
    </x:dxf>
    <x:dxf>
      <x:font>
        <x:b/>
        <x:sz val="9"/>
        <x:color rgb="FF1E7B34"/>
        <x:name val="Arial"/>
      </x:font>
      <x:fill>
        <x:patternFill>
          <x:bgColor rgb="FFE4F2E4"/>
        </x:patternFill>
      </x:fill>
    </x:dxf>
    <x:dxf>
      <x:font>
        <x:b/>
        <x:sz val="9"/>
        <x:color rgb="FFC0392B"/>
        <x:name val="Arial"/>
      </x:font>
      <x:fill>
        <x:patternFill>
          <x:bgColor rgb="FFFBDDDC"/>
        </x:patternFill>
      </x:fill>
    </x:dxf>
    <x:dxf>
      <x:font>
        <x:b/>
        <x:sz val="9"/>
        <x:color rgb="FFC0392B"/>
        <x:name val="Arial"/>
      </x:font>
      <x:fill>
        <x:patternFill>
          <x:bgColor rgb="FFFBDDDC"/>
        </x:patternFill>
      </x:fill>
    </x:dxf>
    <x:dxf>
      <x:font>
        <x:b/>
        <x:sz val="9"/>
        <x:color rgb="FF1E7B34"/>
        <x:name val="Arial"/>
      </x:font>
      <x:fill>
        <x:patternFill>
          <x:bgColor rgb="FFE4F2E4"/>
        </x:patternFill>
      </x:fill>
    </x:dxf>
    <x:dxf>
      <x:fill>
        <x:patternFill>
          <x:bgColor rgb="FFE8EDF5"/>
        </x:patternFill>
      </x:fill>
    </x:dxf>
    <x:dxf>
      <x:fill>
        <x:patternFill>
          <x:bgColor rgb="FFD6E4F7"/>
        </x:patternFill>
      </x:fill>
    </x:dxf>
    <x:dxf>
      <x:font>
        <x:b/>
        <x:sz val="9"/>
        <x:color rgb="FFFFFFFF"/>
        <x:name val="Arial"/>
      </x:font>
      <x:fill>
        <x:patternFill>
          <x:bgColor rgb="FF12294D"/>
        </x:patternFill>
      </x:fill>
    </x:dxf>
    <x:dxf>
      <x:fill>
        <x:patternFill>
          <x:bgColor rgb="FFFBDDDC"/>
        </x:patternFill>
      </x:fill>
    </x:dxf>
    <x:dxf>
      <x:font>
        <x:b/>
      </x:font>
      <x:fill>
        <x:patternFill patternType="solid">
          <x:bgColor rgb="FFC6E0B4"/>
        </x:patternFill>
      </x:fill>
    </x:dxf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4CCCC"/>
        </x:patternFill>
      </x:fill>
    </x:dxf>
  </x:dxf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1E7B34"/>
      <x:rgbColor rgb="FF000080"/>
      <x:rgbColor rgb="FFB98600"/>
      <x:rgbColor rgb="FF800080"/>
      <x:rgbColor rgb="FF008080"/>
      <x:rgbColor rgb="FFD6E4F7"/>
      <x:rgbColor rgb="FF808080"/>
      <x:rgbColor rgb="FF9999FF"/>
      <x:rgbColor rgb="FF993366"/>
      <x:rgbColor rgb="FFFFF6DC"/>
      <x:rgbColor rgb="FFE8EDF5"/>
      <x:rgbColor rgb="FF660066"/>
      <x:rgbColor rgb="FFFF8080"/>
      <x:rgbColor rgb="FF0066CC"/>
      <x:rgbColor rgb="FFC9D3E4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EEF2F8"/>
      <x:rgbColor rgb="FFE4F2E4"/>
      <x:rgbColor rgb="FFF4F6FA"/>
      <x:rgbColor rgb="FF99CCFF"/>
      <x:rgbColor rgb="FFFF99CC"/>
      <x:rgbColor rgb="FFCC99FF"/>
      <x:rgbColor rgb="FFFBDDDC"/>
      <x:rgbColor rgb="FF3366FF"/>
      <x:rgbColor rgb="FF33CCCC"/>
      <x:rgbColor rgb="FF99CC00"/>
      <x:rgbColor rgb="FFFFC000"/>
      <x:rgbColor rgb="FFFF9900"/>
      <x:rgbColor rgb="FFFF6600"/>
      <x:rgbColor rgb="FF5A6472"/>
      <x:rgbColor rgb="FF969696"/>
      <x:rgbColor rgb="FF12294D"/>
      <x:rgbColor rgb="FF339966"/>
      <x:rgbColor rgb="FF003300"/>
      <x:rgbColor rgb="FF333300"/>
      <x:rgbColor rgb="FFC0392B"/>
      <x:rgbColor rgb="FF993366"/>
      <x:rgbColor rgb="FF1F3A66"/>
      <x:rgbColor rgb="FF1C1C1C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c5a816bb4064f61" /><Relationship Type="http://schemas.openxmlformats.org/officeDocument/2006/relationships/theme" Target="/xl/theme/theme1.xml" Id="R7a78f744abdf438c" /><Relationship Type="http://schemas.openxmlformats.org/officeDocument/2006/relationships/sharedStrings" Target="/xl/sharedStrings.xml" Id="R07200c1745954988" /><Relationship Type="http://schemas.openxmlformats.org/officeDocument/2006/relationships/worksheet" Target="/xl/worksheets/sheet1.xml" Id="Rf939284485c34495" /><Relationship Type="http://schemas.openxmlformats.org/officeDocument/2006/relationships/worksheet" Target="/xl/worksheets/sheet2.xml" Id="Rbf453169d8bc4c94" /><Relationship Type="http://schemas.openxmlformats.org/officeDocument/2006/relationships/worksheet" Target="/xl/worksheets/sheet3.xml" Id="Rfb7540230fa1402b" /><Relationship Type="http://schemas.openxmlformats.org/officeDocument/2006/relationships/worksheet" Target="/xl/worksheets/sheet4.xml" Id="Re6ff2ac82a29435f" /><Relationship Type="http://schemas.openxmlformats.org/officeDocument/2006/relationships/worksheet" Target="/xl/worksheets/sheet5.xml" Id="Rd378d1a1d53f446e" /><Relationship Type="http://schemas.openxmlformats.org/officeDocument/2006/relationships/worksheet" Target="/xl/worksheets/sheet6.xml" Id="Ra43f46edb6fa43e1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3A66"/>
  </x:sheetPr>
  <x:sheetViews>
    <x:sheetView showGridLines="0" workbookViewId="0"/>
  </x:sheetViews>
  <x:sheetFormatPr defaultColWidth="8.7109375" defaultRowHeight="15"/>
  <x:cols>
    <x:col min="1" max="1" width="8" customWidth="1"/>
    <x:col min="2" max="2" width="26" customWidth="1"/>
    <x:col min="3" max="3" width="52" customWidth="1"/>
    <x:col min="4" max="4" width="18" customWidth="1"/>
    <x:col min="5" max="5" width="26" customWidth="1"/>
  </x:cols>
  <x:sheetData>
    <x:row r="1" ht="30" customHeight="1">
      <x:c r="A1" s="8" t="str">
        <x:v>INTERESADOS DEL PROYECTO HUATA</x:v>
      </x:c>
      <x:c r="B1" s="8"/>
      <x:c r="C1" s="8"/>
      <x:c r="D1" s="8"/>
      <x:c r="E1" s="8"/>
    </x:row>
    <x:row r="2" ht="18" customHeight="1">
      <x:c r="A2" s="9" t="str">
        <x:v>Actores vinculados al sistema Huata Lácteos · Control de Acopio y sus necesidades principales.</x:v>
      </x:c>
      <x:c r="B2" s="9"/>
      <x:c r="C2" s="9"/>
      <x:c r="D2" s="9"/>
      <x:c r="E2" s="9"/>
    </x:row>
    <x:row r="4" ht="27.75" customHeight="1">
      <x:c r="A4" s="1" t="s">
        <x:v>0</x:v>
      </x:c>
      <x:c r="B4" s="1" t="s">
        <x:v>1</x:v>
      </x:c>
      <x:c r="C4" s="1" t="s">
        <x:v>2</x:v>
      </x:c>
      <x:c r="D4" s="1" t="s">
        <x:v>3</x:v>
      </x:c>
      <x:c r="E4" s="1" t="s">
        <x:v>4</x:v>
      </x:c>
    </x:row>
    <x:row r="5" ht="30" customHeight="1">
      <x:c r="A5" s="2" t="str">
        <x:v>INT-01</x:v>
      </x:c>
      <x:c r="B5" s="3" t="str">
        <x:v>Administración / Gerencia de Huata</x:v>
      </x:c>
      <x:c r="C5" s="3" t="str">
        <x:v>Controlar el acopio de leche, costos, pagos, calidad, proveedores e indicadores para tomar decisiones.</x:v>
      </x:c>
      <x:c r="D5" s="2" t="str">
        <x:v>Alta</x:v>
      </x:c>
      <x:c r="E5" s="3" t="str">
        <x:v>Entrevista + revisión del proceso actual</x:v>
      </x:c>
    </x:row>
    <x:row r="6" ht="30" customHeight="1">
      <x:c r="A6" s="2" t="str">
        <x:v>INT-02</x:v>
      </x:c>
      <x:c r="B6" s="3" t="str">
        <x:v>Encargado de acopio / recepción</x:v>
      </x:c>
      <x:c r="C6" s="3" t="str">
        <x:v>Registrar las entregas diarias de leche por proveedor y zona, con litros, fecha, calidad y observaciones.</x:v>
      </x:c>
      <x:c r="D6" s="2" t="str">
        <x:v>Alta</x:v>
      </x:c>
      <x:c r="E6" s="3" t="str">
        <x:v>Observación del flujo de acopio + entrevista</x:v>
      </x:c>
    </x:row>
    <x:row r="7" ht="30" customHeight="1">
      <x:c r="A7" s="2" t="str">
        <x:v>INT-03</x:v>
      </x:c>
      <x:c r="B7" s="3" t="str">
        <x:v>Responsable de control de calidad</x:v>
      </x:c>
      <x:c r="C7" s="3" t="str">
        <x:v>Registrar resultados de calidad, detectar posible adulteración con agua y mantener el historial de incidencias por proveedor.</x:v>
      </x:c>
      <x:c r="D7" s="2" t="str">
        <x:v>Alta</x:v>
      </x:c>
      <x:c r="E7" s="3" t="str">
        <x:v>Entrevista + revisión de controles de calidad</x:v>
      </x:c>
    </x:row>
    <x:row r="8" ht="30" customHeight="1">
      <x:c r="A8" s="2" t="str">
        <x:v>INT-04</x:v>
      </x:c>
      <x:c r="B8" s="3" t="str">
        <x:v>Proveedor de leche</x:v>
      </x:c>
      <x:c r="C8" s="3" t="str">
        <x:v>Tener sus entregas correctamente registradas y recibir el pago semanal correspondiente según cantidad y calidad.</x:v>
      </x:c>
      <x:c r="D8" s="2" t="str">
        <x:v>Media</x:v>
      </x:c>
      <x:c r="E8" s="3" t="str">
        <x:v>Entrevista / validación del proceso de pago</x:v>
      </x:c>
    </x:row>
    <x:row r="9" ht="30" customHeight="1">
      <x:c r="A9" s="2" t="str">
        <x:v>INT-05</x:v>
      </x:c>
      <x:c r="B9" s="3" t="str">
        <x:v>Encargado de producción, quesos y reportes</x:v>
      </x:c>
      <x:c r="C9" s="3" t="str">
        <x:v>Consultar rendimiento, resumen por zonas, producción/venta de quesos y generar reportes confiables.</x:v>
      </x:c>
      <x:c r="D9" s="2" t="str">
        <x:v>Media</x:v>
      </x:c>
      <x:c r="E9" s="3" t="str">
        <x:v>Revisión de registros y necesidades de reporte</x:v>
      </x:c>
    </x:row>
    <x:row r="10" ht="25.5" customHeight="1">
      <x:c r="A10" s="4"/>
      <x:c r="B10" s="4"/>
      <x:c r="C10" s="4"/>
      <x:c r="D10" s="4"/>
      <x:c r="E10" s="4"/>
    </x:row>
    <x:row r="11" ht="25.5" customHeight="1">
      <x:c r="A11" s="4"/>
      <x:c r="B11" s="4"/>
      <x:c r="C11" s="4"/>
      <x:c r="D11" s="4"/>
      <x:c r="E11" s="4"/>
    </x:row>
    <x:row r="12" ht="25.5" customHeight="1">
      <x:c r="A12" s="4"/>
      <x:c r="B12" s="4"/>
      <x:c r="C12" s="4"/>
      <x:c r="D12" s="4"/>
      <x:c r="E12" s="4"/>
    </x:row>
    <x:row r="13" ht="25.5" customHeight="1">
      <x:c r="A13" s="4"/>
      <x:c r="B13" s="4"/>
      <x:c r="C13" s="4"/>
      <x:c r="D13" s="4"/>
      <x:c r="E13" s="4"/>
    </x:row>
    <x:row r="14" ht="25.5" customHeight="1">
      <x:c r="A14" s="4"/>
      <x:c r="B14" s="4"/>
      <x:c r="C14" s="4"/>
      <x:c r="D14" s="4"/>
      <x:c r="E14" s="4"/>
    </x:row>
    <x:row r="15" ht="25.5" customHeight="1">
      <x:c r="A15" s="4"/>
      <x:c r="B15" s="4"/>
      <x:c r="C15" s="4"/>
      <x:c r="D15" s="4"/>
      <x:c r="E15" s="4"/>
    </x:row>
    <x:row r="16" ht="25.5" customHeight="1">
      <x:c r="A16" s="4"/>
      <x:c r="B16" s="4"/>
      <x:c r="C16" s="4"/>
      <x:c r="D16" s="4"/>
      <x:c r="E16" s="4"/>
    </x:row>
    <x:row r="17" ht="25.5" customHeight="1">
      <x:c r="A17" s="4"/>
      <x:c r="B17" s="4"/>
      <x:c r="C17" s="4"/>
      <x:c r="D17" s="4"/>
      <x:c r="E17" s="4"/>
    </x:row>
    <x:row r="18" ht="25.5" customHeight="1">
      <x:c r="A18" s="4"/>
      <x:c r="B18" s="4"/>
      <x:c r="C18" s="4"/>
      <x:c r="D18" s="4"/>
      <x:c r="E18" s="4"/>
    </x:row>
    <x:row r="19" ht="25.5" customHeight="1">
      <x:c r="A19" s="4"/>
      <x:c r="B19" s="4"/>
      <x:c r="C19" s="4"/>
      <x:c r="D19" s="4"/>
      <x:c r="E19" s="4"/>
    </x:row>
  </x:sheetData>
  <x:mergeCells>
    <x:mergeCell ref="A1:E1"/>
    <x:mergeCell ref="A2:E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1F3A66"/>
  </x:sheetPr>
  <x:sheetViews>
    <x:sheetView showGridLines="0" workbookViewId="0"/>
  </x:sheetViews>
  <x:sheetFormatPr defaultColWidth="8.7109375" defaultRowHeight="15"/>
  <x:cols>
    <x:col min="1" max="1" width="8" customWidth="1"/>
    <x:col min="2" max="2" width="68" customWidth="1"/>
    <x:col min="3" max="3" width="22" customWidth="1"/>
    <x:col min="4" max="4" width="30" customWidth="1"/>
  </x:cols>
  <x:sheetData>
    <x:row r="1" ht="30" customHeight="1">
      <x:c r="A1" s="8" t="str">
        <x:v>REGLAS DE NEGOCIO - HUATA LÁCTEOS</x:v>
      </x:c>
      <x:c r="B1" s="8"/>
      <x:c r="C1" s="8"/>
      <x:c r="D1" s="8"/>
    </x:row>
    <x:row r="2" ht="18" customHeight="1">
      <x:c r="A2" s="9" t="str">
        <x:v>Reglas operativas que el sistema debe respetar para el acopio, calidad, proveedores, pagos y gestión de datos.</x:v>
      </x:c>
      <x:c r="B2" s="9"/>
      <x:c r="C2" s="9"/>
      <x:c r="D2" s="9"/>
    </x:row>
    <x:row r="4" ht="27.75" customHeight="1">
      <x:c r="A4" s="1" t="s">
        <x:v>0</x:v>
      </x:c>
      <x:c r="B4" s="1" t="s">
        <x:v>5</x:v>
      </x:c>
      <x:c r="C4" s="1" t="s">
        <x:v>6</x:v>
      </x:c>
      <x:c r="D4" s="1" t="s">
        <x:v>7</x:v>
      </x:c>
    </x:row>
    <x:row r="5" ht="30" customHeight="1">
      <x:c r="A5" s="2" t="str">
        <x:v>RN-01</x:v>
      </x:c>
      <x:c r="B5" s="3" t="str">
        <x:v>La leche aceptada con calidad normal se compra a S/ 1.75 por litro.</x:v>
      </x:c>
      <x:c r="C5" s="3" t="str">
        <x:v>Política de compra de Huata</x:v>
      </x:c>
      <x:c r="D5" s="3" t="str">
        <x:v>RF-03</x:v>
      </x:c>
    </x:row>
    <x:row r="6" ht="30" customHeight="1">
      <x:c r="A6" s="2" t="str">
        <x:v>RN-02</x:v>
      </x:c>
      <x:c r="B6" s="3" t="str">
        <x:v>La leche de baja calidad o con sospecha/confirmación de mezcla con agua se valoriza a S/ 1.30 por litro.</x:v>
      </x:c>
      <x:c r="C6" s="3" t="str">
        <x:v>Política de calidad y compra</x:v>
      </x:c>
      <x:c r="D6" s="3" t="str">
        <x:v>RF-03, RF-04</x:v>
      </x:c>
    </x:row>
    <x:row r="7" ht="30" customHeight="1">
      <x:c r="A7" s="2" t="str">
        <x:v>RN-03</x:v>
      </x:c>
      <x:c r="B7" s="3" t="str">
        <x:v>Toda incidencia de mala calidad o adulteración debe quedar registrada en el historial del proveedor con fecha, resultado y observación.</x:v>
      </x:c>
      <x:c r="C7" s="3" t="str">
        <x:v>Control de calidad</x:v>
      </x:c>
      <x:c r="D7" s="3" t="str">
        <x:v>RF-04, RF-05</x:v>
      </x:c>
    </x:row>
    <x:row r="8" ht="30" customHeight="1">
      <x:c r="A8" s="2" t="str">
        <x:v>RN-04</x:v>
      </x:c>
      <x:c r="B8" s="3" t="str">
        <x:v>Si un proveedor reincide en mala calidad o se confirma adulteración con agua, la administración puede inactivarlo y dejar de comprarle leche.</x:v>
      </x:c>
      <x:c r="C8" s="3" t="str">
        <x:v>Decisión operativa de Huata</x:v>
      </x:c>
      <x:c r="D8" s="3" t="str">
        <x:v>RF-01, RF-06</x:v>
      </x:c>
    </x:row>
    <x:row r="9" ht="30" customHeight="1">
      <x:c r="A9" s="2" t="str">
        <x:v>RN-05</x:v>
      </x:c>
      <x:c r="B9" s="3" t="str">
        <x:v>Los pagos a proveedores se consolidan semanalmente y se realizan cada viernes según litros validados, precio aplicado y descuentos registrados.</x:v>
      </x:c>
      <x:c r="C9" s="3" t="str">
        <x:v>Proceso de pagos</x:v>
      </x:c>
      <x:c r="D9" s="3" t="str">
        <x:v>RF-07</x:v>
      </x:c>
    </x:row>
    <x:row r="10" ht="30" customHeight="1">
      <x:c r="A10" s="2" t="str">
        <x:v>RN-06</x:v>
      </x:c>
      <x:c r="B10" s="3" t="str">
        <x:v>Toda entrega de leche debe estar asociada a un proveedor, una zona de acopio, una fecha y un resultado/estado de calidad.</x:v>
      </x:c>
      <x:c r="C10" s="3" t="str">
        <x:v>Proceso de acopio</x:v>
      </x:c>
      <x:c r="D10" s="3" t="str">
        <x:v>RF-02, RF-04, RF-09</x:v>
      </x:c>
    </x:row>
    <x:row r="11" ht="30" customHeight="1">
      <x:c r="A11" s="2" t="str">
        <x:v>RN-07</x:v>
      </x:c>
      <x:c r="B11" s="3" t="str">
        <x:v>La importación de Excel debe validar estructura y datos antes de incorporarlos; la exportación debe conservar los módulos del sistema sin perder información.</x:v>
      </x:c>
      <x:c r="C11" s="3" t="str">
        <x:v>Gestión de datos</x:v>
      </x:c>
      <x:c r="D11" s="3" t="str">
        <x:v>RF-11, RNF-04</x:v>
      </x:c>
    </x:row>
    <x:row r="12" ht="25.5" customHeight="1">
      <x:c r="A12" s="4"/>
      <x:c r="B12" s="4"/>
      <x:c r="C12" s="4"/>
      <x:c r="D12" s="4"/>
    </x:row>
    <x:row r="13" ht="25.5" customHeight="1">
      <x:c r="A13" s="4"/>
      <x:c r="B13" s="4"/>
      <x:c r="C13" s="4"/>
      <x:c r="D13" s="4"/>
    </x:row>
    <x:row r="14" ht="25.5" customHeight="1">
      <x:c r="A14" s="4"/>
      <x:c r="B14" s="4"/>
      <x:c r="C14" s="4"/>
      <x:c r="D14" s="4"/>
    </x:row>
    <x:row r="15" ht="25.5" customHeight="1">
      <x:c r="A15" s="4"/>
      <x:c r="B15" s="4"/>
      <x:c r="C15" s="4"/>
      <x:c r="D15" s="4"/>
    </x:row>
    <x:row r="16" ht="25.5" customHeight="1">
      <x:c r="A16" s="4"/>
      <x:c r="B16" s="4"/>
      <x:c r="C16" s="4"/>
      <x:c r="D16" s="4"/>
    </x:row>
    <x:row r="17" ht="25.5" customHeight="1">
      <x:c r="A17" s="4"/>
      <x:c r="B17" s="4"/>
      <x:c r="C17" s="4"/>
      <x:c r="D17" s="4"/>
    </x:row>
    <x:row r="18" ht="25.5" customHeight="1">
      <x:c r="A18" s="4"/>
      <x:c r="B18" s="4"/>
      <x:c r="C18" s="4"/>
      <x:c r="D18" s="4"/>
    </x:row>
    <x:row r="19" ht="25.5" customHeight="1">
      <x:c r="A19" s="4"/>
      <x:c r="B19" s="4"/>
      <x:c r="C19" s="4"/>
      <x:c r="D19" s="4"/>
    </x:row>
    <x:row r="20" ht="25.5" customHeight="1">
      <x:c r="A20" s="4"/>
      <x:c r="B20" s="4"/>
      <x:c r="C20" s="4"/>
      <x:c r="D20" s="4"/>
    </x:row>
    <x:row r="21" ht="25.5" customHeight="1">
      <x:c r="A21" s="4"/>
      <x:c r="B21" s="4"/>
      <x:c r="C21" s="4"/>
      <x:c r="D21" s="4"/>
    </x:row>
  </x:sheetData>
  <x:mergeCells>
    <x:mergeCell ref="A1:D1"/>
    <x:mergeCell ref="A2:D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FFC000"/>
  </x:sheetPr>
  <x:sheetViews>
    <x:sheetView showGridLines="0" workbookViewId="0"/>
  </x:sheetViews>
  <x:sheetFormatPr defaultColWidth="8.7109375" defaultRowHeight="15"/>
  <x:cols>
    <x:col min="1" max="1" width="9" customWidth="1"/>
    <x:col min="2" max="2" width="24" customWidth="1"/>
    <x:col min="3" max="3" width="62" customWidth="1"/>
    <x:col min="4" max="4" width="13" customWidth="1"/>
    <x:col min="5" max="5" width="16" customWidth="1"/>
    <x:col min="6" max="6" width="18" customWidth="1"/>
    <x:col min="7" max="7" width="17" customWidth="1"/>
    <x:col min="8" max="8" width="15" customWidth="1"/>
    <x:col min="9" max="9" width="11" customWidth="1"/>
    <x:col min="10" max="10" width="52" customWidth="1"/>
    <x:col min="11" max="11" width="17" customWidth="1"/>
    <x:col min="12" max="13" width="14" customWidth="1"/>
  </x:cols>
  <x:sheetData>
    <x:row r="1" ht="30" customHeight="1">
      <x:c r="A1" s="8" t="str">
        <x:v>MATRIZ DE REQUERIMIENTOS - HUATA LÁCTEOS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18" customHeight="1">
      <x:c r="A2" s="9" t="str">
        <x:v>Requerimientos del sistema de control de acopio, calidad, pagos, zonas, quesos, reportes e integración con Excel.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</x:row>
    <x:row r="4" ht="33.75" customHeight="1">
      <x:c r="A4" s="5" t="s">
        <x:v>0</x:v>
      </x:c>
      <x:c r="B4" s="5" t="s">
        <x:v>8</x:v>
      </x:c>
      <x:c r="C4" s="5" t="s">
        <x:v>9</x:v>
      </x:c>
      <x:c r="D4" s="5" t="s">
        <x:v>10</x:v>
      </x:c>
      <x:c r="E4" s="5" t="s">
        <x:v>11</x:v>
      </x:c>
      <x:c r="F4" s="5" t="s">
        <x:v>12</x:v>
      </x:c>
      <x:c r="G4" s="5" t="s">
        <x:v>13</x:v>
      </x:c>
      <x:c r="H4" s="5" t="s">
        <x:v>14</x:v>
      </x:c>
      <x:c r="I4" s="5" t="s">
        <x:v>15</x:v>
      </x:c>
      <x:c r="J4" s="5" t="s">
        <x:v>16</x:v>
      </x:c>
      <x:c r="K4" s="5" t="s">
        <x:v>17</x:v>
      </x:c>
      <x:c r="L4" s="5" t="s">
        <x:v>18</x:v>
      </x:c>
      <x:c r="M4" s="5" t="s">
        <x:v>19</x:v>
      </x:c>
    </x:row>
    <x:row r="5" ht="39.75" customHeight="1">
      <x:c r="A5" s="2" t="str">
        <x:v>RF-01</x:v>
      </x:c>
      <x:c r="B5" s="3" t="str">
        <x:v>Administrar proveedores</x:v>
      </x:c>
      <x:c r="C5" s="3" t="str">
        <x:v>El sistema deberá registrar, editar, consultar e inactivar proveedores, incluyendo zona, datos de contacto, estado y motivo de inactivación cuando corresponda.</x:v>
      </x:c>
      <x:c r="D5" s="2" t="str">
        <x:v>Funcional</x:v>
      </x:c>
      <x:c r="E5" s="3" t="str">
        <x:v>—</x:v>
      </x:c>
      <x:c r="F5" s="3" t="str">
        <x:v>Administrador / Encargado</x:v>
      </x:c>
      <x:c r="G5" s="3" t="str">
        <x:v>Entrevista</x:v>
      </x:c>
      <x:c r="H5" s="3" t="str">
        <x:v>INT-01, INT-02</x:v>
      </x:c>
      <x:c r="I5" s="2" t="str">
        <x:v>Must</x:v>
      </x:c>
      <x:c r="J5" s="3" t="str">
        <x:v>Se puede crear y editar un proveedor; un proveedor inactivo queda identificado y no puede seleccionarse para nuevas compras sin reactivación.</x:v>
      </x:c>
      <x:c r="K5" s="3" t="str">
        <x:v>Proveedores</x:v>
      </x:c>
      <x:c r="L5" s="3" t="str">
        <x:v>—</x:v>
      </x:c>
      <x:c r="M5" s="3" t="str">
        <x:v>Aprobado</x:v>
      </x:c>
    </x:row>
    <x:row r="6" ht="39.75" customHeight="1">
      <x:c r="A6" s="2" t="str">
        <x:v>RF-02</x:v>
      </x:c>
      <x:c r="B6" s="3" t="str">
        <x:v>Registrar acopio y rendimiento</x:v>
      </x:c>
      <x:c r="C6" s="3" t="str">
        <x:v>El sistema deberá registrar cada entrega de leche por proveedor, fecha y zona, almacenando litros diarios y permitiendo obtener el total semanal.</x:v>
      </x:c>
      <x:c r="D6" s="2" t="str">
        <x:v>Funcional</x:v>
      </x:c>
      <x:c r="E6" s="3" t="str">
        <x:v>—</x:v>
      </x:c>
      <x:c r="F6" s="3" t="str">
        <x:v>Encargado de acopio</x:v>
      </x:c>
      <x:c r="G6" s="3" t="str">
        <x:v>Proceso de negocio</x:v>
      </x:c>
      <x:c r="H6" s="3" t="str">
        <x:v>RN-06</x:v>
      </x:c>
      <x:c r="I6" s="2" t="str">
        <x:v>Must</x:v>
      </x:c>
      <x:c r="J6" s="3" t="str">
        <x:v>Al guardar una entrega, los litros aparecen en el historial del proveedor y el total semanal se actualiza correctamente.</x:v>
      </x:c>
      <x:c r="K6" s="3" t="str">
        <x:v>Rendimiento / Acopio</x:v>
      </x:c>
      <x:c r="L6" s="3" t="str">
        <x:v>RF-01</x:v>
      </x:c>
      <x:c r="M6" s="3" t="str">
        <x:v>Aprobado</x:v>
      </x:c>
    </x:row>
    <x:row r="7" ht="39.75" customHeight="1">
      <x:c r="A7" s="2" t="str">
        <x:v>RF-03</x:v>
      </x:c>
      <x:c r="B7" s="3" t="str">
        <x:v>Calcular precio e importe de compra</x:v>
      </x:c>
      <x:c r="C7" s="3" t="str">
        <x:v>El sistema deberá calcular el importe de cada entrega aplicando S/ 1.75 por litro para leche de calidad normal y S/ 1.30 por litro para leche de baja calidad o con sospecha/confirmación de agua.</x:v>
      </x:c>
      <x:c r="D7" s="2" t="str">
        <x:v>Funcional</x:v>
      </x:c>
      <x:c r="E7" s="3" t="str">
        <x:v>—</x:v>
      </x:c>
      <x:c r="F7" s="3" t="str">
        <x:v>Encargado / Administrador</x:v>
      </x:c>
      <x:c r="G7" s="3" t="str">
        <x:v>Regla de negocio</x:v>
      </x:c>
      <x:c r="H7" s="3" t="str">
        <x:v>RN-01, RN-02</x:v>
      </x:c>
      <x:c r="I7" s="2" t="str">
        <x:v>Must</x:v>
      </x:c>
      <x:c r="J7" s="3" t="str">
        <x:v>Una entrega normal usa S/ 1.75/L; una entrega observada por calidad usa S/ 1.30/L y el importe total coincide con litros × precio.</x:v>
      </x:c>
      <x:c r="K7" s="3" t="str">
        <x:v>Acopio / Pagos</x:v>
      </x:c>
      <x:c r="L7" s="3" t="str">
        <x:v>RF-02, RF-04</x:v>
      </x:c>
      <x:c r="M7" s="3" t="str">
        <x:v>Aprobado</x:v>
      </x:c>
    </x:row>
    <x:row r="8" ht="39.75" customHeight="1">
      <x:c r="A8" s="2" t="str">
        <x:v>RF-04</x:v>
      </x:c>
      <x:c r="B8" s="3" t="str">
        <x:v>Registrar control de calidad</x:v>
      </x:c>
      <x:c r="C8" s="3" t="str">
        <x:v>El sistema deberá registrar controles de calidad por fecha y referencia, indicando resultado, presencia o sospecha de agua, observaciones y condición de la leche.</x:v>
      </x:c>
      <x:c r="D8" s="2" t="str">
        <x:v>Funcional</x:v>
      </x:c>
      <x:c r="E8" s="3" t="str">
        <x:v>—</x:v>
      </x:c>
      <x:c r="F8" s="3" t="str">
        <x:v>Responsable de calidad</x:v>
      </x:c>
      <x:c r="G8" s="3" t="str">
        <x:v>Regla de negocio</x:v>
      </x:c>
      <x:c r="H8" s="3" t="str">
        <x:v>RN-02, RN-03, RN-06</x:v>
      </x:c>
      <x:c r="I8" s="2" t="str">
        <x:v>Must</x:v>
      </x:c>
      <x:c r="J8" s="3" t="str">
        <x:v>Cada control queda asociado a la entrega/proveedor y muestra resultado y observación; los casos de baja calidad quedan marcados.</x:v>
      </x:c>
      <x:c r="K8" s="3" t="str">
        <x:v>Calidad</x:v>
      </x:c>
      <x:c r="L8" s="3" t="str">
        <x:v>RF-02</x:v>
      </x:c>
      <x:c r="M8" s="3" t="str">
        <x:v>Aprobado</x:v>
      </x:c>
    </x:row>
    <x:row r="9" ht="39.75" customHeight="1">
      <x:c r="A9" s="2" t="str">
        <x:v>RF-05</x:v>
      </x:c>
      <x:c r="B9" s="3" t="str">
        <x:v>Consultar historial de calidad del proveedor</x:v>
      </x:c>
      <x:c r="C9" s="3" t="str">
        <x:v>El sistema deberá mantener un historial cronológico de incidencias de mala calidad por proveedor para conocer cuántas veces presentó problemas y qué ocurrió en cada caso.</x:v>
      </x:c>
      <x:c r="D9" s="2" t="str">
        <x:v>Funcional</x:v>
      </x:c>
      <x:c r="E9" s="3" t="str">
        <x:v>—</x:v>
      </x:c>
      <x:c r="F9" s="3" t="str">
        <x:v>Administrador / Calidad</x:v>
      </x:c>
      <x:c r="G9" s="3" t="str">
        <x:v>Entrevista</x:v>
      </x:c>
      <x:c r="H9" s="3" t="str">
        <x:v>INT-03</x:v>
      </x:c>
      <x:c r="I9" s="2" t="str">
        <x:v>Must</x:v>
      </x:c>
      <x:c r="J9" s="3" t="str">
        <x:v>El perfil del proveedor muestra número de incidencias y detalle con fecha, resultado, observación y referencia de la entrega.</x:v>
      </x:c>
      <x:c r="K9" s="3" t="str">
        <x:v>Calidad / Proveedores</x:v>
      </x:c>
      <x:c r="L9" s="3" t="str">
        <x:v>RF-04</x:v>
      </x:c>
      <x:c r="M9" s="3" t="str">
        <x:v>Aprobado</x:v>
      </x:c>
    </x:row>
    <x:row r="10" ht="39.75" customHeight="1">
      <x:c r="A10" s="2" t="str">
        <x:v>RF-06</x:v>
      </x:c>
      <x:c r="B10" s="3" t="str">
        <x:v>Inactivar proveedor por reincidencia o adulteración</x:v>
      </x:c>
      <x:c r="C10" s="3" t="str">
        <x:v>El sistema deberá permitir inactivar a un proveedor cuando la administración determine reincidencia de mala calidad o confirme adulteración con agua, conservando su historial.</x:v>
      </x:c>
      <x:c r="D10" s="2" t="str">
        <x:v>Funcional</x:v>
      </x:c>
      <x:c r="E10" s="3" t="str">
        <x:v>—</x:v>
      </x:c>
      <x:c r="F10" s="3" t="str">
        <x:v>Administrador</x:v>
      </x:c>
      <x:c r="G10" s="3" t="str">
        <x:v>Regla de negocio</x:v>
      </x:c>
      <x:c r="H10" s="3" t="str">
        <x:v>RN-04</x:v>
      </x:c>
      <x:c r="I10" s="2" t="str">
        <x:v>Must</x:v>
      </x:c>
      <x:c r="J10" s="3" t="str">
        <x:v>El proveedor puede marcarse como inactivo con motivo; sus datos e incidencias se conservan y deja de estar disponible para nuevas compras.</x:v>
      </x:c>
      <x:c r="K10" s="3" t="str">
        <x:v>Proveedores / Calidad</x:v>
      </x:c>
      <x:c r="L10" s="3" t="str">
        <x:v>RF-05</x:v>
      </x:c>
      <x:c r="M10" s="3" t="str">
        <x:v>Aprobado</x:v>
      </x:c>
    </x:row>
    <x:row r="11" ht="39.75" customHeight="1">
      <x:c r="A11" s="2" t="str">
        <x:v>RF-07</x:v>
      </x:c>
      <x:c r="B11" s="3" t="str">
        <x:v>Generar pagos semanales de los viernes</x:v>
      </x:c>
      <x:c r="C11" s="3" t="str">
        <x:v>El sistema deberá consolidar semanalmente las entregas de cada proveedor y calcular el pago correspondiente para el viernes, considerando litros, precio aplicado y descuentos como descuento de queso cuando exista.</x:v>
      </x:c>
      <x:c r="D11" s="2" t="str">
        <x:v>Funcional</x:v>
      </x:c>
      <x:c r="E11" s="3" t="str">
        <x:v>—</x:v>
      </x:c>
      <x:c r="F11" s="3" t="str">
        <x:v>Administrador / Pagos</x:v>
      </x:c>
      <x:c r="G11" s="3" t="str">
        <x:v>Regla de negocio</x:v>
      </x:c>
      <x:c r="H11" s="3" t="str">
        <x:v>RN-05</x:v>
      </x:c>
      <x:c r="I11" s="2" t="str">
        <x:v>Must</x:v>
      </x:c>
      <x:c r="J11" s="3" t="str">
        <x:v>Para cada proveedor se obtiene total de litros, subtotal, descuentos y neto a pagar de la semana; el pago queda identificado con fecha de viernes.</x:v>
      </x:c>
      <x:c r="K11" s="3" t="str">
        <x:v>Pagos</x:v>
      </x:c>
      <x:c r="L11" s="3" t="str">
        <x:v>RF-02, RF-03</x:v>
      </x:c>
      <x:c r="M11" s="3" t="str">
        <x:v>Aprobado</x:v>
      </x:c>
    </x:row>
    <x:row r="12" ht="39.75" customHeight="1">
      <x:c r="A12" s="2" t="str">
        <x:v>RF-08</x:v>
      </x:c>
      <x:c r="B12" s="3" t="str">
        <x:v>Mostrar dashboard de control</x:v>
      </x:c>
      <x:c r="C12" s="3" t="str">
        <x:v>El sistema deberá mostrar un tablero con indicadores de acopio, proveedores, montos, calidad, incidencias y evolución semanal para facilitar el control operativo.</x:v>
      </x:c>
      <x:c r="D12" s="2" t="str">
        <x:v>Funcional</x:v>
      </x:c>
      <x:c r="E12" s="3" t="str">
        <x:v>—</x:v>
      </x:c>
      <x:c r="F12" s="3" t="str">
        <x:v>Administración</x:v>
      </x:c>
      <x:c r="G12" s="3" t="str">
        <x:v>Entrevista</x:v>
      </x:c>
      <x:c r="H12" s="3" t="str">
        <x:v>INT-01</x:v>
      </x:c>
      <x:c r="I12" s="2" t="str">
        <x:v>Should</x:v>
      </x:c>
      <x:c r="J12" s="3" t="str">
        <x:v>El dashboard presenta totales coherentes con los registros y permite identificar rápidamente variaciones e incidencias.</x:v>
      </x:c>
      <x:c r="K12" s="3" t="str">
        <x:v>Dashboard</x:v>
      </x:c>
      <x:c r="L12" s="3" t="str">
        <x:v>RF-02, RF-04, RF-07</x:v>
      </x:c>
      <x:c r="M12" s="3" t="str">
        <x:v>Aprobado</x:v>
      </x:c>
    </x:row>
    <x:row r="13" ht="39.75" customHeight="1">
      <x:c r="A13" s="2" t="str">
        <x:v>RF-09</x:v>
      </x:c>
      <x:c r="B13" s="3" t="str">
        <x:v>Generar resumen por zonas</x:v>
      </x:c>
      <x:c r="C13" s="3" t="str">
        <x:v>El sistema deberá resumir litros, costo por litro, descuentos y neto por las zonas Quillallaka, Santa Bárbara, I Collana, II Collana, Moro Viejo, Yasin Uchuy, Faon y Yasin, Pancha Pampa y Planta.</x:v>
      </x:c>
      <x:c r="D13" s="2" t="str">
        <x:v>Funcional</x:v>
      </x:c>
      <x:c r="E13" s="3" t="str">
        <x:v>—</x:v>
      </x:c>
      <x:c r="F13" s="3" t="str">
        <x:v>Administración / Encargado</x:v>
      </x:c>
      <x:c r="G13" s="3" t="str">
        <x:v>Evidencia de campo</x:v>
      </x:c>
      <x:c r="H13" s="3" t="str">
        <x:v>INT-01, INT-02</x:v>
      </x:c>
      <x:c r="I13" s="2" t="str">
        <x:v>Must</x:v>
      </x:c>
      <x:c r="J13" s="3" t="str">
        <x:v>El resumen muestra las nueve zonas y los totales por zona coinciden con los registros de acopio del periodo seleccionado.</x:v>
      </x:c>
      <x:c r="K13" s="3" t="str">
        <x:v>ResumenZonas</x:v>
      </x:c>
      <x:c r="L13" s="3" t="str">
        <x:v>RF-02, RF-03</x:v>
      </x:c>
      <x:c r="M13" s="3" t="str">
        <x:v>Aprobado</x:v>
      </x:c>
    </x:row>
    <x:row r="14" ht="39.75" customHeight="1">
      <x:c r="A14" s="2" t="str">
        <x:v>RF-10</x:v>
      </x:c>
      <x:c r="B14" s="3" t="str">
        <x:v>Controlar producción y venta de quesos</x:v>
      </x:c>
      <x:c r="C14" s="3" t="str">
        <x:v>El sistema deberá registrar producción y venta de quesos, cantidades, importes y descuentos relacionados para integrarlos con el control económico del periodo.</x:v>
      </x:c>
      <x:c r="D14" s="2" t="str">
        <x:v>Funcional</x:v>
      </x:c>
      <x:c r="E14" s="3" t="str">
        <x:v>—</x:v>
      </x:c>
      <x:c r="F14" s="3" t="str">
        <x:v>Encargado de producción</x:v>
      </x:c>
      <x:c r="G14" s="3" t="str">
        <x:v>Registros actuales</x:v>
      </x:c>
      <x:c r="H14" s="3" t="str">
        <x:v>INT-05</x:v>
      </x:c>
      <x:c r="I14" s="2" t="str">
        <x:v>Should</x:v>
      </x:c>
      <x:c r="J14" s="3" t="str">
        <x:v>Se registran movimientos de quesos y el resumen refleja cantidades e importes sin alterar los datos de acopio.</x:v>
      </x:c>
      <x:c r="K14" s="3" t="str">
        <x:v>Quesos</x:v>
      </x:c>
      <x:c r="L14" s="3" t="str">
        <x:v>—</x:v>
      </x:c>
      <x:c r="M14" s="3" t="str">
        <x:v>Aprobado</x:v>
      </x:c>
    </x:row>
    <x:row r="15" ht="39.75" customHeight="1">
      <x:c r="A15" s="2" t="str">
        <x:v>RF-11</x:v>
      </x:c>
      <x:c r="B15" s="3" t="str">
        <x:v>Importar y exportar Excel</x:v>
      </x:c>
      <x:c r="C15" s="3" t="str">
        <x:v>El sistema deberá exportar e importar archivos Excel de los módulos Proveedores, Rendimiento, ResumenZonas, Quesos, Calidad y Metadatos, validando la estructura antes de incorporar datos.</x:v>
      </x:c>
      <x:c r="D15" s="2" t="str">
        <x:v>Funcional</x:v>
      </x:c>
      <x:c r="E15" s="3" t="str">
        <x:v>—</x:v>
      </x:c>
      <x:c r="F15" s="3" t="str">
        <x:v>Administrador</x:v>
      </x:c>
      <x:c r="G15" s="3" t="str">
        <x:v>Necesidad del proyecto</x:v>
      </x:c>
      <x:c r="H15" s="3" t="str">
        <x:v>RN-07</x:v>
      </x:c>
      <x:c r="I15" s="2" t="str">
        <x:v>Must</x:v>
      </x:c>
      <x:c r="J15" s="3" t="str">
        <x:v>La exportación genera un libro con los módulos definidos; una importación válida recupera los datos y una estructura incorrecta muestra un error sin sobrescribir información correcta.</x:v>
      </x:c>
      <x:c r="K15" s="3" t="str">
        <x:v>Excel / Datos</x:v>
      </x:c>
      <x:c r="L15" s="3" t="str">
        <x:v>RF-01, RF-02, RF-04, RF-09, RF-10</x:v>
      </x:c>
      <x:c r="M15" s="3" t="str">
        <x:v>Aprobado</x:v>
      </x:c>
    </x:row>
    <x:row r="16" ht="39.75" customHeight="1">
      <x:c r="A16" s="2" t="str">
        <x:v>RF-12</x:v>
      </x:c>
      <x:c r="B16" s="3" t="str">
        <x:v>Consultar reportes e historial</x:v>
      </x:c>
      <x:c r="C16" s="3" t="str">
        <x:v>El sistema deberá permitir filtrar y consultar históricos por fecha, proveedor y zona, incluyendo acopio, pagos, calidad y quesos, y preparar los datos para impresión o exportación.</x:v>
      </x:c>
      <x:c r="D16" s="2" t="str">
        <x:v>Funcional</x:v>
      </x:c>
      <x:c r="E16" s="3" t="str">
        <x:v>—</x:v>
      </x:c>
      <x:c r="F16" s="3" t="str">
        <x:v>Administración</x:v>
      </x:c>
      <x:c r="G16" s="3" t="str">
        <x:v>Entrevista</x:v>
      </x:c>
      <x:c r="H16" s="3" t="str">
        <x:v>INT-01, INT-05</x:v>
      </x:c>
      <x:c r="I16" s="2" t="str">
        <x:v>Should</x:v>
      </x:c>
      <x:c r="J16" s="3" t="str">
        <x:v>Los filtros devuelven solo los registros del criterio seleccionado y los totales coinciden con los datos almacenados.</x:v>
      </x:c>
      <x:c r="K16" s="3" t="str">
        <x:v>Reportes</x:v>
      </x:c>
      <x:c r="L16" s="3" t="str">
        <x:v>RF-02, RF-04, RF-07, RF-10</x:v>
      </x:c>
      <x:c r="M16" s="3" t="str">
        <x:v>Aprobado</x:v>
      </x:c>
    </x:row>
    <x:row r="17" ht="39.75" customHeight="1">
      <x:c r="A17" s="2" t="str">
        <x:v>RNF-01</x:v>
      </x:c>
      <x:c r="B17" s="3" t="str">
        <x:v>Interfaz responsive y usable</x:v>
      </x:c>
      <x:c r="C17" s="3" t="str">
        <x:v>El sistema deberá funcionar correctamente en computadora, tablet y teléfono, manteniendo tablas, formularios y navegación legibles y fáciles de usar.</x:v>
      </x:c>
      <x:c r="D17" s="2" t="str">
        <x:v>No funcional</x:v>
      </x:c>
      <x:c r="E17" s="3" t="str">
        <x:v>Usabilidad</x:v>
      </x:c>
      <x:c r="F17" s="3" t="str">
        <x:v>Todos</x:v>
      </x:c>
      <x:c r="G17" s="3" t="str">
        <x:v>Necesidad operativa</x:v>
      </x:c>
      <x:c r="H17" s="3" t="str">
        <x:v>INT-01, INT-02</x:v>
      </x:c>
      <x:c r="I17" s="2" t="str">
        <x:v>Must</x:v>
      </x:c>
      <x:c r="J17" s="3" t="str">
        <x:v>Las funciones principales pueden ejecutarse desde pantalla de escritorio y móvil sin pérdida de información ni controles inaccesibles.</x:v>
      </x:c>
      <x:c r="K17" s="3" t="str">
        <x:v>Transversal</x:v>
      </x:c>
      <x:c r="L17" s="3" t="str">
        <x:v>—</x:v>
      </x:c>
      <x:c r="M17" s="3" t="str">
        <x:v>Aprobado</x:v>
      </x:c>
    </x:row>
    <x:row r="18" ht="39.75" customHeight="1">
      <x:c r="A18" s="2" t="str">
        <x:v>RNF-02</x:v>
      </x:c>
      <x:c r="B18" s="3" t="str">
        <x:v>Rendimiento de consultas</x:v>
      </x:c>
      <x:c r="C18" s="3" t="str">
        <x:v>El sistema deberá responder de forma fluida al consultar, filtrar, guardar y resumir los registros operativos del periodo.</x:v>
      </x:c>
      <x:c r="D18" s="2" t="str">
        <x:v>No funcional</x:v>
      </x:c>
      <x:c r="E18" s="3" t="str">
        <x:v>Rendimiento</x:v>
      </x:c>
      <x:c r="F18" s="3" t="str">
        <x:v>Todos</x:v>
      </x:c>
      <x:c r="G18" s="3" t="str">
        <x:v>Necesidad operativa</x:v>
      </x:c>
      <x:c r="H18" s="3" t="str">
        <x:v>INT-01</x:v>
      </x:c>
      <x:c r="I18" s="2" t="str">
        <x:v>Should</x:v>
      </x:c>
      <x:c r="J18" s="3" t="str">
        <x:v>Las operaciones habituales de consulta y guardado se completan sin bloqueos perceptibles y los reportes cargan de forma consistente.</x:v>
      </x:c>
      <x:c r="K18" s="3" t="str">
        <x:v>Transversal</x:v>
      </x:c>
      <x:c r="L18" s="3" t="str">
        <x:v>RF-08, RF-12</x:v>
      </x:c>
      <x:c r="M18" s="3" t="str">
        <x:v>Aprobado</x:v>
      </x:c>
    </x:row>
    <x:row r="19" ht="39.75" customHeight="1">
      <x:c r="A19" s="2" t="str">
        <x:v>RNF-03</x:v>
      </x:c>
      <x:c r="B19" s="3" t="str">
        <x:v>Seguridad y control de acceso</x:v>
      </x:c>
      <x:c r="C19" s="3" t="str">
        <x:v>El sistema deberá restringir las acciones administrativas a personal autorizado y proteger la información operativa contra modificaciones no autorizadas.</x:v>
      </x:c>
      <x:c r="D19" s="2" t="str">
        <x:v>No funcional</x:v>
      </x:c>
      <x:c r="E19" s="3" t="str">
        <x:v>Seguridad</x:v>
      </x:c>
      <x:c r="F19" s="3" t="str">
        <x:v>Administrador</x:v>
      </x:c>
      <x:c r="G19" s="3" t="str">
        <x:v>Restricción técnica</x:v>
      </x:c>
      <x:c r="H19" s="3" t="str">
        <x:v>INT-01</x:v>
      </x:c>
      <x:c r="I19" s="2" t="str">
        <x:v>Must</x:v>
      </x:c>
      <x:c r="J19" s="3" t="str">
        <x:v>Un usuario sin permisos no puede modificar proveedores, calidad o pagos; las acciones administrativas quedan identificadas.</x:v>
      </x:c>
      <x:c r="K19" s="3" t="str">
        <x:v>Seguridad</x:v>
      </x:c>
      <x:c r="L19" s="3" t="str">
        <x:v>RF-01, RF-06, RF-07</x:v>
      </x:c>
      <x:c r="M19" s="3" t="str">
        <x:v>Propuesto</x:v>
      </x:c>
    </x:row>
    <x:row r="20" ht="39.75" customHeight="1">
      <x:c r="A20" s="2" t="str">
        <x:v>RNF-04</x:v>
      </x:c>
      <x:c r="B20" s="3" t="str">
        <x:v>Integridad y respaldo de datos</x:v>
      </x:c>
      <x:c r="C20" s="3" t="str">
        <x:v>El sistema deberá validar los datos antes de guardarlos o importarlos y permitir mantener copias de respaldo para reducir el riesgo de pérdida de información.</x:v>
      </x:c>
      <x:c r="D20" s="2" t="str">
        <x:v>No funcional</x:v>
      </x:c>
      <x:c r="E20" s="3" t="str">
        <x:v>Confiabilidad</x:v>
      </x:c>
      <x:c r="F20" s="3" t="str">
        <x:v>Administrador</x:v>
      </x:c>
      <x:c r="G20" s="3" t="str">
        <x:v>Regla de negocio</x:v>
      </x:c>
      <x:c r="H20" s="3" t="str">
        <x:v>RN-07</x:v>
      </x:c>
      <x:c r="I20" s="2" t="str">
        <x:v>Must</x:v>
      </x:c>
      <x:c r="J20" s="3" t="str">
        <x:v>Los registros inválidos se rechazan con un mensaje claro y existe un procedimiento verificable de respaldo/restauración de la información.</x:v>
      </x:c>
      <x:c r="K20" s="3" t="str">
        <x:v>Datos / Respaldo</x:v>
      </x:c>
      <x:c r="L20" s="3" t="str">
        <x:v>RF-11</x:v>
      </x:c>
      <x:c r="M20" s="3" t="str">
        <x:v>Aprobado</x:v>
      </x:c>
    </x:row>
    <x:row r="21" ht="39.75" customHeight="1">
      <x:c r="A21" s="2" t="str">
        <x:v>RNF-05</x:v>
      </x:c>
      <x:c r="B21" s="3" t="str">
        <x:v>Mantenibilidad y evolución</x:v>
      </x:c>
      <x:c r="C21" s="3" t="str">
        <x:v>El sistema deberá organizar sus módulos y datos de forma que durante el tercer mes puedan aplicarse correcciones, mejoras y mantenimiento sin perder registros históricos.</x:v>
      </x:c>
      <x:c r="D21" s="2" t="str">
        <x:v>No funcional</x:v>
      </x:c>
      <x:c r="E21" s="3" t="str">
        <x:v>Mantenibilidad</x:v>
      </x:c>
      <x:c r="F21" s="3" t="str">
        <x:v>Equipo de desarrollo</x:v>
      </x:c>
      <x:c r="G21" s="3" t="str">
        <x:v>Plan del proyecto</x:v>
      </x:c>
      <x:c r="H21" s="3" t="str">
        <x:v>Cronograma</x:v>
      </x:c>
      <x:c r="I21" s="2" t="str">
        <x:v>Should</x:v>
      </x:c>
      <x:c r="J21" s="3" t="str">
        <x:v>Una actualización de mantenimiento conserva proveedores, acopio, pagos, calidad y reportes existentes y puede desplegarse de manera controlada.</x:v>
      </x:c>
      <x:c r="K21" s="3" t="str">
        <x:v>Transversal</x:v>
      </x:c>
      <x:c r="L21" s="3" t="str">
        <x:v>RF-11, RF-12</x:v>
      </x:c>
      <x:c r="M21" s="3" t="str">
        <x:v>Aprobado</x:v>
      </x:c>
    </x:row>
    <x:row r="22" ht="30" customHeight="1">
      <x:c r="A22" s="2"/>
      <x:c r="B22" s="3"/>
      <x:c r="C22" s="3"/>
      <x:c r="D22" s="2"/>
      <x:c r="E22" s="3"/>
      <x:c r="F22" s="3"/>
      <x:c r="G22" s="3"/>
      <x:c r="H22" s="3"/>
      <x:c r="I22" s="2"/>
      <x:c r="J22" s="3"/>
      <x:c r="K22" s="3"/>
      <x:c r="L22" s="3"/>
      <x:c r="M22" s="3"/>
    </x:row>
    <x:row r="23" ht="30" customHeight="1">
      <x:c r="A23" s="2"/>
      <x:c r="B23" s="3"/>
      <x:c r="C23" s="3"/>
      <x:c r="D23" s="2"/>
      <x:c r="E23" s="3"/>
      <x:c r="F23" s="3"/>
      <x:c r="G23" s="3"/>
      <x:c r="H23" s="3"/>
      <x:c r="I23" s="2"/>
      <x:c r="J23" s="3"/>
      <x:c r="K23" s="3"/>
      <x:c r="L23" s="3"/>
      <x:c r="M23" s="3"/>
    </x:row>
    <x:row r="24" ht="30" customHeight="1">
      <x:c r="A24" s="2"/>
      <x:c r="B24" s="3"/>
      <x:c r="C24" s="3"/>
      <x:c r="D24" s="2"/>
      <x:c r="E24" s="3"/>
      <x:c r="F24" s="3"/>
      <x:c r="G24" s="3"/>
      <x:c r="H24" s="3"/>
      <x:c r="I24" s="2"/>
      <x:c r="J24" s="3"/>
      <x:c r="K24" s="3"/>
      <x:c r="L24" s="3"/>
      <x:c r="M24" s="3"/>
    </x:row>
    <x:row r="25" ht="30" customHeight="1">
      <x:c r="A25" s="2"/>
      <x:c r="B25" s="3"/>
      <x:c r="C25" s="3"/>
      <x:c r="D25" s="2"/>
      <x:c r="E25" s="3"/>
      <x:c r="F25" s="3"/>
      <x:c r="G25" s="3"/>
      <x:c r="H25" s="3"/>
      <x:c r="I25" s="2"/>
      <x:c r="J25" s="3"/>
      <x:c r="K25" s="3"/>
      <x:c r="L25" s="3"/>
      <x:c r="M25" s="3"/>
    </x:row>
    <x:row r="26" ht="30" customHeight="1">
      <x:c r="A26" s="2"/>
      <x:c r="B26" s="3"/>
      <x:c r="C26" s="3"/>
      <x:c r="D26" s="2"/>
      <x:c r="E26" s="3"/>
      <x:c r="F26" s="3"/>
      <x:c r="G26" s="3"/>
      <x:c r="H26" s="3"/>
      <x:c r="I26" s="2"/>
      <x:c r="J26" s="3"/>
      <x:c r="K26" s="3"/>
      <x:c r="L26" s="3"/>
      <x:c r="M26" s="3"/>
    </x:row>
    <x:row r="27" ht="30" customHeight="1">
      <x:c r="A27" s="2"/>
      <x:c r="B27" s="3"/>
      <x:c r="C27" s="3"/>
      <x:c r="D27" s="2"/>
      <x:c r="E27" s="3"/>
      <x:c r="F27" s="3"/>
      <x:c r="G27" s="3"/>
      <x:c r="H27" s="3"/>
      <x:c r="I27" s="2"/>
      <x:c r="J27" s="3"/>
      <x:c r="K27" s="3"/>
      <x:c r="L27" s="3"/>
      <x:c r="M27" s="3"/>
    </x:row>
    <x:row r="28" ht="30" customHeight="1">
      <x:c r="A28" s="2"/>
      <x:c r="B28" s="3"/>
      <x:c r="C28" s="3"/>
      <x:c r="D28" s="2"/>
      <x:c r="E28" s="3"/>
      <x:c r="F28" s="3"/>
      <x:c r="G28" s="3"/>
      <x:c r="H28" s="3"/>
      <x:c r="I28" s="2"/>
      <x:c r="J28" s="3"/>
      <x:c r="K28" s="3"/>
      <x:c r="L28" s="3"/>
      <x:c r="M28" s="3"/>
    </x:row>
    <x:row r="29" ht="30" customHeight="1">
      <x:c r="A29" s="2"/>
      <x:c r="B29" s="3"/>
      <x:c r="C29" s="3"/>
      <x:c r="D29" s="2"/>
      <x:c r="E29" s="3"/>
      <x:c r="F29" s="3"/>
      <x:c r="G29" s="3"/>
      <x:c r="H29" s="3"/>
      <x:c r="I29" s="2"/>
      <x:c r="J29" s="3"/>
      <x:c r="K29" s="3"/>
      <x:c r="L29" s="3"/>
      <x:c r="M29" s="3"/>
    </x:row>
    <x:row r="30" ht="30" customHeight="1">
      <x:c r="A30" s="2"/>
      <x:c r="B30" s="3"/>
      <x:c r="C30" s="3"/>
      <x:c r="D30" s="2"/>
      <x:c r="E30" s="3"/>
      <x:c r="F30" s="3"/>
      <x:c r="G30" s="3"/>
      <x:c r="H30" s="3"/>
      <x:c r="I30" s="2"/>
      <x:c r="J30" s="3"/>
      <x:c r="K30" s="3"/>
      <x:c r="L30" s="3"/>
      <x:c r="M30" s="3"/>
    </x:row>
    <x:row r="31" ht="30" customHeight="1">
      <x:c r="A31" s="2"/>
      <x:c r="B31" s="3"/>
      <x:c r="C31" s="3"/>
      <x:c r="D31" s="2"/>
      <x:c r="E31" s="3"/>
      <x:c r="F31" s="3"/>
      <x:c r="G31" s="3"/>
      <x:c r="H31" s="3"/>
      <x:c r="I31" s="2"/>
      <x:c r="J31" s="3"/>
      <x:c r="K31" s="3"/>
      <x:c r="L31" s="3"/>
      <x:c r="M31" s="3"/>
    </x:row>
    <x:row r="32" ht="30" customHeight="1">
      <x:c r="A32" s="2"/>
      <x:c r="B32" s="3"/>
      <x:c r="C32" s="3"/>
      <x:c r="D32" s="2"/>
      <x:c r="E32" s="3"/>
      <x:c r="F32" s="3"/>
      <x:c r="G32" s="3"/>
      <x:c r="H32" s="3"/>
      <x:c r="I32" s="2"/>
      <x:c r="J32" s="3"/>
      <x:c r="K32" s="3"/>
      <x:c r="L32" s="3"/>
      <x:c r="M32" s="3"/>
    </x:row>
    <x:row r="33" ht="30" customHeight="1">
      <x:c r="A33" s="2"/>
      <x:c r="B33" s="3"/>
      <x:c r="C33" s="3"/>
      <x:c r="D33" s="2"/>
      <x:c r="E33" s="3"/>
      <x:c r="F33" s="3"/>
      <x:c r="G33" s="3"/>
      <x:c r="H33" s="3"/>
      <x:c r="I33" s="2"/>
      <x:c r="J33" s="3"/>
      <x:c r="K33" s="3"/>
      <x:c r="L33" s="3"/>
      <x:c r="M33" s="3"/>
    </x:row>
    <x:row r="34" ht="30" customHeight="1">
      <x:c r="A34" s="2"/>
      <x:c r="B34" s="3"/>
      <x:c r="C34" s="3"/>
      <x:c r="D34" s="2"/>
      <x:c r="E34" s="3"/>
      <x:c r="F34" s="3"/>
      <x:c r="G34" s="3"/>
      <x:c r="H34" s="3"/>
      <x:c r="I34" s="2"/>
      <x:c r="J34" s="3"/>
      <x:c r="K34" s="3"/>
      <x:c r="L34" s="3"/>
      <x:c r="M34" s="3"/>
    </x:row>
    <x:row r="35" ht="30" customHeight="1">
      <x:c r="A35" s="2"/>
      <x:c r="B35" s="3"/>
      <x:c r="C35" s="3"/>
      <x:c r="D35" s="2"/>
      <x:c r="E35" s="3"/>
      <x:c r="F35" s="3"/>
      <x:c r="G35" s="3"/>
      <x:c r="H35" s="3"/>
      <x:c r="I35" s="2"/>
      <x:c r="J35" s="3"/>
      <x:c r="K35" s="3"/>
      <x:c r="L35" s="3"/>
      <x:c r="M35" s="3"/>
    </x:row>
    <x:row r="36" ht="30" customHeight="1">
      <x:c r="A36" s="2"/>
      <x:c r="B36" s="3"/>
      <x:c r="C36" s="3"/>
      <x:c r="D36" s="2"/>
      <x:c r="E36" s="3"/>
      <x:c r="F36" s="3"/>
      <x:c r="G36" s="3"/>
      <x:c r="H36" s="3"/>
      <x:c r="I36" s="2"/>
      <x:c r="J36" s="3"/>
      <x:c r="K36" s="3"/>
      <x:c r="L36" s="3"/>
      <x:c r="M36" s="3"/>
    </x:row>
    <x:row r="37" ht="30" customHeight="1">
      <x:c r="A37" s="2"/>
      <x:c r="B37" s="3"/>
      <x:c r="C37" s="3"/>
      <x:c r="D37" s="2"/>
      <x:c r="E37" s="3"/>
      <x:c r="F37" s="3"/>
      <x:c r="G37" s="3"/>
      <x:c r="H37" s="3"/>
      <x:c r="I37" s="2"/>
      <x:c r="J37" s="3"/>
      <x:c r="K37" s="3"/>
      <x:c r="L37" s="3"/>
      <x:c r="M37" s="3"/>
    </x:row>
    <x:row r="38" ht="30" customHeight="1">
      <x:c r="A38" s="2"/>
      <x:c r="B38" s="3"/>
      <x:c r="C38" s="3"/>
      <x:c r="D38" s="2"/>
      <x:c r="E38" s="3"/>
      <x:c r="F38" s="3"/>
      <x:c r="G38" s="3"/>
      <x:c r="H38" s="3"/>
      <x:c r="I38" s="2"/>
      <x:c r="J38" s="3"/>
      <x:c r="K38" s="3"/>
      <x:c r="L38" s="3"/>
      <x:c r="M38" s="3"/>
    </x:row>
    <x:row r="39" ht="30" customHeight="1">
      <x:c r="A39" s="2"/>
      <x:c r="B39" s="3"/>
      <x:c r="C39" s="3"/>
      <x:c r="D39" s="2"/>
      <x:c r="E39" s="3"/>
      <x:c r="F39" s="3"/>
      <x:c r="G39" s="3"/>
      <x:c r="H39" s="3"/>
      <x:c r="I39" s="2"/>
      <x:c r="J39" s="3"/>
      <x:c r="K39" s="3"/>
      <x:c r="L39" s="3"/>
      <x:c r="M39" s="3"/>
    </x:row>
    <x:row r="40" ht="30" customHeight="1">
      <x:c r="A40" s="2"/>
      <x:c r="B40" s="3"/>
      <x:c r="C40" s="3"/>
      <x:c r="D40" s="2"/>
      <x:c r="E40" s="3"/>
      <x:c r="F40" s="3"/>
      <x:c r="G40" s="3"/>
      <x:c r="H40" s="3"/>
      <x:c r="I40" s="2"/>
      <x:c r="J40" s="3"/>
      <x:c r="K40" s="3"/>
      <x:c r="L40" s="3"/>
      <x:c r="M40" s="3"/>
    </x:row>
    <x:row r="41" ht="30" customHeight="1">
      <x:c r="A41" s="2"/>
      <x:c r="B41" s="3"/>
      <x:c r="C41" s="3"/>
      <x:c r="D41" s="2"/>
      <x:c r="E41" s="3"/>
      <x:c r="F41" s="3"/>
      <x:c r="G41" s="3"/>
      <x:c r="H41" s="3"/>
      <x:c r="I41" s="2"/>
      <x:c r="J41" s="3"/>
      <x:c r="K41" s="3"/>
      <x:c r="L41" s="3"/>
      <x:c r="M41" s="3"/>
    </x:row>
    <x:row r="42" ht="30" customHeight="1">
      <x:c r="A42" s="2"/>
      <x:c r="B42" s="3"/>
      <x:c r="C42" s="3"/>
      <x:c r="D42" s="2"/>
      <x:c r="E42" s="3"/>
      <x:c r="F42" s="3"/>
      <x:c r="G42" s="3"/>
      <x:c r="H42" s="3"/>
      <x:c r="I42" s="2"/>
      <x:c r="J42" s="3"/>
      <x:c r="K42" s="3"/>
      <x:c r="L42" s="3"/>
      <x:c r="M42" s="3"/>
    </x:row>
    <x:row r="43" ht="30" customHeight="1">
      <x:c r="A43" s="2"/>
      <x:c r="B43" s="3"/>
      <x:c r="C43" s="3"/>
      <x:c r="D43" s="2"/>
      <x:c r="E43" s="3"/>
      <x:c r="F43" s="3"/>
      <x:c r="G43" s="3"/>
      <x:c r="H43" s="3"/>
      <x:c r="I43" s="2"/>
      <x:c r="J43" s="3"/>
      <x:c r="K43" s="3"/>
      <x:c r="L43" s="3"/>
      <x:c r="M43" s="3"/>
    </x:row>
    <x:row r="44" ht="30" customHeight="1">
      <x:c r="A44" s="2"/>
      <x:c r="B44" s="3"/>
      <x:c r="C44" s="3"/>
      <x:c r="D44" s="2"/>
      <x:c r="E44" s="3"/>
      <x:c r="F44" s="3"/>
      <x:c r="G44" s="3"/>
      <x:c r="H44" s="3"/>
      <x:c r="I44" s="2"/>
      <x:c r="J44" s="3"/>
      <x:c r="K44" s="3"/>
      <x:c r="L44" s="3"/>
      <x:c r="M44" s="3"/>
    </x:row>
    <x:row r="45" ht="30" customHeight="1">
      <x:c r="A45" s="2"/>
      <x:c r="B45" s="3"/>
      <x:c r="C45" s="3"/>
      <x:c r="D45" s="2"/>
      <x:c r="E45" s="3"/>
      <x:c r="F45" s="3"/>
      <x:c r="G45" s="3"/>
      <x:c r="H45" s="3"/>
      <x:c r="I45" s="2"/>
      <x:c r="J45" s="3"/>
      <x:c r="K45" s="3"/>
      <x:c r="L45" s="3"/>
      <x:c r="M45" s="3"/>
    </x:row>
    <x:row r="46" ht="30" customHeight="1">
      <x:c r="A46" s="2"/>
      <x:c r="B46" s="3"/>
      <x:c r="C46" s="3"/>
      <x:c r="D46" s="2"/>
      <x:c r="E46" s="3"/>
      <x:c r="F46" s="3"/>
      <x:c r="G46" s="3"/>
      <x:c r="H46" s="3"/>
      <x:c r="I46" s="2"/>
      <x:c r="J46" s="3"/>
      <x:c r="K46" s="3"/>
      <x:c r="L46" s="3"/>
      <x:c r="M46" s="3"/>
    </x:row>
    <x:row r="47" ht="30" customHeight="1">
      <x:c r="A47" s="2"/>
      <x:c r="B47" s="3"/>
      <x:c r="C47" s="3"/>
      <x:c r="D47" s="2"/>
      <x:c r="E47" s="3"/>
      <x:c r="F47" s="3"/>
      <x:c r="G47" s="3"/>
      <x:c r="H47" s="3"/>
      <x:c r="I47" s="2"/>
      <x:c r="J47" s="3"/>
      <x:c r="K47" s="3"/>
      <x:c r="L47" s="3"/>
      <x:c r="M47" s="3"/>
    </x:row>
    <x:row r="48" ht="30" customHeight="1">
      <x:c r="A48" s="2"/>
      <x:c r="B48" s="3"/>
      <x:c r="C48" s="3"/>
      <x:c r="D48" s="2"/>
      <x:c r="E48" s="3"/>
      <x:c r="F48" s="3"/>
      <x:c r="G48" s="3"/>
      <x:c r="H48" s="3"/>
      <x:c r="I48" s="2"/>
      <x:c r="J48" s="3"/>
      <x:c r="K48" s="3"/>
      <x:c r="L48" s="3"/>
      <x:c r="M48" s="3"/>
    </x:row>
    <x:row r="49" ht="30" customHeight="1">
      <x:c r="A49" s="2"/>
      <x:c r="B49" s="3"/>
      <x:c r="C49" s="3"/>
      <x:c r="D49" s="2"/>
      <x:c r="E49" s="3"/>
      <x:c r="F49" s="3"/>
      <x:c r="G49" s="3"/>
      <x:c r="H49" s="3"/>
      <x:c r="I49" s="2"/>
      <x:c r="J49" s="3"/>
      <x:c r="K49" s="3"/>
      <x:c r="L49" s="3"/>
      <x:c r="M49" s="3"/>
    </x:row>
    <x:row r="50" ht="30" customHeight="1">
      <x:c r="A50" s="2"/>
      <x:c r="B50" s="3"/>
      <x:c r="C50" s="3"/>
      <x:c r="D50" s="2"/>
      <x:c r="E50" s="3"/>
      <x:c r="F50" s="3"/>
      <x:c r="G50" s="3"/>
      <x:c r="H50" s="3"/>
      <x:c r="I50" s="2"/>
      <x:c r="J50" s="3"/>
      <x:c r="K50" s="3"/>
      <x:c r="L50" s="3"/>
      <x:c r="M50" s="3"/>
    </x:row>
    <x:row r="51" ht="30" customHeight="1">
      <x:c r="A51" s="2"/>
      <x:c r="B51" s="3"/>
      <x:c r="C51" s="3"/>
      <x:c r="D51" s="2"/>
      <x:c r="E51" s="3"/>
      <x:c r="F51" s="3"/>
      <x:c r="G51" s="3"/>
      <x:c r="H51" s="3"/>
      <x:c r="I51" s="2"/>
      <x:c r="J51" s="3"/>
      <x:c r="K51" s="3"/>
      <x:c r="L51" s="3"/>
      <x:c r="M51" s="3"/>
    </x:row>
    <x:row r="52" ht="30" customHeight="1">
      <x:c r="A52" s="2"/>
      <x:c r="B52" s="3"/>
      <x:c r="C52" s="3"/>
      <x:c r="D52" s="2"/>
      <x:c r="E52" s="3"/>
      <x:c r="F52" s="3"/>
      <x:c r="G52" s="3"/>
      <x:c r="H52" s="3"/>
      <x:c r="I52" s="2"/>
      <x:c r="J52" s="3"/>
      <x:c r="K52" s="3"/>
      <x:c r="L52" s="3"/>
      <x:c r="M52" s="3"/>
    </x:row>
    <x:row r="53" ht="30" customHeight="1">
      <x:c r="A53" s="2"/>
      <x:c r="B53" s="3"/>
      <x:c r="C53" s="3"/>
      <x:c r="D53" s="2"/>
      <x:c r="E53" s="3"/>
      <x:c r="F53" s="3"/>
      <x:c r="G53" s="3"/>
      <x:c r="H53" s="3"/>
      <x:c r="I53" s="2"/>
      <x:c r="J53" s="3"/>
      <x:c r="K53" s="3"/>
      <x:c r="L53" s="3"/>
      <x:c r="M53" s="3"/>
    </x:row>
    <x:row r="54" ht="30" customHeight="1">
      <x:c r="A54" s="2"/>
      <x:c r="B54" s="3"/>
      <x:c r="C54" s="3"/>
      <x:c r="D54" s="2"/>
      <x:c r="E54" s="3"/>
      <x:c r="F54" s="3"/>
      <x:c r="G54" s="3"/>
      <x:c r="H54" s="3"/>
      <x:c r="I54" s="2"/>
      <x:c r="J54" s="3"/>
      <x:c r="K54" s="3"/>
      <x:c r="L54" s="3"/>
      <x:c r="M54" s="3"/>
    </x:row>
    <x:row r="55" ht="30" customHeight="1">
      <x:c r="A55" s="2"/>
      <x:c r="B55" s="3"/>
      <x:c r="C55" s="3"/>
      <x:c r="D55" s="2"/>
      <x:c r="E55" s="3"/>
      <x:c r="F55" s="3"/>
      <x:c r="G55" s="3"/>
      <x:c r="H55" s="3"/>
      <x:c r="I55" s="2"/>
      <x:c r="J55" s="3"/>
      <x:c r="K55" s="3"/>
      <x:c r="L55" s="3"/>
      <x:c r="M55" s="3"/>
    </x:row>
    <x:row r="56" ht="30" customHeight="1">
      <x:c r="A56" s="2"/>
      <x:c r="B56" s="3"/>
      <x:c r="C56" s="3"/>
      <x:c r="D56" s="2"/>
      <x:c r="E56" s="3"/>
      <x:c r="F56" s="3"/>
      <x:c r="G56" s="3"/>
      <x:c r="H56" s="3"/>
      <x:c r="I56" s="2"/>
      <x:c r="J56" s="3"/>
      <x:c r="K56" s="3"/>
      <x:c r="L56" s="3"/>
      <x:c r="M56" s="3"/>
    </x:row>
    <x:row r="57" ht="30" customHeight="1">
      <x:c r="A57" s="2"/>
      <x:c r="B57" s="3"/>
      <x:c r="C57" s="3"/>
      <x:c r="D57" s="2"/>
      <x:c r="E57" s="3"/>
      <x:c r="F57" s="3"/>
      <x:c r="G57" s="3"/>
      <x:c r="H57" s="3"/>
      <x:c r="I57" s="2"/>
      <x:c r="J57" s="3"/>
      <x:c r="K57" s="3"/>
      <x:c r="L57" s="3"/>
      <x:c r="M57" s="3"/>
    </x:row>
    <x:row r="58" ht="30" customHeight="1">
      <x:c r="A58" s="2"/>
      <x:c r="B58" s="3"/>
      <x:c r="C58" s="3"/>
      <x:c r="D58" s="2"/>
      <x:c r="E58" s="3"/>
      <x:c r="F58" s="3"/>
      <x:c r="G58" s="3"/>
      <x:c r="H58" s="3"/>
      <x:c r="I58" s="2"/>
      <x:c r="J58" s="3"/>
      <x:c r="K58" s="3"/>
      <x:c r="L58" s="3"/>
      <x:c r="M58" s="3"/>
    </x:row>
    <x:row r="59" ht="30" customHeight="1">
      <x:c r="A59" s="2"/>
      <x:c r="B59" s="3"/>
      <x:c r="C59" s="3"/>
      <x:c r="D59" s="2"/>
      <x:c r="E59" s="3"/>
      <x:c r="F59" s="3"/>
      <x:c r="G59" s="3"/>
      <x:c r="H59" s="3"/>
      <x:c r="I59" s="2"/>
      <x:c r="J59" s="3"/>
      <x:c r="K59" s="3"/>
      <x:c r="L59" s="3"/>
      <x:c r="M59" s="3"/>
    </x:row>
    <x:row r="60" ht="30" customHeight="1">
      <x:c r="A60" s="2"/>
      <x:c r="B60" s="3"/>
      <x:c r="C60" s="3"/>
      <x:c r="D60" s="2"/>
      <x:c r="E60" s="3"/>
      <x:c r="F60" s="3"/>
      <x:c r="G60" s="3"/>
      <x:c r="H60" s="3"/>
      <x:c r="I60" s="2"/>
      <x:c r="J60" s="3"/>
      <x:c r="K60" s="3"/>
      <x:c r="L60" s="3"/>
      <x:c r="M60" s="3"/>
    </x:row>
  </x:sheetData>
  <x:mergeCells>
    <x:mergeCell ref="A1:M1"/>
    <x:mergeCell ref="A2:M2"/>
  </x:mergeCells>
  <x:conditionalFormatting sqref="A5:M60">
    <x:cfRule type="expression" dxfId="8" priority="5">
      <x:formula>AND($A5&lt;&gt;"",$J5="")</x:formula>
    </x:cfRule>
  </x:conditionalFormatting>
  <x:conditionalFormatting sqref="I5:I60">
    <x:cfRule type="cellIs" dxfId="7" priority="2" operator="equal">
      <x:formula>"Must"</x:formula>
    </x:cfRule>
    <x:cfRule type="cellIs" dxfId="6" priority="3" operator="equal">
      <x:formula>"Should"</x:formula>
    </x:cfRule>
    <x:cfRule type="cellIs" dxfId="5" priority="4" operator="equal">
      <x:formula>"Could"</x:formula>
    </x:cfRule>
  </x:conditionalFormatting>
  <x:dataValidations count="7">
    <x:dataValidation type="list" allowBlank="1" errorTitle="Valor no permitido" error="Seleccione un valor de la lista desplegable." sqref="M5:M60 K5:K60 I5:I60 G5:G60 D5:E60">
      <x:formula1>#REF!</x:formula1>
      <x:formula2>0</x:formula2>
    </x:dataValidation>
    <x:dataValidation type="list" sqref="D5:D21">
      <x:formula1>"Funcional,No funcional"</x:formula1>
    </x:dataValidation>
    <x:dataValidation type="list" sqref="E5:E21">
      <x:formula1>"—,Usabilidad,Rendimiento,Seguridad,Confiabilidad,Mantenibilidad"</x:formula1>
    </x:dataValidation>
    <x:dataValidation type="list" sqref="G5:G21">
      <x:formula1>"Entrevista,Proceso de negocio,Regla de negocio,Evidencia de campo,Registros actuales,Necesidad del proyecto,Necesidad operativa,Restricción técnica,Plan del proyecto"</x:formula1>
    </x:dataValidation>
    <x:dataValidation type="list" sqref="I5:I21">
      <x:formula1>"Must,Should,Could"</x:formula1>
    </x:dataValidation>
    <x:dataValidation type="list" sqref="K5:K21">
      <x:formula1>"Proveedores,Rendimiento / Acopio,Acopio / Pagos,Calidad,Calidad / Proveedores,Proveedores / Calidad,Pagos,Dashboard,ResumenZonas,Quesos,Excel / Datos,Reportes,Transversal,Seguridad,Datos / Respaldo"</x:formula1>
    </x:dataValidation>
    <x:dataValidation type="list" sqref="M5:M21">
      <x:formula1>"Propuesto,Aprobado,En desarrollo,Implementado,En mantenimiento"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1F3A66"/>
  </x:sheetPr>
  <x:sheetViews>
    <x:sheetView showGridLines="0" workbookViewId="0"/>
  </x:sheetViews>
  <x:sheetFormatPr defaultColWidth="8.7109375" defaultRowHeight="15"/>
  <x:cols>
    <x:col min="1" max="1" width="10" customWidth="1"/>
    <x:col min="2" max="2" width="18" customWidth="1"/>
    <x:col min="3" max="3" width="46" customWidth="1"/>
    <x:col min="4" max="4" width="30" customWidth="1"/>
    <x:col min="5" max="5" width="46" customWidth="1"/>
    <x:col min="6" max="6" width="26" customWidth="1"/>
    <x:col min="7" max="7" width="14" customWidth="1"/>
  </x:cols>
  <x:sheetData>
    <x:row r="1" ht="30" customHeight="1">
      <x:c r="A1" s="8" t="str">
        <x:v>CASOS DE PRUEBA - HUATA LÁCTEOS</x:v>
      </x:c>
      <x:c r="B1" s="8"/>
      <x:c r="C1" s="8"/>
      <x:c r="D1" s="8"/>
      <x:c r="E1" s="8"/>
      <x:c r="F1" s="8"/>
      <x:c r="G1" s="8"/>
    </x:row>
    <x:row r="2" ht="18" customHeight="1">
      <x:c r="A2" s="9" t="str">
        <x:v>Casos de validación para los requerimientos del sistema Huata Lácteos · Control de Acopio.</x:v>
      </x:c>
      <x:c r="B2" s="9"/>
      <x:c r="C2" s="9"/>
      <x:c r="D2" s="9"/>
      <x:c r="E2" s="9"/>
      <x:c r="F2" s="9"/>
      <x:c r="G2" s="9"/>
    </x:row>
    <x:row r="4" ht="30" customHeight="1">
      <x:c r="A4" s="5" t="s">
        <x:v>0</x:v>
      </x:c>
      <x:c r="B4" s="5" t="s">
        <x:v>20</x:v>
      </x:c>
      <x:c r="C4" s="5" t="s">
        <x:v>21</x:v>
      </x:c>
      <x:c r="D4" s="5" t="s">
        <x:v>22</x:v>
      </x:c>
      <x:c r="E4" s="5" t="s">
        <x:v>23</x:v>
      </x:c>
      <x:c r="F4" s="5" t="s">
        <x:v>24</x:v>
      </x:c>
      <x:c r="G4" s="5" t="s">
        <x:v>19</x:v>
      </x:c>
    </x:row>
    <x:row r="5" ht="31.5" customHeight="1">
      <x:c r="A5" s="2" t="str">
        <x:v>CP-01</x:v>
      </x:c>
      <x:c r="B5" s="2" t="str">
        <x:v>RF-01</x:v>
      </x:c>
      <x:c r="C5" s="3" t="str">
        <x:v>Registrar un proveedor y luego inactivarlo por decisión administrativa.</x:v>
      </x:c>
      <x:c r="D5" s="3" t="str">
        <x:v>Proveedor con nombre, zona, contacto y motivo de inactivación</x:v>
      </x:c>
      <x:c r="E5" s="3" t="str">
        <x:v>El proveedor se registra; al inactivarlo conserva su historial y deja de aparecer como disponible para nuevas compras.</x:v>
      </x:c>
      <x:c r="F5" s="3" t="str"/>
      <x:c r="G5" s="2" t="str">
        <x:v>Pendiente</x:v>
      </x:c>
    </x:row>
    <x:row r="6" ht="31.5" customHeight="1">
      <x:c r="A6" s="2" t="str">
        <x:v>CP-02</x:v>
      </x:c>
      <x:c r="B6" s="2" t="str">
        <x:v>RF-02</x:v>
      </x:c>
      <x:c r="C6" s="3" t="str">
        <x:v>Registrar entregas diarias de un proveedor durante una semana.</x:v>
      </x:c>
      <x:c r="D6" s="3" t="str">
        <x:v>Litros por día, proveedor, fecha y zona</x:v>
      </x:c>
      <x:c r="E6" s="3" t="str">
        <x:v>Cada entrega queda guardada y el total semanal es igual a la suma de los litros registrados.</x:v>
      </x:c>
      <x:c r="F6" s="3" t="str"/>
      <x:c r="G6" s="2" t="str">
        <x:v>Pendiente</x:v>
      </x:c>
    </x:row>
    <x:row r="7" ht="31.5" customHeight="1">
      <x:c r="A7" s="2" t="str">
        <x:v>CP-03</x:v>
      </x:c>
      <x:c r="B7" s="2" t="str">
        <x:v>RF-03</x:v>
      </x:c>
      <x:c r="C7" s="3" t="str">
        <x:v>Calcular una entrega de leche de calidad normal.</x:v>
      </x:c>
      <x:c r="D7" s="3" t="str">
        <x:v>100 L, calidad normal</x:v>
      </x:c>
      <x:c r="E7" s="3" t="str">
        <x:v>El precio aplicado es S/ 1.75/L y el importe calculado es S/ 175.00.</x:v>
      </x:c>
      <x:c r="F7" s="3" t="str"/>
      <x:c r="G7" s="2" t="str">
        <x:v>Pendiente</x:v>
      </x:c>
    </x:row>
    <x:row r="8" ht="31.5" customHeight="1">
      <x:c r="A8" s="2" t="str">
        <x:v>CP-04</x:v>
      </x:c>
      <x:c r="B8" s="2" t="str">
        <x:v>RF-04</x:v>
      </x:c>
      <x:c r="C8" s="3" t="str">
        <x:v>Registrar un control con baja calidad y sospecha de mezcla con agua.</x:v>
      </x:c>
      <x:c r="D8" s="3" t="str">
        <x:v>Entrega registrada, resultado: baja calidad, observación: posible agua</x:v>
      </x:c>
      <x:c r="E8" s="3" t="str">
        <x:v>El control queda vinculado al proveedor y la entrega queda marcada como observada por calidad.</x:v>
      </x:c>
      <x:c r="F8" s="3" t="str"/>
      <x:c r="G8" s="2" t="str">
        <x:v>Pendiente</x:v>
      </x:c>
    </x:row>
    <x:row r="9" ht="31.5" customHeight="1">
      <x:c r="A9" s="2" t="str">
        <x:v>CP-05</x:v>
      </x:c>
      <x:c r="B9" s="2" t="str">
        <x:v>RF-05</x:v>
      </x:c>
      <x:c r="C9" s="3" t="str">
        <x:v>Consultar el historial de un proveedor con varias incidencias de calidad.</x:v>
      </x:c>
      <x:c r="D9" s="3" t="str">
        <x:v>Proveedor con 3 controles observados en fechas distintas</x:v>
      </x:c>
      <x:c r="E9" s="3" t="str">
        <x:v>El sistema muestra el total de incidencias y el detalle cronológico de cada una.</x:v>
      </x:c>
      <x:c r="F9" s="3" t="str"/>
      <x:c r="G9" s="2" t="str">
        <x:v>Pendiente</x:v>
      </x:c>
    </x:row>
    <x:row r="10" ht="31.5" customHeight="1">
      <x:c r="A10" s="2" t="str">
        <x:v>CP-06</x:v>
      </x:c>
      <x:c r="B10" s="2" t="str">
        <x:v>RF-06</x:v>
      </x:c>
      <x:c r="C10" s="3" t="str">
        <x:v>Inactivar un proveedor por reincidencia o adulteración confirmada.</x:v>
      </x:c>
      <x:c r="D10" s="3" t="str">
        <x:v>Proveedor con historial de mala calidad y motivo de inactivación</x:v>
      </x:c>
      <x:c r="E10" s="3" t="str">
        <x:v>El proveedor queda inactivo, conserva su historial y no puede seleccionarse para nuevas compras.</x:v>
      </x:c>
      <x:c r="F10" s="3" t="str"/>
      <x:c r="G10" s="2" t="str">
        <x:v>Pendiente</x:v>
      </x:c>
    </x:row>
    <x:row r="11" ht="31.5" customHeight="1">
      <x:c r="A11" s="2" t="str">
        <x:v>CP-07</x:v>
      </x:c>
      <x:c r="B11" s="2" t="str">
        <x:v>RF-07</x:v>
      </x:c>
      <x:c r="C11" s="3" t="str">
        <x:v>Generar el pago semanal correspondiente al viernes.</x:v>
      </x:c>
      <x:c r="D11" s="3" t="str">
        <x:v>Entregas de lunes a viernes con distintos precios y un descuento de queso</x:v>
      </x:c>
      <x:c r="E11" s="3" t="str">
        <x:v>Se calcula litros, subtotal, descuento y neto a pagar; el pago queda asociado al viernes de la semana.</x:v>
      </x:c>
      <x:c r="F11" s="3" t="str"/>
      <x:c r="G11" s="2" t="str">
        <x:v>Pendiente</x:v>
      </x:c>
    </x:row>
    <x:row r="12" ht="31.5" customHeight="1">
      <x:c r="A12" s="2" t="str">
        <x:v>CP-08</x:v>
      </x:c>
      <x:c r="B12" s="2" t="str">
        <x:v>RF-08</x:v>
      </x:c>
      <x:c r="C12" s="3" t="str">
        <x:v>Abrir el dashboard después de registrar acopio, pagos y calidad.</x:v>
      </x:c>
      <x:c r="D12" s="3" t="str">
        <x:v>Datos operativos de una semana</x:v>
      </x:c>
      <x:c r="E12" s="3" t="str">
        <x:v>Los KPI y totales del dashboard coinciden con los registros de los módulos.</x:v>
      </x:c>
      <x:c r="F12" s="3" t="str"/>
      <x:c r="G12" s="2" t="str">
        <x:v>Pendiente</x:v>
      </x:c>
    </x:row>
    <x:row r="13" ht="31.5" customHeight="1">
      <x:c r="A13" s="2" t="str">
        <x:v>CP-09</x:v>
      </x:c>
      <x:c r="B13" s="2" t="str">
        <x:v>RF-09</x:v>
      </x:c>
      <x:c r="C13" s="3" t="str">
        <x:v>Generar resumen de acopio por las nueve zonas del proyecto.</x:v>
      </x:c>
      <x:c r="D13" s="3" t="str">
        <x:v>Registros distribuidos entre Quillallaka, Santa Bárbara, I/II Collana, Moro Viejo, Yasin Uchuy, Faon y Yasin, Pancha Pampa y Planta</x:v>
      </x:c>
      <x:c r="E13" s="3" t="str">
        <x:v>El resumen presenta cada zona y los totales coinciden con el acopio registrado.</x:v>
      </x:c>
      <x:c r="F13" s="3" t="str"/>
      <x:c r="G13" s="2" t="str">
        <x:v>Pendiente</x:v>
      </x:c>
    </x:row>
    <x:row r="14" ht="31.5" customHeight="1">
      <x:c r="A14" s="2" t="str">
        <x:v>CP-10</x:v>
      </x:c>
      <x:c r="B14" s="2" t="str">
        <x:v>RF-10</x:v>
      </x:c>
      <x:c r="C14" s="3" t="str">
        <x:v>Registrar producción y venta de quesos en el periodo.</x:v>
      </x:c>
      <x:c r="D14" s="3" t="str">
        <x:v>Cantidad producida, cantidad vendida e importe</x:v>
      </x:c>
      <x:c r="E14" s="3" t="str">
        <x:v>Los movimientos se guardan y el resumen de quesos refleja las cantidades e importes correctos.</x:v>
      </x:c>
      <x:c r="F14" s="3" t="str"/>
      <x:c r="G14" s="2" t="str">
        <x:v>Pendiente</x:v>
      </x:c>
    </x:row>
    <x:row r="15" ht="31.5" customHeight="1">
      <x:c r="A15" s="2" t="str">
        <x:v>CP-11</x:v>
      </x:c>
      <x:c r="B15" s="2" t="str">
        <x:v>RF-11</x:v>
      </x:c>
      <x:c r="C15" s="3" t="str">
        <x:v>Exportar el libro Excel completo y volver a importarlo.</x:v>
      </x:c>
      <x:c r="D15" s="3" t="str">
        <x:v>Datos en Proveedores, Rendimiento, ResumenZonas, Quesos, Calidad y Metadatos</x:v>
      </x:c>
      <x:c r="E15" s="3" t="str">
        <x:v>El archivo exportado contiene los módulos; la importación recupera los datos sin pérdidas ni duplicaciones indebidas.</x:v>
      </x:c>
      <x:c r="F15" s="3" t="str"/>
      <x:c r="G15" s="2" t="str">
        <x:v>Pendiente</x:v>
      </x:c>
    </x:row>
    <x:row r="16" ht="31.5" customHeight="1">
      <x:c r="A16" s="2" t="str">
        <x:v>CP-12</x:v>
      </x:c>
      <x:c r="B16" s="2" t="str">
        <x:v>RF-12</x:v>
      </x:c>
      <x:c r="C16" s="3" t="str">
        <x:v>Filtrar el historial por proveedor, zona y rango de fechas.</x:v>
      </x:c>
      <x:c r="D16" s="3" t="str">
        <x:v>Proveedor específico, II Collana, rango de una semana</x:v>
      </x:c>
      <x:c r="E16" s="3" t="str">
        <x:v>Solo se muestran registros que cumplen los filtros y los totales corresponden al subconjunto.</x:v>
      </x:c>
      <x:c r="F16" s="3" t="str"/>
      <x:c r="G16" s="2" t="str">
        <x:v>Pendiente</x:v>
      </x:c>
    </x:row>
    <x:row r="17" ht="31.5" customHeight="1">
      <x:c r="A17" s="2" t="str">
        <x:v>CP-13</x:v>
      </x:c>
      <x:c r="B17" s="2" t="str">
        <x:v>RNF-01</x:v>
      </x:c>
      <x:c r="C17" s="3" t="str">
        <x:v>Usar las funciones principales desde una pantalla móvil.</x:v>
      </x:c>
      <x:c r="D17" s="3" t="str">
        <x:v>Teléfono con navegador moderno</x:v>
      </x:c>
      <x:c r="E17" s="3" t="str">
        <x:v>Dashboard, tablas y formularios permanecen legibles y utilizables sin pérdida de campos.</x:v>
      </x:c>
      <x:c r="F17" s="3" t="str"/>
      <x:c r="G17" s="2" t="str">
        <x:v>Pendiente</x:v>
      </x:c>
    </x:row>
    <x:row r="18" ht="27.75" customHeight="1">
      <x:c r="A18" s="2" t="str">
        <x:v>CP-14</x:v>
      </x:c>
      <x:c r="B18" s="2" t="str">
        <x:v>RNF-02</x:v>
      </x:c>
      <x:c r="C18" s="3" t="str">
        <x:v>Consultar y filtrar un periodo con múltiples registros.</x:v>
      </x:c>
      <x:c r="D18" s="3" t="str">
        <x:v>Historial cargado y filtros por fecha/proveedor/zona</x:v>
      </x:c>
      <x:c r="E18" s="3" t="str">
        <x:v>La interfaz responde de forma fluida y completa las operaciones sin bloqueos perceptibles.</x:v>
      </x:c>
      <x:c r="F18" s="3" t="str"/>
      <x:c r="G18" s="2" t="str">
        <x:v>Pendiente</x:v>
      </x:c>
    </x:row>
    <x:row r="19" ht="27.75" customHeight="1">
      <x:c r="A19" s="2" t="str">
        <x:v>CP-15</x:v>
      </x:c>
      <x:c r="B19" s="2" t="str">
        <x:v>RNF-03</x:v>
      </x:c>
      <x:c r="C19" s="3" t="str">
        <x:v>Intentar modificar pagos y proveedores con un usuario sin permisos administrativos.</x:v>
      </x:c>
      <x:c r="D19" s="3" t="str">
        <x:v>Usuario con permisos restringidos</x:v>
      </x:c>
      <x:c r="E19" s="3" t="str">
        <x:v>El sistema rechaza las modificaciones y mantiene los datos sin cambios.</x:v>
      </x:c>
      <x:c r="F19" s="3" t="str"/>
      <x:c r="G19" s="2" t="str">
        <x:v>Pendiente</x:v>
      </x:c>
    </x:row>
    <x:row r="20" ht="27.75" customHeight="1">
      <x:c r="A20" s="2" t="str">
        <x:v>CP-16</x:v>
      </x:c>
      <x:c r="B20" s="2" t="str">
        <x:v>RNF-04</x:v>
      </x:c>
      <x:c r="C20" s="3" t="str">
        <x:v>Importar un Excel con columnas faltantes y luego restaurar una copia válida.</x:v>
      </x:c>
      <x:c r="D20" s="3" t="str">
        <x:v>Archivo inválido + archivo de respaldo válido</x:v>
      </x:c>
      <x:c r="E20" s="3" t="str">
        <x:v>El archivo inválido es rechazado sin dañar los datos; la restauración recupera la información esperada.</x:v>
      </x:c>
      <x:c r="F20" s="3" t="str"/>
      <x:c r="G20" s="2" t="str">
        <x:v>Pendiente</x:v>
      </x:c>
    </x:row>
    <x:row r="21" ht="27.75" customHeight="1">
      <x:c r="A21" s="2" t="str">
        <x:v>CP-17</x:v>
      </x:c>
      <x:c r="B21" s="2" t="str">
        <x:v>RNF-05</x:v>
      </x:c>
      <x:c r="C21" s="3" t="str">
        <x:v>Aplicar una actualización de mantenimiento conservando los datos existentes.</x:v>
      </x:c>
      <x:c r="D21" s="3" t="str">
        <x:v>Versión desplegada con registros históricos</x:v>
      </x:c>
      <x:c r="E21" s="3" t="str">
        <x:v>La nueva versión inicia correctamente y conserva proveedores, acopio, pagos, calidad, quesos y reportes.</x:v>
      </x:c>
      <x:c r="F21" s="3" t="str"/>
      <x:c r="G21" s="2" t="str">
        <x:v>Pendiente</x:v>
      </x:c>
    </x:row>
    <x:row r="22" ht="27.75" customHeight="1">
      <x:c r="A22" s="2"/>
      <x:c r="B22" s="2"/>
      <x:c r="C22" s="3"/>
      <x:c r="D22" s="3"/>
      <x:c r="E22" s="3"/>
      <x:c r="F22" s="3"/>
      <x:c r="G22" s="2"/>
    </x:row>
    <x:row r="23" ht="27.75" customHeight="1">
      <x:c r="A23" s="2"/>
      <x:c r="B23" s="2"/>
      <x:c r="C23" s="3"/>
      <x:c r="D23" s="3"/>
      <x:c r="E23" s="3"/>
      <x:c r="F23" s="3"/>
      <x:c r="G23" s="2"/>
    </x:row>
    <x:row r="24" ht="27.75" customHeight="1">
      <x:c r="A24" s="2"/>
      <x:c r="B24" s="2"/>
      <x:c r="C24" s="3"/>
      <x:c r="D24" s="3"/>
      <x:c r="E24" s="3"/>
      <x:c r="F24" s="3"/>
      <x:c r="G24" s="2"/>
    </x:row>
    <x:row r="25" ht="27.75" customHeight="1">
      <x:c r="A25" s="2"/>
      <x:c r="B25" s="2"/>
      <x:c r="C25" s="3"/>
      <x:c r="D25" s="3"/>
      <x:c r="E25" s="3"/>
      <x:c r="F25" s="3"/>
      <x:c r="G25" s="2"/>
    </x:row>
    <x:row r="26" ht="27.75" customHeight="1">
      <x:c r="A26" s="2"/>
      <x:c r="B26" s="2"/>
      <x:c r="C26" s="3"/>
      <x:c r="D26" s="3"/>
      <x:c r="E26" s="3"/>
      <x:c r="F26" s="3"/>
      <x:c r="G26" s="2"/>
    </x:row>
    <x:row r="27" ht="27.75" customHeight="1">
      <x:c r="A27" s="2"/>
      <x:c r="B27" s="2"/>
      <x:c r="C27" s="3"/>
      <x:c r="D27" s="3"/>
      <x:c r="E27" s="3"/>
      <x:c r="F27" s="3"/>
      <x:c r="G27" s="2"/>
    </x:row>
    <x:row r="28" ht="27.75" customHeight="1">
      <x:c r="A28" s="2"/>
      <x:c r="B28" s="2"/>
      <x:c r="C28" s="3"/>
      <x:c r="D28" s="3"/>
      <x:c r="E28" s="3"/>
      <x:c r="F28" s="3"/>
      <x:c r="G28" s="2"/>
    </x:row>
    <x:row r="29" ht="27.75" customHeight="1">
      <x:c r="A29" s="2"/>
      <x:c r="B29" s="2"/>
      <x:c r="C29" s="3"/>
      <x:c r="D29" s="3"/>
      <x:c r="E29" s="3"/>
      <x:c r="F29" s="3"/>
      <x:c r="G29" s="2"/>
    </x:row>
    <x:row r="30" ht="27.75" customHeight="1">
      <x:c r="A30" s="2"/>
      <x:c r="B30" s="2"/>
      <x:c r="C30" s="3"/>
      <x:c r="D30" s="3"/>
      <x:c r="E30" s="3"/>
      <x:c r="F30" s="3"/>
      <x:c r="G30" s="2"/>
    </x:row>
    <x:row r="31" ht="27.75" customHeight="1">
      <x:c r="A31" s="2"/>
      <x:c r="B31" s="2"/>
      <x:c r="C31" s="3"/>
      <x:c r="D31" s="3"/>
      <x:c r="E31" s="3"/>
      <x:c r="F31" s="3"/>
      <x:c r="G31" s="2"/>
    </x:row>
    <x:row r="32" ht="27.75" customHeight="1">
      <x:c r="A32" s="2"/>
      <x:c r="B32" s="2"/>
      <x:c r="C32" s="3"/>
      <x:c r="D32" s="3"/>
      <x:c r="E32" s="3"/>
      <x:c r="F32" s="3"/>
      <x:c r="G32" s="2"/>
    </x:row>
    <x:row r="33" ht="27.75" customHeight="1">
      <x:c r="A33" s="2"/>
      <x:c r="B33" s="2"/>
      <x:c r="C33" s="3"/>
      <x:c r="D33" s="3"/>
      <x:c r="E33" s="3"/>
      <x:c r="F33" s="3"/>
      <x:c r="G33" s="2"/>
    </x:row>
    <x:row r="34" ht="27.75" customHeight="1">
      <x:c r="A34" s="2"/>
      <x:c r="B34" s="2"/>
      <x:c r="C34" s="3"/>
      <x:c r="D34" s="3"/>
      <x:c r="E34" s="3"/>
      <x:c r="F34" s="3"/>
      <x:c r="G34" s="2"/>
    </x:row>
    <x:row r="35" ht="27.75" customHeight="1">
      <x:c r="A35" s="2"/>
      <x:c r="B35" s="2"/>
      <x:c r="C35" s="3"/>
      <x:c r="D35" s="3"/>
      <x:c r="E35" s="3"/>
      <x:c r="F35" s="3"/>
      <x:c r="G35" s="2"/>
    </x:row>
    <x:row r="36" ht="27.75" customHeight="1">
      <x:c r="A36" s="2"/>
      <x:c r="B36" s="2"/>
      <x:c r="C36" s="3"/>
      <x:c r="D36" s="3"/>
      <x:c r="E36" s="3"/>
      <x:c r="F36" s="3"/>
      <x:c r="G36" s="2"/>
    </x:row>
    <x:row r="37" ht="27.75" customHeight="1">
      <x:c r="A37" s="2"/>
      <x:c r="B37" s="2"/>
      <x:c r="C37" s="3"/>
      <x:c r="D37" s="3"/>
      <x:c r="E37" s="3"/>
      <x:c r="F37" s="3"/>
      <x:c r="G37" s="2"/>
    </x:row>
    <x:row r="38" ht="27.75" customHeight="1">
      <x:c r="A38" s="2"/>
      <x:c r="B38" s="2"/>
      <x:c r="C38" s="3"/>
      <x:c r="D38" s="3"/>
      <x:c r="E38" s="3"/>
      <x:c r="F38" s="3"/>
      <x:c r="G38" s="2"/>
    </x:row>
    <x:row r="39" ht="27.75" customHeight="1">
      <x:c r="A39" s="2"/>
      <x:c r="B39" s="2"/>
      <x:c r="C39" s="3"/>
      <x:c r="D39" s="3"/>
      <x:c r="E39" s="3"/>
      <x:c r="F39" s="3"/>
      <x:c r="G39" s="2"/>
    </x:row>
    <x:row r="40" ht="27.75" customHeight="1">
      <x:c r="A40" s="2"/>
      <x:c r="B40" s="2"/>
      <x:c r="C40" s="3"/>
      <x:c r="D40" s="3"/>
      <x:c r="E40" s="3"/>
      <x:c r="F40" s="3"/>
      <x:c r="G40" s="2"/>
    </x:row>
  </x:sheetData>
  <x:mergeCells>
    <x:mergeCell ref="A1:G1"/>
    <x:mergeCell ref="A2:G2"/>
  </x:mergeCells>
  <x:conditionalFormatting sqref="G5:G40">
    <x:cfRule type="cellIs" dxfId="4" priority="2" operator="equal">
      <x:formula>"Aprobado"</x:formula>
    </x:cfRule>
    <x:cfRule type="cellIs" dxfId="3" priority="3" operator="equal">
      <x:formula>"Fallido"</x:formula>
    </x:cfRule>
  </x:conditionalFormatting>
  <x:dataValidations count="2">
    <x:dataValidation type="list" allowBlank="1" errorTitle="Valor no permitido" error="Seleccione un valor de la lista desplegable." sqref="G5:G40">
      <x:formula1>#REF!</x:formula1>
      <x:formula2>0</x:formula2>
    </x:dataValidation>
    <x:dataValidation type="list" sqref="G5:G21">
      <x:formula1>"Pendiente,Aprobado,Fallido,Bloqueado"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B98600"/>
  </x:sheetPr>
  <x:sheetViews>
    <x:sheetView showGridLines="0" workbookViewId="0"/>
  </x:sheetViews>
  <x:sheetFormatPr defaultColWidth="8.7109375" defaultRowHeight="15"/>
  <x:cols>
    <x:col min="1" max="1" width="13" customWidth="1"/>
    <x:col min="2" max="2" width="30" customWidth="1"/>
    <x:col min="3" max="3" width="20" customWidth="1"/>
    <x:col min="4" max="4" width="12" customWidth="1"/>
    <x:col min="5" max="5" width="20" customWidth="1"/>
    <x:col min="6" max="6" width="24" customWidth="1"/>
    <x:col min="7" max="7" width="30" customWidth="1"/>
    <x:col min="8" max="8" width="28" customWidth="1"/>
    <x:col min="9" max="9" width="20" customWidth="1"/>
  </x:cols>
  <x:sheetData>
    <x:row r="1" ht="30" customHeight="1">
      <x:c r="A1" s="8" t="str">
        <x:v>MATRIZ DE TRAZABILIDAD - HUATA LÁCTEOS</x:v>
      </x:c>
      <x:c r="B1" s="8"/>
      <x:c r="C1" s="8"/>
      <x:c r="D1" s="8"/>
      <x:c r="E1" s="8"/>
      <x:c r="F1" s="8"/>
      <x:c r="G1" s="8"/>
      <x:c r="H1" s="8"/>
      <x:c r="I1" s="8"/>
    </x:row>
    <x:row r="2" ht="18" customHeight="1">
      <x:c r="A2" s="9" t="str">
        <x:v>Trazabilidad entre requisitos, origen, prioridad, módulo implementado, pruebas y documentación del sistema Huata.</x:v>
      </x:c>
      <x:c r="B2" s="9"/>
      <x:c r="C2" s="9"/>
      <x:c r="D2" s="9"/>
      <x:c r="E2" s="9"/>
      <x:c r="F2" s="9"/>
      <x:c r="G2" s="9"/>
      <x:c r="H2" s="9"/>
      <x:c r="I2" s="9"/>
    </x:row>
    <x:row r="4" ht="33.75" customHeight="1">
      <x:c r="A4" s="5" t="s">
        <x:v>25</x:v>
      </x:c>
      <x:c r="B4" s="5" t="s">
        <x:v>8</x:v>
      </x:c>
      <x:c r="C4" s="5" t="s">
        <x:v>13</x:v>
      </x:c>
      <x:c r="D4" s="5" t="s">
        <x:v>15</x:v>
      </x:c>
      <x:c r="E4" s="5" t="s">
        <x:v>17</x:v>
      </x:c>
      <x:c r="F4" s="5" t="s">
        <x:v>26</x:v>
      </x:c>
      <x:c r="G4" s="5" t="s">
        <x:v>27</x:v>
      </x:c>
      <x:c r="H4" s="5" t="s">
        <x:v>28</x:v>
      </x:c>
      <x:c r="I4" s="5" t="s">
        <x:v>29</x:v>
      </x:c>
    </x:row>
    <x:row r="5" ht="25.5" customHeight="1">
      <x:c r="A5" s="6" t="str">
        <x:f>IF('Matriz Requerimientos'!A5="","",'Matriz Requerimientos'!A5)</x:f>
        <x:v>RF-01</x:v>
      </x:c>
      <x:c r="B5" s="7" t="str">
        <x:f>IF('Matriz Requerimientos'!A5="","",'Matriz Requerimientos'!B5)</x:f>
        <x:v>Administrar proveedores</x:v>
      </x:c>
      <x:c r="C5" s="7" t="str">
        <x:f>IF('Matriz Requerimientos'!A5="","",'Matriz Requerimientos'!H5)</x:f>
        <x:v>INT-01, INT-02</x:v>
      </x:c>
      <x:c r="D5" s="6" t="str">
        <x:f>IF('Matriz Requerimientos'!A5="","",'Matriz Requerimientos'!I5)</x:f>
        <x:v>Must</x:v>
      </x:c>
      <x:c r="E5" s="7" t="str">
        <x:f>IF('Matriz Requerimientos'!A5="","",'Matriz Requerimientos'!K5)</x:f>
        <x:v>Proveedores</x:v>
      </x:c>
      <x:c r="F5" s="6" t="str">
        <x:f>IF('Matriz Requerimientos'!A5="","",IF(COUNTIF('Casos de Prueba'!$B$5:$B$40,'Matriz Requerimientos'!A5)=0,"SIN PRUEBA",COUNTIF('Casos de Prueba'!$B$5:$B$40,'Matriz Requerimientos'!A5)&amp;" caso(s)"))</x:f>
        <x:v>1 caso(s)</x:v>
      </x:c>
      <x:c r="G5" s="3" t="str">
        <x:v>huata_lacteos_control_profesional.html · módulo Proveedores</x:v>
      </x:c>
      <x:c r="H5" s="3" t="str">
        <x:v>Diseño HUATA-01 · Gestión de proveedores</x:v>
      </x:c>
      <x:c r="I5" s="6" t="str">
        <x:f t="shared" ref="I5:I36" si="0">IF(A5="","",IF(AND(C5&lt;&gt;"",E5&lt;&gt;"",F5&lt;&gt;"SIN PRUEBA",G5&lt;&gt;""),"Completa","Incompleta"))</x:f>
        <x:v>Completa</x:v>
      </x:c>
    </x:row>
    <x:row r="6" ht="25.5" customHeight="1">
      <x:c r="A6" s="6" t="str">
        <x:f>IF('Matriz Requerimientos'!A6="","",'Matriz Requerimientos'!A6)</x:f>
        <x:v>RF-02</x:v>
      </x:c>
      <x:c r="B6" s="7" t="str">
        <x:f>IF('Matriz Requerimientos'!A6="","",'Matriz Requerimientos'!B6)</x:f>
        <x:v>Registrar acopio y rendimiento</x:v>
      </x:c>
      <x:c r="C6" s="7" t="str">
        <x:f>IF('Matriz Requerimientos'!A6="","",'Matriz Requerimientos'!H6)</x:f>
        <x:v>RN-06</x:v>
      </x:c>
      <x:c r="D6" s="6" t="str">
        <x:f>IF('Matriz Requerimientos'!A6="","",'Matriz Requerimientos'!I6)</x:f>
        <x:v>Must</x:v>
      </x:c>
      <x:c r="E6" s="7" t="str">
        <x:f>IF('Matriz Requerimientos'!A6="","",'Matriz Requerimientos'!K6)</x:f>
        <x:v>Rendimiento / Acopio</x:v>
      </x:c>
      <x:c r="F6" s="6" t="str">
        <x:f>IF('Matriz Requerimientos'!A6="","",IF(COUNTIF('Casos de Prueba'!$B$5:$B$40,'Matriz Requerimientos'!A6)=0,"SIN PRUEBA",COUNTIF('Casos de Prueba'!$B$5:$B$40,'Matriz Requerimientos'!A6)&amp;" caso(s)"))</x:f>
        <x:v>1 caso(s)</x:v>
      </x:c>
      <x:c r="G6" s="3" t="str">
        <x:v>huata_lacteos_control_profesional.html · módulo Rendimiento/Acopio</x:v>
      </x:c>
      <x:c r="H6" s="3" t="str">
        <x:v>Diseño HUATA-02 · Flujo de acopio</x:v>
      </x:c>
      <x:c r="I6" s="6" t="str">
        <x:f t="shared" si="0">IF(A6="","",IF(AND(C6&lt;&gt;"",E6&lt;&gt;"",F6&lt;&gt;"SIN PRUEBA",G6&lt;&gt;""),"Completa","Incompleta"))</x:f>
        <x:v>Completa</x:v>
      </x:c>
    </x:row>
    <x:row r="7" ht="25.5" customHeight="1">
      <x:c r="A7" s="6" t="str">
        <x:f>IF('Matriz Requerimientos'!A7="","",'Matriz Requerimientos'!A7)</x:f>
        <x:v>RF-03</x:v>
      </x:c>
      <x:c r="B7" s="7" t="str">
        <x:f>IF('Matriz Requerimientos'!A7="","",'Matriz Requerimientos'!B7)</x:f>
        <x:v>Calcular precio e importe de compra</x:v>
      </x:c>
      <x:c r="C7" s="7" t="str">
        <x:f>IF('Matriz Requerimientos'!A7="","",'Matriz Requerimientos'!H7)</x:f>
        <x:v>RN-01, RN-02</x:v>
      </x:c>
      <x:c r="D7" s="6" t="str">
        <x:f>IF('Matriz Requerimientos'!A7="","",'Matriz Requerimientos'!I7)</x:f>
        <x:v>Must</x:v>
      </x:c>
      <x:c r="E7" s="7" t="str">
        <x:f>IF('Matriz Requerimientos'!A7="","",'Matriz Requerimientos'!K7)</x:f>
        <x:v>Acopio / Pagos</x:v>
      </x:c>
      <x:c r="F7" s="6" t="str">
        <x:f>IF('Matriz Requerimientos'!A7="","",IF(COUNTIF('Casos de Prueba'!$B$5:$B$40,'Matriz Requerimientos'!A7)=0,"SIN PRUEBA",COUNTIF('Casos de Prueba'!$B$5:$B$40,'Matriz Requerimientos'!A7)&amp;" caso(s)"))</x:f>
        <x:v>1 caso(s)</x:v>
      </x:c>
      <x:c r="G7" s="3" t="str">
        <x:v>huata_lacteos_control_profesional.html · cálculo de compras/pagos</x:v>
      </x:c>
      <x:c r="H7" s="3" t="str">
        <x:v>Diseño HUATA-03 · Reglas de valorización</x:v>
      </x:c>
      <x:c r="I7" s="6" t="str">
        <x:f t="shared" si="0">IF(A7="","",IF(AND(C7&lt;&gt;"",E7&lt;&gt;"",F7&lt;&gt;"SIN PRUEBA",G7&lt;&gt;""),"Completa","Incompleta"))</x:f>
        <x:v>Completa</x:v>
      </x:c>
    </x:row>
    <x:row r="8" ht="25.5" customHeight="1">
      <x:c r="A8" s="6" t="str">
        <x:f>IF('Matriz Requerimientos'!A8="","",'Matriz Requerimientos'!A8)</x:f>
        <x:v>RF-04</x:v>
      </x:c>
      <x:c r="B8" s="7" t="str">
        <x:f>IF('Matriz Requerimientos'!A8="","",'Matriz Requerimientos'!B8)</x:f>
        <x:v>Registrar control de calidad</x:v>
      </x:c>
      <x:c r="C8" s="7" t="str">
        <x:f>IF('Matriz Requerimientos'!A8="","",'Matriz Requerimientos'!H8)</x:f>
        <x:v>RN-02, RN-03, RN-06</x:v>
      </x:c>
      <x:c r="D8" s="6" t="str">
        <x:f>IF('Matriz Requerimientos'!A8="","",'Matriz Requerimientos'!I8)</x:f>
        <x:v>Must</x:v>
      </x:c>
      <x:c r="E8" s="7" t="str">
        <x:f>IF('Matriz Requerimientos'!A8="","",'Matriz Requerimientos'!K8)</x:f>
        <x:v>Calidad</x:v>
      </x:c>
      <x:c r="F8" s="6" t="str">
        <x:f>IF('Matriz Requerimientos'!A8="","",IF(COUNTIF('Casos de Prueba'!$B$5:$B$40,'Matriz Requerimientos'!A8)=0,"SIN PRUEBA",COUNTIF('Casos de Prueba'!$B$5:$B$40,'Matriz Requerimientos'!A8)&amp;" caso(s)"))</x:f>
        <x:v>1 caso(s)</x:v>
      </x:c>
      <x:c r="G8" s="3" t="str">
        <x:v>huata_lacteos_control_profesional.html · módulo Calidad</x:v>
      </x:c>
      <x:c r="H8" s="3" t="str">
        <x:v>Diseño HUATA-04 · Control de calidad</x:v>
      </x:c>
      <x:c r="I8" s="6" t="str">
        <x:f t="shared" si="0">IF(A8="","",IF(AND(C8&lt;&gt;"",E8&lt;&gt;"",F8&lt;&gt;"SIN PRUEBA",G8&lt;&gt;""),"Completa","Incompleta"))</x:f>
        <x:v>Completa</x:v>
      </x:c>
    </x:row>
    <x:row r="9" ht="25.5" customHeight="1">
      <x:c r="A9" s="6" t="str">
        <x:f>IF('Matriz Requerimientos'!A9="","",'Matriz Requerimientos'!A9)</x:f>
        <x:v>RF-05</x:v>
      </x:c>
      <x:c r="B9" s="7" t="str">
        <x:f>IF('Matriz Requerimientos'!A9="","",'Matriz Requerimientos'!B9)</x:f>
        <x:v>Consultar historial de calidad del proveedor</x:v>
      </x:c>
      <x:c r="C9" s="7" t="str">
        <x:f>IF('Matriz Requerimientos'!A9="","",'Matriz Requerimientos'!H9)</x:f>
        <x:v>INT-03</x:v>
      </x:c>
      <x:c r="D9" s="6" t="str">
        <x:f>IF('Matriz Requerimientos'!A9="","",'Matriz Requerimientos'!I9)</x:f>
        <x:v>Must</x:v>
      </x:c>
      <x:c r="E9" s="7" t="str">
        <x:f>IF('Matriz Requerimientos'!A9="","",'Matriz Requerimientos'!K9)</x:f>
        <x:v>Calidad / Proveedores</x:v>
      </x:c>
      <x:c r="F9" s="6" t="str">
        <x:f>IF('Matriz Requerimientos'!A9="","",IF(COUNTIF('Casos de Prueba'!$B$5:$B$40,'Matriz Requerimientos'!A9)=0,"SIN PRUEBA",COUNTIF('Casos de Prueba'!$B$5:$B$40,'Matriz Requerimientos'!A9)&amp;" caso(s)"))</x:f>
        <x:v>1 caso(s)</x:v>
      </x:c>
      <x:c r="G9" s="3" t="str">
        <x:v>huata_lacteos_control_profesional.html · historial de Calidad/Proveedor</x:v>
      </x:c>
      <x:c r="H9" s="3" t="str">
        <x:v>Diseño HUATA-04 · Historial de incidencias</x:v>
      </x:c>
      <x:c r="I9" s="6" t="str">
        <x:f t="shared" si="0">IF(A9="","",IF(AND(C9&lt;&gt;"",E9&lt;&gt;"",F9&lt;&gt;"SIN PRUEBA",G9&lt;&gt;""),"Completa","Incompleta"))</x:f>
        <x:v>Completa</x:v>
      </x:c>
    </x:row>
    <x:row r="10" ht="25.5" customHeight="1">
      <x:c r="A10" s="6" t="str">
        <x:f>IF('Matriz Requerimientos'!A10="","",'Matriz Requerimientos'!A10)</x:f>
        <x:v>RF-06</x:v>
      </x:c>
      <x:c r="B10" s="7" t="str">
        <x:f>IF('Matriz Requerimientos'!A10="","",'Matriz Requerimientos'!B10)</x:f>
        <x:v>Inactivar proveedor por reincidencia o adulteración</x:v>
      </x:c>
      <x:c r="C10" s="7" t="str">
        <x:f>IF('Matriz Requerimientos'!A10="","",'Matriz Requerimientos'!H10)</x:f>
        <x:v>RN-04</x:v>
      </x:c>
      <x:c r="D10" s="6" t="str">
        <x:f>IF('Matriz Requerimientos'!A10="","",'Matriz Requerimientos'!I10)</x:f>
        <x:v>Must</x:v>
      </x:c>
      <x:c r="E10" s="7" t="str">
        <x:f>IF('Matriz Requerimientos'!A10="","",'Matriz Requerimientos'!K10)</x:f>
        <x:v>Proveedores / Calidad</x:v>
      </x:c>
      <x:c r="F10" s="6" t="str">
        <x:f>IF('Matriz Requerimientos'!A10="","",IF(COUNTIF('Casos de Prueba'!$B$5:$B$40,'Matriz Requerimientos'!A10)=0,"SIN PRUEBA",COUNTIF('Casos de Prueba'!$B$5:$B$40,'Matriz Requerimientos'!A10)&amp;" caso(s)"))</x:f>
        <x:v>1 caso(s)</x:v>
      </x:c>
      <x:c r="G10" s="3" t="str">
        <x:v>huata_lacteos_control_profesional.html · estado de Proveedores</x:v>
      </x:c>
      <x:c r="H10" s="3" t="str">
        <x:v>Diseño HUATA-05 · Inactivación de proveedor</x:v>
      </x:c>
      <x:c r="I10" s="6" t="str">
        <x:f t="shared" si="0">IF(A10="","",IF(AND(C10&lt;&gt;"",E10&lt;&gt;"",F10&lt;&gt;"SIN PRUEBA",G10&lt;&gt;""),"Completa","Incompleta"))</x:f>
        <x:v>Completa</x:v>
      </x:c>
    </x:row>
    <x:row r="11" ht="25.5" customHeight="1">
      <x:c r="A11" s="6" t="str">
        <x:f>IF('Matriz Requerimientos'!A11="","",'Matriz Requerimientos'!A11)</x:f>
        <x:v>RF-07</x:v>
      </x:c>
      <x:c r="B11" s="7" t="str">
        <x:f>IF('Matriz Requerimientos'!A11="","",'Matriz Requerimientos'!B11)</x:f>
        <x:v>Generar pagos semanales de los viernes</x:v>
      </x:c>
      <x:c r="C11" s="7" t="str">
        <x:f>IF('Matriz Requerimientos'!A11="","",'Matriz Requerimientos'!H11)</x:f>
        <x:v>RN-05</x:v>
      </x:c>
      <x:c r="D11" s="6" t="str">
        <x:f>IF('Matriz Requerimientos'!A11="","",'Matriz Requerimientos'!I11)</x:f>
        <x:v>Must</x:v>
      </x:c>
      <x:c r="E11" s="7" t="str">
        <x:f>IF('Matriz Requerimientos'!A11="","",'Matriz Requerimientos'!K11)</x:f>
        <x:v>Pagos</x:v>
      </x:c>
      <x:c r="F11" s="6" t="str">
        <x:f>IF('Matriz Requerimientos'!A11="","",IF(COUNTIF('Casos de Prueba'!$B$5:$B$40,'Matriz Requerimientos'!A11)=0,"SIN PRUEBA",COUNTIF('Casos de Prueba'!$B$5:$B$40,'Matriz Requerimientos'!A11)&amp;" caso(s)"))</x:f>
        <x:v>1 caso(s)</x:v>
      </x:c>
      <x:c r="G11" s="3" t="str">
        <x:v>huata_lacteos_control_profesional.html · pagos/resumen semanal</x:v>
      </x:c>
      <x:c r="H11" s="3" t="str">
        <x:v>Diseño HUATA-06 · Pago semanal de viernes</x:v>
      </x:c>
      <x:c r="I11" s="6" t="str">
        <x:f t="shared" si="0">IF(A11="","",IF(AND(C11&lt;&gt;"",E11&lt;&gt;"",F11&lt;&gt;"SIN PRUEBA",G11&lt;&gt;""),"Completa","Incompleta"))</x:f>
        <x:v>Completa</x:v>
      </x:c>
    </x:row>
    <x:row r="12" ht="25.5" customHeight="1">
      <x:c r="A12" s="6" t="str">
        <x:f>IF('Matriz Requerimientos'!A12="","",'Matriz Requerimientos'!A12)</x:f>
        <x:v>RF-08</x:v>
      </x:c>
      <x:c r="B12" s="7" t="str">
        <x:f>IF('Matriz Requerimientos'!A12="","",'Matriz Requerimientos'!B12)</x:f>
        <x:v>Mostrar dashboard de control</x:v>
      </x:c>
      <x:c r="C12" s="7" t="str">
        <x:f>IF('Matriz Requerimientos'!A12="","",'Matriz Requerimientos'!H12)</x:f>
        <x:v>INT-01</x:v>
      </x:c>
      <x:c r="D12" s="6" t="str">
        <x:f>IF('Matriz Requerimientos'!A12="","",'Matriz Requerimientos'!I12)</x:f>
        <x:v>Should</x:v>
      </x:c>
      <x:c r="E12" s="7" t="str">
        <x:f>IF('Matriz Requerimientos'!A12="","",'Matriz Requerimientos'!K12)</x:f>
        <x:v>Dashboard</x:v>
      </x:c>
      <x:c r="F12" s="6" t="str">
        <x:f>IF('Matriz Requerimientos'!A12="","",IF(COUNTIF('Casos de Prueba'!$B$5:$B$40,'Matriz Requerimientos'!A12)=0,"SIN PRUEBA",COUNTIF('Casos de Prueba'!$B$5:$B$40,'Matriz Requerimientos'!A12)&amp;" caso(s)"))</x:f>
        <x:v>1 caso(s)</x:v>
      </x:c>
      <x:c r="G12" s="3" t="str">
        <x:v>huata_lacteos_control_profesional.html · Dashboard</x:v>
      </x:c>
      <x:c r="H12" s="3" t="str">
        <x:v>Diseño HUATA-07 · Tablero de indicadores</x:v>
      </x:c>
      <x:c r="I12" s="6" t="str">
        <x:f t="shared" si="0">IF(A12="","",IF(AND(C12&lt;&gt;"",E12&lt;&gt;"",F12&lt;&gt;"SIN PRUEBA",G12&lt;&gt;""),"Completa","Incompleta"))</x:f>
        <x:v>Completa</x:v>
      </x:c>
    </x:row>
    <x:row r="13" ht="25.5" customHeight="1">
      <x:c r="A13" s="6" t="str">
        <x:f>IF('Matriz Requerimientos'!A13="","",'Matriz Requerimientos'!A13)</x:f>
        <x:v>RF-09</x:v>
      </x:c>
      <x:c r="B13" s="7" t="str">
        <x:f>IF('Matriz Requerimientos'!A13="","",'Matriz Requerimientos'!B13)</x:f>
        <x:v>Generar resumen por zonas</x:v>
      </x:c>
      <x:c r="C13" s="7" t="str">
        <x:f>IF('Matriz Requerimientos'!A13="","",'Matriz Requerimientos'!H13)</x:f>
        <x:v>INT-01, INT-02</x:v>
      </x:c>
      <x:c r="D13" s="6" t="str">
        <x:f>IF('Matriz Requerimientos'!A13="","",'Matriz Requerimientos'!I13)</x:f>
        <x:v>Must</x:v>
      </x:c>
      <x:c r="E13" s="7" t="str">
        <x:f>IF('Matriz Requerimientos'!A13="","",'Matriz Requerimientos'!K13)</x:f>
        <x:v>ResumenZonas</x:v>
      </x:c>
      <x:c r="F13" s="6" t="str">
        <x:f>IF('Matriz Requerimientos'!A13="","",IF(COUNTIF('Casos de Prueba'!$B$5:$B$40,'Matriz Requerimientos'!A13)=0,"SIN PRUEBA",COUNTIF('Casos de Prueba'!$B$5:$B$40,'Matriz Requerimientos'!A13)&amp;" caso(s)"))</x:f>
        <x:v>1 caso(s)</x:v>
      </x:c>
      <x:c r="G13" s="3" t="str">
        <x:v>huata_lacteos_control_profesional.html · módulo ResumenZonas</x:v>
      </x:c>
      <x:c r="H13" s="3" t="str">
        <x:v>Diseño HUATA-08 · Resumen de zonas</x:v>
      </x:c>
      <x:c r="I13" s="6" t="str">
        <x:f t="shared" si="0">IF(A13="","",IF(AND(C13&lt;&gt;"",E13&lt;&gt;"",F13&lt;&gt;"SIN PRUEBA",G13&lt;&gt;""),"Completa","Incompleta"))</x:f>
        <x:v>Completa</x:v>
      </x:c>
    </x:row>
    <x:row r="14" ht="25.5" customHeight="1">
      <x:c r="A14" s="6" t="str">
        <x:f>IF('Matriz Requerimientos'!A14="","",'Matriz Requerimientos'!A14)</x:f>
        <x:v>RF-10</x:v>
      </x:c>
      <x:c r="B14" s="7" t="str">
        <x:f>IF('Matriz Requerimientos'!A14="","",'Matriz Requerimientos'!B14)</x:f>
        <x:v>Controlar producción y venta de quesos</x:v>
      </x:c>
      <x:c r="C14" s="7" t="str">
        <x:f>IF('Matriz Requerimientos'!A14="","",'Matriz Requerimientos'!H14)</x:f>
        <x:v>INT-05</x:v>
      </x:c>
      <x:c r="D14" s="6" t="str">
        <x:f>IF('Matriz Requerimientos'!A14="","",'Matriz Requerimientos'!I14)</x:f>
        <x:v>Should</x:v>
      </x:c>
      <x:c r="E14" s="7" t="str">
        <x:f>IF('Matriz Requerimientos'!A14="","",'Matriz Requerimientos'!K14)</x:f>
        <x:v>Quesos</x:v>
      </x:c>
      <x:c r="F14" s="6" t="str">
        <x:f>IF('Matriz Requerimientos'!A14="","",IF(COUNTIF('Casos de Prueba'!$B$5:$B$40,'Matriz Requerimientos'!A14)=0,"SIN PRUEBA",COUNTIF('Casos de Prueba'!$B$5:$B$40,'Matriz Requerimientos'!A14)&amp;" caso(s)"))</x:f>
        <x:v>1 caso(s)</x:v>
      </x:c>
      <x:c r="G14" s="3" t="str">
        <x:v>huata_lacteos_control_profesional.html · módulo Quesos</x:v>
      </x:c>
      <x:c r="H14" s="3" t="str">
        <x:v>Diseño HUATA-09 · Producción y ventas</x:v>
      </x:c>
      <x:c r="I14" s="6" t="str">
        <x:f t="shared" si="0">IF(A14="","",IF(AND(C14&lt;&gt;"",E14&lt;&gt;"",F14&lt;&gt;"SIN PRUEBA",G14&lt;&gt;""),"Completa","Incompleta"))</x:f>
        <x:v>Completa</x:v>
      </x:c>
    </x:row>
    <x:row r="15" ht="25.5" customHeight="1">
      <x:c r="A15" s="6" t="str">
        <x:f>IF('Matriz Requerimientos'!A15="","",'Matriz Requerimientos'!A15)</x:f>
        <x:v>RF-11</x:v>
      </x:c>
      <x:c r="B15" s="7" t="str">
        <x:f>IF('Matriz Requerimientos'!A15="","",'Matriz Requerimientos'!B15)</x:f>
        <x:v>Importar y exportar Excel</x:v>
      </x:c>
      <x:c r="C15" s="7" t="str">
        <x:f>IF('Matriz Requerimientos'!A15="","",'Matriz Requerimientos'!H15)</x:f>
        <x:v>RN-07</x:v>
      </x:c>
      <x:c r="D15" s="6" t="str">
        <x:f>IF('Matriz Requerimientos'!A15="","",'Matriz Requerimientos'!I15)</x:f>
        <x:v>Must</x:v>
      </x:c>
      <x:c r="E15" s="7" t="str">
        <x:f>IF('Matriz Requerimientos'!A15="","",'Matriz Requerimientos'!K15)</x:f>
        <x:v>Excel / Datos</x:v>
      </x:c>
      <x:c r="F15" s="6" t="str">
        <x:f>IF('Matriz Requerimientos'!A15="","",IF(COUNTIF('Casos de Prueba'!$B$5:$B$40,'Matriz Requerimientos'!A15)=0,"SIN PRUEBA",COUNTIF('Casos de Prueba'!$B$5:$B$40,'Matriz Requerimientos'!A15)&amp;" caso(s)"))</x:f>
        <x:v>1 caso(s)</x:v>
      </x:c>
      <x:c r="G15" s="3" t="str">
        <x:v>huata_lacteos_control_profesional.html · importación/exportación XLSX</x:v>
      </x:c>
      <x:c r="H15" s="3" t="str">
        <x:v>Diseño HUATA-10 · Intercambio de datos Excel</x:v>
      </x:c>
      <x:c r="I15" s="6" t="str">
        <x:f t="shared" si="0">IF(A15="","",IF(AND(C15&lt;&gt;"",E15&lt;&gt;"",F15&lt;&gt;"SIN PRUEBA",G15&lt;&gt;""),"Completa","Incompleta"))</x:f>
        <x:v>Completa</x:v>
      </x:c>
    </x:row>
    <x:row r="16" ht="25.5" customHeight="1">
      <x:c r="A16" s="6" t="str">
        <x:f>IF('Matriz Requerimientos'!A16="","",'Matriz Requerimientos'!A16)</x:f>
        <x:v>RF-12</x:v>
      </x:c>
      <x:c r="B16" s="7" t="str">
        <x:f>IF('Matriz Requerimientos'!A16="","",'Matriz Requerimientos'!B16)</x:f>
        <x:v>Consultar reportes e historial</x:v>
      </x:c>
      <x:c r="C16" s="7" t="str">
        <x:f>IF('Matriz Requerimientos'!A16="","",'Matriz Requerimientos'!H16)</x:f>
        <x:v>INT-01, INT-05</x:v>
      </x:c>
      <x:c r="D16" s="6" t="str">
        <x:f>IF('Matriz Requerimientos'!A16="","",'Matriz Requerimientos'!I16)</x:f>
        <x:v>Should</x:v>
      </x:c>
      <x:c r="E16" s="7" t="str">
        <x:f>IF('Matriz Requerimientos'!A16="","",'Matriz Requerimientos'!K16)</x:f>
        <x:v>Reportes</x:v>
      </x:c>
      <x:c r="F16" s="6" t="str">
        <x:f>IF('Matriz Requerimientos'!A16="","",IF(COUNTIF('Casos de Prueba'!$B$5:$B$40,'Matriz Requerimientos'!A16)=0,"SIN PRUEBA",COUNTIF('Casos de Prueba'!$B$5:$B$40,'Matriz Requerimientos'!A16)&amp;" caso(s)"))</x:f>
        <x:v>1 caso(s)</x:v>
      </x:c>
      <x:c r="G16" s="3" t="str">
        <x:v>huata_lacteos_control_profesional.html · módulo Reportes</x:v>
      </x:c>
      <x:c r="H16" s="3" t="str">
        <x:v>Diseño HUATA-11 · Reportes e historial</x:v>
      </x:c>
      <x:c r="I16" s="6" t="str">
        <x:f t="shared" si="0">IF(A16="","",IF(AND(C16&lt;&gt;"",E16&lt;&gt;"",F16&lt;&gt;"SIN PRUEBA",G16&lt;&gt;""),"Completa","Incompleta"))</x:f>
        <x:v>Completa</x:v>
      </x:c>
    </x:row>
    <x:row r="17" ht="25.5" customHeight="1">
      <x:c r="A17" s="6" t="str">
        <x:f>IF('Matriz Requerimientos'!A17="","",'Matriz Requerimientos'!A17)</x:f>
        <x:v>RNF-01</x:v>
      </x:c>
      <x:c r="B17" s="7" t="str">
        <x:f>IF('Matriz Requerimientos'!A17="","",'Matriz Requerimientos'!B17)</x:f>
        <x:v>Interfaz responsive y usable</x:v>
      </x:c>
      <x:c r="C17" s="7" t="str">
        <x:f>IF('Matriz Requerimientos'!A17="","",'Matriz Requerimientos'!H17)</x:f>
        <x:v>INT-01, INT-02</x:v>
      </x:c>
      <x:c r="D17" s="6" t="str">
        <x:f>IF('Matriz Requerimientos'!A17="","",'Matriz Requerimientos'!I17)</x:f>
        <x:v>Must</x:v>
      </x:c>
      <x:c r="E17" s="7" t="str">
        <x:f>IF('Matriz Requerimientos'!A17="","",'Matriz Requerimientos'!K17)</x:f>
        <x:v>Transversal</x:v>
      </x:c>
      <x:c r="F17" s="6" t="str">
        <x:f>IF('Matriz Requerimientos'!A17="","",IF(COUNTIF('Casos de Prueba'!$B$5:$B$40,'Matriz Requerimientos'!A17)=0,"SIN PRUEBA",COUNTIF('Casos de Prueba'!$B$5:$B$40,'Matriz Requerimientos'!A17)&amp;" caso(s)"))</x:f>
        <x:v>1 caso(s)</x:v>
      </x:c>
      <x:c r="G17" s="3" t="str">
        <x:v>huata_lacteos_control_profesional.html · estilos responsive</x:v>
      </x:c>
      <x:c r="H17" s="3" t="str">
        <x:v>Diseño HUATA-12 · UX responsive</x:v>
      </x:c>
      <x:c r="I17" s="6" t="str">
        <x:f t="shared" si="0">IF(A17="","",IF(AND(C17&lt;&gt;"",E17&lt;&gt;"",F17&lt;&gt;"SIN PRUEBA",G17&lt;&gt;""),"Completa","Incompleta"))</x:f>
        <x:v>Completa</x:v>
      </x:c>
    </x:row>
    <x:row r="18" ht="25.5" customHeight="1">
      <x:c r="A18" s="6" t="str">
        <x:f>IF('Matriz Requerimientos'!A18="","",'Matriz Requerimientos'!A18)</x:f>
        <x:v>RNF-02</x:v>
      </x:c>
      <x:c r="B18" s="7" t="str">
        <x:f>IF('Matriz Requerimientos'!A18="","",'Matriz Requerimientos'!B18)</x:f>
        <x:v>Rendimiento de consultas</x:v>
      </x:c>
      <x:c r="C18" s="7" t="str">
        <x:f>IF('Matriz Requerimientos'!A18="","",'Matriz Requerimientos'!H18)</x:f>
        <x:v>INT-01</x:v>
      </x:c>
      <x:c r="D18" s="6" t="str">
        <x:f>IF('Matriz Requerimientos'!A18="","",'Matriz Requerimientos'!I18)</x:f>
        <x:v>Should</x:v>
      </x:c>
      <x:c r="E18" s="7" t="str">
        <x:f>IF('Matriz Requerimientos'!A18="","",'Matriz Requerimientos'!K18)</x:f>
        <x:v>Transversal</x:v>
      </x:c>
      <x:c r="F18" s="6" t="str">
        <x:f>IF('Matriz Requerimientos'!A18="","",IF(COUNTIF('Casos de Prueba'!$B$5:$B$40,'Matriz Requerimientos'!A18)=0,"SIN PRUEBA",COUNTIF('Casos de Prueba'!$B$5:$B$40,'Matriz Requerimientos'!A18)&amp;" caso(s)"))</x:f>
        <x:v>1 caso(s)</x:v>
      </x:c>
      <x:c r="G18" s="3" t="str">
        <x:v>huata_lacteos_control_profesional.html · filtros y renderizado</x:v>
      </x:c>
      <x:c r="H18" s="3" t="str">
        <x:v>Diseño HUATA-13 · Rendimiento</x:v>
      </x:c>
      <x:c r="I18" s="6" t="str">
        <x:f t="shared" si="0">IF(A18="","",IF(AND(C18&lt;&gt;"",E18&lt;&gt;"",F18&lt;&gt;"SIN PRUEBA",G18&lt;&gt;""),"Completa","Incompleta"))</x:f>
        <x:v>Completa</x:v>
      </x:c>
    </x:row>
    <x:row r="19" ht="25.5" customHeight="1">
      <x:c r="A19" s="6" t="str">
        <x:f>IF('Matriz Requerimientos'!A19="","",'Matriz Requerimientos'!A19)</x:f>
        <x:v>RNF-03</x:v>
      </x:c>
      <x:c r="B19" s="7" t="str">
        <x:f>IF('Matriz Requerimientos'!A19="","",'Matriz Requerimientos'!B19)</x:f>
        <x:v>Seguridad y control de acceso</x:v>
      </x:c>
      <x:c r="C19" s="7" t="str">
        <x:f>IF('Matriz Requerimientos'!A19="","",'Matriz Requerimientos'!H19)</x:f>
        <x:v>INT-01</x:v>
      </x:c>
      <x:c r="D19" s="6" t="str">
        <x:f>IF('Matriz Requerimientos'!A19="","",'Matriz Requerimientos'!I19)</x:f>
        <x:v>Must</x:v>
      </x:c>
      <x:c r="E19" s="7" t="str">
        <x:f>IF('Matriz Requerimientos'!A19="","",'Matriz Requerimientos'!K19)</x:f>
        <x:v>Seguridad</x:v>
      </x:c>
      <x:c r="F19" s="6" t="str">
        <x:f>IF('Matriz Requerimientos'!A19="","",IF(COUNTIF('Casos de Prueba'!$B$5:$B$40,'Matriz Requerimientos'!A19)=0,"SIN PRUEBA",COUNTIF('Casos de Prueba'!$B$5:$B$40,'Matriz Requerimientos'!A19)&amp;" caso(s)"))</x:f>
        <x:v>1 caso(s)</x:v>
      </x:c>
      <x:c r="G19" s="3" t="str">
        <x:v>huata_lacteos_control_profesional.html · control de acceso</x:v>
      </x:c>
      <x:c r="H19" s="3" t="str">
        <x:v>Diseño HUATA-14 · Seguridad</x:v>
      </x:c>
      <x:c r="I19" s="6" t="str">
        <x:f t="shared" si="0">IF(A19="","",IF(AND(C19&lt;&gt;"",E19&lt;&gt;"",F19&lt;&gt;"SIN PRUEBA",G19&lt;&gt;""),"Completa","Incompleta"))</x:f>
        <x:v>Completa</x:v>
      </x:c>
    </x:row>
    <x:row r="20" ht="25.5" customHeight="1">
      <x:c r="A20" s="6" t="str">
        <x:f>IF('Matriz Requerimientos'!A20="","",'Matriz Requerimientos'!A20)</x:f>
        <x:v>RNF-04</x:v>
      </x:c>
      <x:c r="B20" s="7" t="str">
        <x:f>IF('Matriz Requerimientos'!A20="","",'Matriz Requerimientos'!B20)</x:f>
        <x:v>Integridad y respaldo de datos</x:v>
      </x:c>
      <x:c r="C20" s="7" t="str">
        <x:f>IF('Matriz Requerimientos'!A20="","",'Matriz Requerimientos'!H20)</x:f>
        <x:v>RN-07</x:v>
      </x:c>
      <x:c r="D20" s="6" t="str">
        <x:f>IF('Matriz Requerimientos'!A20="","",'Matriz Requerimientos'!I20)</x:f>
        <x:v>Must</x:v>
      </x:c>
      <x:c r="E20" s="7" t="str">
        <x:f>IF('Matriz Requerimientos'!A20="","",'Matriz Requerimientos'!K20)</x:f>
        <x:v>Datos / Respaldo</x:v>
      </x:c>
      <x:c r="F20" s="6" t="str">
        <x:f>IF('Matriz Requerimientos'!A20="","",IF(COUNTIF('Casos de Prueba'!$B$5:$B$40,'Matriz Requerimientos'!A20)=0,"SIN PRUEBA",COUNTIF('Casos de Prueba'!$B$5:$B$40,'Matriz Requerimientos'!A20)&amp;" caso(s)"))</x:f>
        <x:v>1 caso(s)</x:v>
      </x:c>
      <x:c r="G20" s="3" t="str">
        <x:v>huata_lacteos_control_profesional.html · validación/backup de datos</x:v>
      </x:c>
      <x:c r="H20" s="3" t="str">
        <x:v>Diseño HUATA-15 · Integridad y respaldo</x:v>
      </x:c>
      <x:c r="I20" s="6" t="str">
        <x:f t="shared" si="0">IF(A20="","",IF(AND(C20&lt;&gt;"",E20&lt;&gt;"",F20&lt;&gt;"SIN PRUEBA",G20&lt;&gt;""),"Completa","Incompleta"))</x:f>
        <x:v>Completa</x:v>
      </x:c>
    </x:row>
    <x:row r="21" ht="25.5" customHeight="1">
      <x:c r="A21" s="6" t="str">
        <x:f>IF('Matriz Requerimientos'!A21="","",'Matriz Requerimientos'!A21)</x:f>
        <x:v>RNF-05</x:v>
      </x:c>
      <x:c r="B21" s="7" t="str">
        <x:f>IF('Matriz Requerimientos'!A21="","",'Matriz Requerimientos'!B21)</x:f>
        <x:v>Mantenibilidad y evolución</x:v>
      </x:c>
      <x:c r="C21" s="7" t="str">
        <x:f>IF('Matriz Requerimientos'!A21="","",'Matriz Requerimientos'!H21)</x:f>
        <x:v>Cronograma</x:v>
      </x:c>
      <x:c r="D21" s="6" t="str">
        <x:f>IF('Matriz Requerimientos'!A21="","",'Matriz Requerimientos'!I21)</x:f>
        <x:v>Should</x:v>
      </x:c>
      <x:c r="E21" s="7" t="str">
        <x:f>IF('Matriz Requerimientos'!A21="","",'Matriz Requerimientos'!K21)</x:f>
        <x:v>Transversal</x:v>
      </x:c>
      <x:c r="F21" s="6" t="str">
        <x:f>IF('Matriz Requerimientos'!A21="","",IF(COUNTIF('Casos de Prueba'!$B$5:$B$40,'Matriz Requerimientos'!A21)=0,"SIN PRUEBA",COUNTIF('Casos de Prueba'!$B$5:$B$40,'Matriz Requerimientos'!A21)&amp;" caso(s)"))</x:f>
        <x:v>1 caso(s)</x:v>
      </x:c>
      <x:c r="G21" s="3" t="str">
        <x:v>huata_lacteos_control_profesional.html · estructura modular</x:v>
      </x:c>
      <x:c r="H21" s="3" t="str">
        <x:v>Diseño HUATA-16 · Mantenibilidad</x:v>
      </x:c>
      <x:c r="I21" s="6" t="str">
        <x:f t="shared" si="0">IF(A21="","",IF(AND(C21&lt;&gt;"",E21&lt;&gt;"",F21&lt;&gt;"SIN PRUEBA",G21&lt;&gt;""),"Completa","Incompleta"))</x:f>
        <x:v>Completa</x:v>
      </x:c>
    </x:row>
    <x:row r="22" ht="25.5" customHeight="1">
      <x:c r="A22" s="6" t="str">
        <x:f>IF('Matriz Requerimientos'!A22="","",'Matriz Requerimientos'!A22)</x:f>
      </x:c>
      <x:c r="B22" s="7" t="str">
        <x:f>IF('Matriz Requerimientos'!A22="","",'Matriz Requerimientos'!B22)</x:f>
      </x:c>
      <x:c r="C22" s="7" t="str">
        <x:f>IF('Matriz Requerimientos'!A22="","",'Matriz Requerimientos'!H22)</x:f>
      </x:c>
      <x:c r="D22" s="6" t="str">
        <x:f>IF('Matriz Requerimientos'!A22="","",'Matriz Requerimientos'!I22)</x:f>
      </x:c>
      <x:c r="E22" s="7" t="str">
        <x:f>IF('Matriz Requerimientos'!A22="","",'Matriz Requerimientos'!K22)</x:f>
      </x:c>
      <x:c r="F22" s="6" t="str">
        <x:f>IF('Matriz Requerimientos'!A22="","",IF(COUNTIF('Casos de Prueba'!$B$5:$B$40,'Matriz Requerimientos'!A22)=0,"SIN PRUEBA",COUNTIF('Casos de Prueba'!$B$5:$B$40,'Matriz Requerimientos'!A22)&amp;" caso(s)"))</x:f>
      </x:c>
      <x:c r="G22" s="3"/>
      <x:c r="H22" s="3"/>
      <x:c r="I22" s="6" t="str">
        <x:f t="shared" si="0"/>
      </x:c>
    </x:row>
    <x:row r="23" ht="25.5" customHeight="1">
      <x:c r="A23" s="6" t="str">
        <x:f>IF('Matriz Requerimientos'!A23="","",'Matriz Requerimientos'!A23)</x:f>
      </x:c>
      <x:c r="B23" s="7" t="str">
        <x:f>IF('Matriz Requerimientos'!A23="","",'Matriz Requerimientos'!B23)</x:f>
      </x:c>
      <x:c r="C23" s="7" t="str">
        <x:f>IF('Matriz Requerimientos'!A23="","",'Matriz Requerimientos'!H23)</x:f>
      </x:c>
      <x:c r="D23" s="6" t="str">
        <x:f>IF('Matriz Requerimientos'!A23="","",'Matriz Requerimientos'!I23)</x:f>
      </x:c>
      <x:c r="E23" s="7" t="str">
        <x:f>IF('Matriz Requerimientos'!A23="","",'Matriz Requerimientos'!K23)</x:f>
      </x:c>
      <x:c r="F23" s="6" t="str">
        <x:f>IF('Matriz Requerimientos'!A23="","",IF(COUNTIF('Casos de Prueba'!$B$5:$B$40,'Matriz Requerimientos'!A23)=0,"SIN PRUEBA",COUNTIF('Casos de Prueba'!$B$5:$B$40,'Matriz Requerimientos'!A23)&amp;" caso(s)"))</x:f>
      </x:c>
      <x:c r="G23" s="3"/>
      <x:c r="H23" s="3"/>
      <x:c r="I23" s="6" t="str">
        <x:f t="shared" si="0"/>
      </x:c>
    </x:row>
    <x:row r="24" ht="25.5" customHeight="1">
      <x:c r="A24" s="6" t="str">
        <x:f>IF('Matriz Requerimientos'!A24="","",'Matriz Requerimientos'!A24)</x:f>
      </x:c>
      <x:c r="B24" s="7" t="str">
        <x:f>IF('Matriz Requerimientos'!A24="","",'Matriz Requerimientos'!B24)</x:f>
      </x:c>
      <x:c r="C24" s="7" t="str">
        <x:f>IF('Matriz Requerimientos'!A24="","",'Matriz Requerimientos'!H24)</x:f>
      </x:c>
      <x:c r="D24" s="6" t="str">
        <x:f>IF('Matriz Requerimientos'!A24="","",'Matriz Requerimientos'!I24)</x:f>
      </x:c>
      <x:c r="E24" s="7" t="str">
        <x:f>IF('Matriz Requerimientos'!A24="","",'Matriz Requerimientos'!K24)</x:f>
      </x:c>
      <x:c r="F24" s="6" t="str">
        <x:f>IF('Matriz Requerimientos'!A24="","",IF(COUNTIF('Casos de Prueba'!$B$5:$B$40,'Matriz Requerimientos'!A24)=0,"SIN PRUEBA",COUNTIF('Casos de Prueba'!$B$5:$B$40,'Matriz Requerimientos'!A24)&amp;" caso(s)"))</x:f>
      </x:c>
      <x:c r="G24" s="3"/>
      <x:c r="H24" s="3"/>
      <x:c r="I24" s="6" t="str">
        <x:f t="shared" si="0"/>
      </x:c>
    </x:row>
    <x:row r="25" ht="25.5" customHeight="1">
      <x:c r="A25" s="6" t="str">
        <x:f>IF('Matriz Requerimientos'!A25="","",'Matriz Requerimientos'!A25)</x:f>
      </x:c>
      <x:c r="B25" s="7" t="str">
        <x:f>IF('Matriz Requerimientos'!A25="","",'Matriz Requerimientos'!B25)</x:f>
      </x:c>
      <x:c r="C25" s="7" t="str">
        <x:f>IF('Matriz Requerimientos'!A25="","",'Matriz Requerimientos'!H25)</x:f>
      </x:c>
      <x:c r="D25" s="6" t="str">
        <x:f>IF('Matriz Requerimientos'!A25="","",'Matriz Requerimientos'!I25)</x:f>
      </x:c>
      <x:c r="E25" s="7" t="str">
        <x:f>IF('Matriz Requerimientos'!A25="","",'Matriz Requerimientos'!K25)</x:f>
      </x:c>
      <x:c r="F25" s="6" t="str">
        <x:f>IF('Matriz Requerimientos'!A25="","",IF(COUNTIF('Casos de Prueba'!$B$5:$B$40,'Matriz Requerimientos'!A25)=0,"SIN PRUEBA",COUNTIF('Casos de Prueba'!$B$5:$B$40,'Matriz Requerimientos'!A25)&amp;" caso(s)"))</x:f>
      </x:c>
      <x:c r="G25" s="3"/>
      <x:c r="H25" s="3"/>
      <x:c r="I25" s="6" t="str">
        <x:f t="shared" si="0"/>
      </x:c>
    </x:row>
    <x:row r="26" ht="25.5" customHeight="1">
      <x:c r="A26" s="6" t="str">
        <x:f>IF('Matriz Requerimientos'!A26="","",'Matriz Requerimientos'!A26)</x:f>
      </x:c>
      <x:c r="B26" s="7" t="str">
        <x:f>IF('Matriz Requerimientos'!A26="","",'Matriz Requerimientos'!B26)</x:f>
      </x:c>
      <x:c r="C26" s="7" t="str">
        <x:f>IF('Matriz Requerimientos'!A26="","",'Matriz Requerimientos'!H26)</x:f>
      </x:c>
      <x:c r="D26" s="6" t="str">
        <x:f>IF('Matriz Requerimientos'!A26="","",'Matriz Requerimientos'!I26)</x:f>
      </x:c>
      <x:c r="E26" s="7" t="str">
        <x:f>IF('Matriz Requerimientos'!A26="","",'Matriz Requerimientos'!K26)</x:f>
      </x:c>
      <x:c r="F26" s="6" t="str">
        <x:f>IF('Matriz Requerimientos'!A26="","",IF(COUNTIF('Casos de Prueba'!$B$5:$B$40,'Matriz Requerimientos'!A26)=0,"SIN PRUEBA",COUNTIF('Casos de Prueba'!$B$5:$B$40,'Matriz Requerimientos'!A26)&amp;" caso(s)"))</x:f>
      </x:c>
      <x:c r="G26" s="3"/>
      <x:c r="H26" s="3"/>
      <x:c r="I26" s="6" t="str">
        <x:f t="shared" si="0"/>
      </x:c>
    </x:row>
    <x:row r="27" ht="25.5" customHeight="1">
      <x:c r="A27" s="6" t="str">
        <x:f>IF('Matriz Requerimientos'!A27="","",'Matriz Requerimientos'!A27)</x:f>
      </x:c>
      <x:c r="B27" s="7" t="str">
        <x:f>IF('Matriz Requerimientos'!A27="","",'Matriz Requerimientos'!B27)</x:f>
      </x:c>
      <x:c r="C27" s="7" t="str">
        <x:f>IF('Matriz Requerimientos'!A27="","",'Matriz Requerimientos'!H27)</x:f>
      </x:c>
      <x:c r="D27" s="6" t="str">
        <x:f>IF('Matriz Requerimientos'!A27="","",'Matriz Requerimientos'!I27)</x:f>
      </x:c>
      <x:c r="E27" s="7" t="str">
        <x:f>IF('Matriz Requerimientos'!A27="","",'Matriz Requerimientos'!K27)</x:f>
      </x:c>
      <x:c r="F27" s="6" t="str">
        <x:f>IF('Matriz Requerimientos'!A27="","",IF(COUNTIF('Casos de Prueba'!$B$5:$B$40,'Matriz Requerimientos'!A27)=0,"SIN PRUEBA",COUNTIF('Casos de Prueba'!$B$5:$B$40,'Matriz Requerimientos'!A27)&amp;" caso(s)"))</x:f>
      </x:c>
      <x:c r="G27" s="3"/>
      <x:c r="H27" s="3"/>
      <x:c r="I27" s="6" t="str">
        <x:f t="shared" si="0"/>
      </x:c>
    </x:row>
    <x:row r="28" ht="25.5" customHeight="1">
      <x:c r="A28" s="6" t="str">
        <x:f>IF('Matriz Requerimientos'!A28="","",'Matriz Requerimientos'!A28)</x:f>
      </x:c>
      <x:c r="B28" s="7" t="str">
        <x:f>IF('Matriz Requerimientos'!A28="","",'Matriz Requerimientos'!B28)</x:f>
      </x:c>
      <x:c r="C28" s="7" t="str">
        <x:f>IF('Matriz Requerimientos'!A28="","",'Matriz Requerimientos'!H28)</x:f>
      </x:c>
      <x:c r="D28" s="6" t="str">
        <x:f>IF('Matriz Requerimientos'!A28="","",'Matriz Requerimientos'!I28)</x:f>
      </x:c>
      <x:c r="E28" s="7" t="str">
        <x:f>IF('Matriz Requerimientos'!A28="","",'Matriz Requerimientos'!K28)</x:f>
      </x:c>
      <x:c r="F28" s="6" t="str">
        <x:f>IF('Matriz Requerimientos'!A28="","",IF(COUNTIF('Casos de Prueba'!$B$5:$B$40,'Matriz Requerimientos'!A28)=0,"SIN PRUEBA",COUNTIF('Casos de Prueba'!$B$5:$B$40,'Matriz Requerimientos'!A28)&amp;" caso(s)"))</x:f>
      </x:c>
      <x:c r="G28" s="3"/>
      <x:c r="H28" s="3"/>
      <x:c r="I28" s="6" t="str">
        <x:f t="shared" si="0"/>
      </x:c>
    </x:row>
    <x:row r="29" ht="25.5" customHeight="1">
      <x:c r="A29" s="6" t="str">
        <x:f>IF('Matriz Requerimientos'!A29="","",'Matriz Requerimientos'!A29)</x:f>
      </x:c>
      <x:c r="B29" s="7" t="str">
        <x:f>IF('Matriz Requerimientos'!A29="","",'Matriz Requerimientos'!B29)</x:f>
      </x:c>
      <x:c r="C29" s="7" t="str">
        <x:f>IF('Matriz Requerimientos'!A29="","",'Matriz Requerimientos'!H29)</x:f>
      </x:c>
      <x:c r="D29" s="6" t="str">
        <x:f>IF('Matriz Requerimientos'!A29="","",'Matriz Requerimientos'!I29)</x:f>
      </x:c>
      <x:c r="E29" s="7" t="str">
        <x:f>IF('Matriz Requerimientos'!A29="","",'Matriz Requerimientos'!K29)</x:f>
      </x:c>
      <x:c r="F29" s="6" t="str">
        <x:f>IF('Matriz Requerimientos'!A29="","",IF(COUNTIF('Casos de Prueba'!$B$5:$B$40,'Matriz Requerimientos'!A29)=0,"SIN PRUEBA",COUNTIF('Casos de Prueba'!$B$5:$B$40,'Matriz Requerimientos'!A29)&amp;" caso(s)"))</x:f>
      </x:c>
      <x:c r="G29" s="3"/>
      <x:c r="H29" s="3"/>
      <x:c r="I29" s="6" t="str">
        <x:f t="shared" si="0"/>
      </x:c>
    </x:row>
    <x:row r="30" ht="25.5" customHeight="1">
      <x:c r="A30" s="6" t="str">
        <x:f>IF('Matriz Requerimientos'!A30="","",'Matriz Requerimientos'!A30)</x:f>
      </x:c>
      <x:c r="B30" s="7" t="str">
        <x:f>IF('Matriz Requerimientos'!A30="","",'Matriz Requerimientos'!B30)</x:f>
      </x:c>
      <x:c r="C30" s="7" t="str">
        <x:f>IF('Matriz Requerimientos'!A30="","",'Matriz Requerimientos'!H30)</x:f>
      </x:c>
      <x:c r="D30" s="6" t="str">
        <x:f>IF('Matriz Requerimientos'!A30="","",'Matriz Requerimientos'!I30)</x:f>
      </x:c>
      <x:c r="E30" s="7" t="str">
        <x:f>IF('Matriz Requerimientos'!A30="","",'Matriz Requerimientos'!K30)</x:f>
      </x:c>
      <x:c r="F30" s="6" t="str">
        <x:f>IF('Matriz Requerimientos'!A30="","",IF(COUNTIF('Casos de Prueba'!$B$5:$B$40,'Matriz Requerimientos'!A30)=0,"SIN PRUEBA",COUNTIF('Casos de Prueba'!$B$5:$B$40,'Matriz Requerimientos'!A30)&amp;" caso(s)"))</x:f>
      </x:c>
      <x:c r="G30" s="3"/>
      <x:c r="H30" s="3"/>
      <x:c r="I30" s="6" t="str">
        <x:f t="shared" si="0"/>
      </x:c>
    </x:row>
    <x:row r="31" ht="25.5" customHeight="1">
      <x:c r="A31" s="6" t="str">
        <x:f>IF('Matriz Requerimientos'!A31="","",'Matriz Requerimientos'!A31)</x:f>
      </x:c>
      <x:c r="B31" s="7" t="str">
        <x:f>IF('Matriz Requerimientos'!A31="","",'Matriz Requerimientos'!B31)</x:f>
      </x:c>
      <x:c r="C31" s="7" t="str">
        <x:f>IF('Matriz Requerimientos'!A31="","",'Matriz Requerimientos'!H31)</x:f>
      </x:c>
      <x:c r="D31" s="6" t="str">
        <x:f>IF('Matriz Requerimientos'!A31="","",'Matriz Requerimientos'!I31)</x:f>
      </x:c>
      <x:c r="E31" s="7" t="str">
        <x:f>IF('Matriz Requerimientos'!A31="","",'Matriz Requerimientos'!K31)</x:f>
      </x:c>
      <x:c r="F31" s="6" t="str">
        <x:f>IF('Matriz Requerimientos'!A31="","",IF(COUNTIF('Casos de Prueba'!$B$5:$B$40,'Matriz Requerimientos'!A31)=0,"SIN PRUEBA",COUNTIF('Casos de Prueba'!$B$5:$B$40,'Matriz Requerimientos'!A31)&amp;" caso(s)"))</x:f>
      </x:c>
      <x:c r="G31" s="3"/>
      <x:c r="H31" s="3"/>
      <x:c r="I31" s="6" t="str">
        <x:f t="shared" si="0"/>
      </x:c>
    </x:row>
    <x:row r="32" ht="25.5" customHeight="1">
      <x:c r="A32" s="6" t="str">
        <x:f>IF('Matriz Requerimientos'!A32="","",'Matriz Requerimientos'!A32)</x:f>
      </x:c>
      <x:c r="B32" s="7" t="str">
        <x:f>IF('Matriz Requerimientos'!A32="","",'Matriz Requerimientos'!B32)</x:f>
      </x:c>
      <x:c r="C32" s="7" t="str">
        <x:f>IF('Matriz Requerimientos'!A32="","",'Matriz Requerimientos'!H32)</x:f>
      </x:c>
      <x:c r="D32" s="6" t="str">
        <x:f>IF('Matriz Requerimientos'!A32="","",'Matriz Requerimientos'!I32)</x:f>
      </x:c>
      <x:c r="E32" s="7" t="str">
        <x:f>IF('Matriz Requerimientos'!A32="","",'Matriz Requerimientos'!K32)</x:f>
      </x:c>
      <x:c r="F32" s="6" t="str">
        <x:f>IF('Matriz Requerimientos'!A32="","",IF(COUNTIF('Casos de Prueba'!$B$5:$B$40,'Matriz Requerimientos'!A32)=0,"SIN PRUEBA",COUNTIF('Casos de Prueba'!$B$5:$B$40,'Matriz Requerimientos'!A32)&amp;" caso(s)"))</x:f>
      </x:c>
      <x:c r="G32" s="3"/>
      <x:c r="H32" s="3"/>
      <x:c r="I32" s="6" t="str">
        <x:f t="shared" si="0"/>
      </x:c>
    </x:row>
    <x:row r="33" ht="25.5" customHeight="1">
      <x:c r="A33" s="6" t="str">
        <x:f>IF('Matriz Requerimientos'!A33="","",'Matriz Requerimientos'!A33)</x:f>
      </x:c>
      <x:c r="B33" s="7" t="str">
        <x:f>IF('Matriz Requerimientos'!A33="","",'Matriz Requerimientos'!B33)</x:f>
      </x:c>
      <x:c r="C33" s="7" t="str">
        <x:f>IF('Matriz Requerimientos'!A33="","",'Matriz Requerimientos'!H33)</x:f>
      </x:c>
      <x:c r="D33" s="6" t="str">
        <x:f>IF('Matriz Requerimientos'!A33="","",'Matriz Requerimientos'!I33)</x:f>
      </x:c>
      <x:c r="E33" s="7" t="str">
        <x:f>IF('Matriz Requerimientos'!A33="","",'Matriz Requerimientos'!K33)</x:f>
      </x:c>
      <x:c r="F33" s="6" t="str">
        <x:f>IF('Matriz Requerimientos'!A33="","",IF(COUNTIF('Casos de Prueba'!$B$5:$B$40,'Matriz Requerimientos'!A33)=0,"SIN PRUEBA",COUNTIF('Casos de Prueba'!$B$5:$B$40,'Matriz Requerimientos'!A33)&amp;" caso(s)"))</x:f>
      </x:c>
      <x:c r="G33" s="3"/>
      <x:c r="H33" s="3"/>
      <x:c r="I33" s="6" t="str">
        <x:f t="shared" si="0"/>
      </x:c>
    </x:row>
    <x:row r="34" ht="25.5" customHeight="1">
      <x:c r="A34" s="6" t="str">
        <x:f>IF('Matriz Requerimientos'!A34="","",'Matriz Requerimientos'!A34)</x:f>
      </x:c>
      <x:c r="B34" s="7" t="str">
        <x:f>IF('Matriz Requerimientos'!A34="","",'Matriz Requerimientos'!B34)</x:f>
      </x:c>
      <x:c r="C34" s="7" t="str">
        <x:f>IF('Matriz Requerimientos'!A34="","",'Matriz Requerimientos'!H34)</x:f>
      </x:c>
      <x:c r="D34" s="6" t="str">
        <x:f>IF('Matriz Requerimientos'!A34="","",'Matriz Requerimientos'!I34)</x:f>
      </x:c>
      <x:c r="E34" s="7" t="str">
        <x:f>IF('Matriz Requerimientos'!A34="","",'Matriz Requerimientos'!K34)</x:f>
      </x:c>
      <x:c r="F34" s="6" t="str">
        <x:f>IF('Matriz Requerimientos'!A34="","",IF(COUNTIF('Casos de Prueba'!$B$5:$B$40,'Matriz Requerimientos'!A34)=0,"SIN PRUEBA",COUNTIF('Casos de Prueba'!$B$5:$B$40,'Matriz Requerimientos'!A34)&amp;" caso(s)"))</x:f>
      </x:c>
      <x:c r="G34" s="3"/>
      <x:c r="H34" s="3"/>
      <x:c r="I34" s="6" t="str">
        <x:f t="shared" si="0"/>
      </x:c>
    </x:row>
    <x:row r="35" ht="25.5" customHeight="1">
      <x:c r="A35" s="6" t="str">
        <x:f>IF('Matriz Requerimientos'!A35="","",'Matriz Requerimientos'!A35)</x:f>
      </x:c>
      <x:c r="B35" s="7" t="str">
        <x:f>IF('Matriz Requerimientos'!A35="","",'Matriz Requerimientos'!B35)</x:f>
      </x:c>
      <x:c r="C35" s="7" t="str">
        <x:f>IF('Matriz Requerimientos'!A35="","",'Matriz Requerimientos'!H35)</x:f>
      </x:c>
      <x:c r="D35" s="6" t="str">
        <x:f>IF('Matriz Requerimientos'!A35="","",'Matriz Requerimientos'!I35)</x:f>
      </x:c>
      <x:c r="E35" s="7" t="str">
        <x:f>IF('Matriz Requerimientos'!A35="","",'Matriz Requerimientos'!K35)</x:f>
      </x:c>
      <x:c r="F35" s="6" t="str">
        <x:f>IF('Matriz Requerimientos'!A35="","",IF(COUNTIF('Casos de Prueba'!$B$5:$B$40,'Matriz Requerimientos'!A35)=0,"SIN PRUEBA",COUNTIF('Casos de Prueba'!$B$5:$B$40,'Matriz Requerimientos'!A35)&amp;" caso(s)"))</x:f>
      </x:c>
      <x:c r="G35" s="3"/>
      <x:c r="H35" s="3"/>
      <x:c r="I35" s="6" t="str">
        <x:f t="shared" si="0"/>
      </x:c>
    </x:row>
    <x:row r="36" ht="25.5" customHeight="1">
      <x:c r="A36" s="6" t="str">
        <x:f>IF('Matriz Requerimientos'!A36="","",'Matriz Requerimientos'!A36)</x:f>
      </x:c>
      <x:c r="B36" s="7" t="str">
        <x:f>IF('Matriz Requerimientos'!A36="","",'Matriz Requerimientos'!B36)</x:f>
      </x:c>
      <x:c r="C36" s="7" t="str">
        <x:f>IF('Matriz Requerimientos'!A36="","",'Matriz Requerimientos'!H36)</x:f>
      </x:c>
      <x:c r="D36" s="6" t="str">
        <x:f>IF('Matriz Requerimientos'!A36="","",'Matriz Requerimientos'!I36)</x:f>
      </x:c>
      <x:c r="E36" s="7" t="str">
        <x:f>IF('Matriz Requerimientos'!A36="","",'Matriz Requerimientos'!K36)</x:f>
      </x:c>
      <x:c r="F36" s="6" t="str">
        <x:f>IF('Matriz Requerimientos'!A36="","",IF(COUNTIF('Casos de Prueba'!$B$5:$B$40,'Matriz Requerimientos'!A36)=0,"SIN PRUEBA",COUNTIF('Casos de Prueba'!$B$5:$B$40,'Matriz Requerimientos'!A36)&amp;" caso(s)"))</x:f>
      </x:c>
      <x:c r="G36" s="3"/>
      <x:c r="H36" s="3"/>
      <x:c r="I36" s="6" t="str">
        <x:f t="shared" si="0"/>
      </x:c>
    </x:row>
    <x:row r="37" ht="25.5" customHeight="1">
      <x:c r="A37" s="6" t="str">
        <x:f>IF('Matriz Requerimientos'!A37="","",'Matriz Requerimientos'!A37)</x:f>
      </x:c>
      <x:c r="B37" s="7" t="str">
        <x:f>IF('Matriz Requerimientos'!A37="","",'Matriz Requerimientos'!B37)</x:f>
      </x:c>
      <x:c r="C37" s="7" t="str">
        <x:f>IF('Matriz Requerimientos'!A37="","",'Matriz Requerimientos'!H37)</x:f>
      </x:c>
      <x:c r="D37" s="6" t="str">
        <x:f>IF('Matriz Requerimientos'!A37="","",'Matriz Requerimientos'!I37)</x:f>
      </x:c>
      <x:c r="E37" s="7" t="str">
        <x:f>IF('Matriz Requerimientos'!A37="","",'Matriz Requerimientos'!K37)</x:f>
      </x:c>
      <x:c r="F37" s="6" t="str">
        <x:f>IF('Matriz Requerimientos'!A37="","",IF(COUNTIF('Casos de Prueba'!$B$5:$B$40,'Matriz Requerimientos'!A37)=0,"SIN PRUEBA",COUNTIF('Casos de Prueba'!$B$5:$B$40,'Matriz Requerimientos'!A37)&amp;" caso(s)"))</x:f>
      </x:c>
      <x:c r="G37" s="3"/>
      <x:c r="H37" s="3"/>
      <x:c r="I37" s="6" t="str">
        <x:f t="shared" ref="I37:I60" si="1">IF(A37="","",IF(AND(C37&lt;&gt;"",E37&lt;&gt;"",F37&lt;&gt;"SIN PRUEBA",G37&lt;&gt;""),"Completa","Incompleta"))</x:f>
      </x:c>
    </x:row>
    <x:row r="38" ht="25.5" customHeight="1">
      <x:c r="A38" s="6" t="str">
        <x:f>IF('Matriz Requerimientos'!A38="","",'Matriz Requerimientos'!A38)</x:f>
      </x:c>
      <x:c r="B38" s="7" t="str">
        <x:f>IF('Matriz Requerimientos'!A38="","",'Matriz Requerimientos'!B38)</x:f>
      </x:c>
      <x:c r="C38" s="7" t="str">
        <x:f>IF('Matriz Requerimientos'!A38="","",'Matriz Requerimientos'!H38)</x:f>
      </x:c>
      <x:c r="D38" s="6" t="str">
        <x:f>IF('Matriz Requerimientos'!A38="","",'Matriz Requerimientos'!I38)</x:f>
      </x:c>
      <x:c r="E38" s="7" t="str">
        <x:f>IF('Matriz Requerimientos'!A38="","",'Matriz Requerimientos'!K38)</x:f>
      </x:c>
      <x:c r="F38" s="6" t="str">
        <x:f>IF('Matriz Requerimientos'!A38="","",IF(COUNTIF('Casos de Prueba'!$B$5:$B$40,'Matriz Requerimientos'!A38)=0,"SIN PRUEBA",COUNTIF('Casos de Prueba'!$B$5:$B$40,'Matriz Requerimientos'!A38)&amp;" caso(s)"))</x:f>
      </x:c>
      <x:c r="G38" s="3"/>
      <x:c r="H38" s="3"/>
      <x:c r="I38" s="6" t="str">
        <x:f t="shared" si="1"/>
      </x:c>
    </x:row>
    <x:row r="39" ht="25.5" customHeight="1">
      <x:c r="A39" s="6" t="str">
        <x:f>IF('Matriz Requerimientos'!A39="","",'Matriz Requerimientos'!A39)</x:f>
      </x:c>
      <x:c r="B39" s="7" t="str">
        <x:f>IF('Matriz Requerimientos'!A39="","",'Matriz Requerimientos'!B39)</x:f>
      </x:c>
      <x:c r="C39" s="7" t="str">
        <x:f>IF('Matriz Requerimientos'!A39="","",'Matriz Requerimientos'!H39)</x:f>
      </x:c>
      <x:c r="D39" s="6" t="str">
        <x:f>IF('Matriz Requerimientos'!A39="","",'Matriz Requerimientos'!I39)</x:f>
      </x:c>
      <x:c r="E39" s="7" t="str">
        <x:f>IF('Matriz Requerimientos'!A39="","",'Matriz Requerimientos'!K39)</x:f>
      </x:c>
      <x:c r="F39" s="6" t="str">
        <x:f>IF('Matriz Requerimientos'!A39="","",IF(COUNTIF('Casos de Prueba'!$B$5:$B$40,'Matriz Requerimientos'!A39)=0,"SIN PRUEBA",COUNTIF('Casos de Prueba'!$B$5:$B$40,'Matriz Requerimientos'!A39)&amp;" caso(s)"))</x:f>
      </x:c>
      <x:c r="G39" s="3"/>
      <x:c r="H39" s="3"/>
      <x:c r="I39" s="6" t="str">
        <x:f t="shared" si="1"/>
      </x:c>
    </x:row>
    <x:row r="40" ht="25.5" customHeight="1">
      <x:c r="A40" s="6" t="str">
        <x:f>IF('Matriz Requerimientos'!A40="","",'Matriz Requerimientos'!A40)</x:f>
      </x:c>
      <x:c r="B40" s="7" t="str">
        <x:f>IF('Matriz Requerimientos'!A40="","",'Matriz Requerimientos'!B40)</x:f>
      </x:c>
      <x:c r="C40" s="7" t="str">
        <x:f>IF('Matriz Requerimientos'!A40="","",'Matriz Requerimientos'!H40)</x:f>
      </x:c>
      <x:c r="D40" s="6" t="str">
        <x:f>IF('Matriz Requerimientos'!A40="","",'Matriz Requerimientos'!I40)</x:f>
      </x:c>
      <x:c r="E40" s="7" t="str">
        <x:f>IF('Matriz Requerimientos'!A40="","",'Matriz Requerimientos'!K40)</x:f>
      </x:c>
      <x:c r="F40" s="6" t="str">
        <x:f>IF('Matriz Requerimientos'!A40="","",IF(COUNTIF('Casos de Prueba'!$B$5:$B$40,'Matriz Requerimientos'!A40)=0,"SIN PRUEBA",COUNTIF('Casos de Prueba'!$B$5:$B$40,'Matriz Requerimientos'!A40)&amp;" caso(s)"))</x:f>
      </x:c>
      <x:c r="G40" s="3"/>
      <x:c r="H40" s="3"/>
      <x:c r="I40" s="6" t="str">
        <x:f t="shared" si="1"/>
      </x:c>
    </x:row>
    <x:row r="41" ht="25.5" customHeight="1">
      <x:c r="A41" s="6" t="str">
        <x:f>IF('Matriz Requerimientos'!A41="","",'Matriz Requerimientos'!A41)</x:f>
      </x:c>
      <x:c r="B41" s="7" t="str">
        <x:f>IF('Matriz Requerimientos'!A41="","",'Matriz Requerimientos'!B41)</x:f>
      </x:c>
      <x:c r="C41" s="7" t="str">
        <x:f>IF('Matriz Requerimientos'!A41="","",'Matriz Requerimientos'!H41)</x:f>
      </x:c>
      <x:c r="D41" s="6" t="str">
        <x:f>IF('Matriz Requerimientos'!A41="","",'Matriz Requerimientos'!I41)</x:f>
      </x:c>
      <x:c r="E41" s="7" t="str">
        <x:f>IF('Matriz Requerimientos'!A41="","",'Matriz Requerimientos'!K41)</x:f>
      </x:c>
      <x:c r="F41" s="6" t="str">
        <x:f>IF('Matriz Requerimientos'!A41="","",IF(COUNTIF('Casos de Prueba'!$B$5:$B$40,'Matriz Requerimientos'!A41)=0,"SIN PRUEBA",COUNTIF('Casos de Prueba'!$B$5:$B$40,'Matriz Requerimientos'!A41)&amp;" caso(s)"))</x:f>
      </x:c>
      <x:c r="G41" s="3"/>
      <x:c r="H41" s="3"/>
      <x:c r="I41" s="6" t="str">
        <x:f t="shared" si="1"/>
      </x:c>
    </x:row>
    <x:row r="42" ht="25.5" customHeight="1">
      <x:c r="A42" s="6" t="str">
        <x:f>IF('Matriz Requerimientos'!A42="","",'Matriz Requerimientos'!A42)</x:f>
      </x:c>
      <x:c r="B42" s="7" t="str">
        <x:f>IF('Matriz Requerimientos'!A42="","",'Matriz Requerimientos'!B42)</x:f>
      </x:c>
      <x:c r="C42" s="7" t="str">
        <x:f>IF('Matriz Requerimientos'!A42="","",'Matriz Requerimientos'!H42)</x:f>
      </x:c>
      <x:c r="D42" s="6" t="str">
        <x:f>IF('Matriz Requerimientos'!A42="","",'Matriz Requerimientos'!I42)</x:f>
      </x:c>
      <x:c r="E42" s="7" t="str">
        <x:f>IF('Matriz Requerimientos'!A42="","",'Matriz Requerimientos'!K42)</x:f>
      </x:c>
      <x:c r="F42" s="6" t="str">
        <x:f>IF('Matriz Requerimientos'!A42="","",IF(COUNTIF('Casos de Prueba'!$B$5:$B$40,'Matriz Requerimientos'!A42)=0,"SIN PRUEBA",COUNTIF('Casos de Prueba'!$B$5:$B$40,'Matriz Requerimientos'!A42)&amp;" caso(s)"))</x:f>
      </x:c>
      <x:c r="G42" s="3"/>
      <x:c r="H42" s="3"/>
      <x:c r="I42" s="6" t="str">
        <x:f t="shared" si="1"/>
      </x:c>
    </x:row>
    <x:row r="43" ht="25.5" customHeight="1">
      <x:c r="A43" s="6" t="str">
        <x:f>IF('Matriz Requerimientos'!A43="","",'Matriz Requerimientos'!A43)</x:f>
      </x:c>
      <x:c r="B43" s="7" t="str">
        <x:f>IF('Matriz Requerimientos'!A43="","",'Matriz Requerimientos'!B43)</x:f>
      </x:c>
      <x:c r="C43" s="7" t="str">
        <x:f>IF('Matriz Requerimientos'!A43="","",'Matriz Requerimientos'!H43)</x:f>
      </x:c>
      <x:c r="D43" s="6" t="str">
        <x:f>IF('Matriz Requerimientos'!A43="","",'Matriz Requerimientos'!I43)</x:f>
      </x:c>
      <x:c r="E43" s="7" t="str">
        <x:f>IF('Matriz Requerimientos'!A43="","",'Matriz Requerimientos'!K43)</x:f>
      </x:c>
      <x:c r="F43" s="6" t="str">
        <x:f>IF('Matriz Requerimientos'!A43="","",IF(COUNTIF('Casos de Prueba'!$B$5:$B$40,'Matriz Requerimientos'!A43)=0,"SIN PRUEBA",COUNTIF('Casos de Prueba'!$B$5:$B$40,'Matriz Requerimientos'!A43)&amp;" caso(s)"))</x:f>
      </x:c>
      <x:c r="G43" s="3"/>
      <x:c r="H43" s="3"/>
      <x:c r="I43" s="6" t="str">
        <x:f t="shared" si="1"/>
      </x:c>
    </x:row>
    <x:row r="44" ht="25.5" customHeight="1">
      <x:c r="A44" s="6" t="str">
        <x:f>IF('Matriz Requerimientos'!A44="","",'Matriz Requerimientos'!A44)</x:f>
      </x:c>
      <x:c r="B44" s="7" t="str">
        <x:f>IF('Matriz Requerimientos'!A44="","",'Matriz Requerimientos'!B44)</x:f>
      </x:c>
      <x:c r="C44" s="7" t="str">
        <x:f>IF('Matriz Requerimientos'!A44="","",'Matriz Requerimientos'!H44)</x:f>
      </x:c>
      <x:c r="D44" s="6" t="str">
        <x:f>IF('Matriz Requerimientos'!A44="","",'Matriz Requerimientos'!I44)</x:f>
      </x:c>
      <x:c r="E44" s="7" t="str">
        <x:f>IF('Matriz Requerimientos'!A44="","",'Matriz Requerimientos'!K44)</x:f>
      </x:c>
      <x:c r="F44" s="6" t="str">
        <x:f>IF('Matriz Requerimientos'!A44="","",IF(COUNTIF('Casos de Prueba'!$B$5:$B$40,'Matriz Requerimientos'!A44)=0,"SIN PRUEBA",COUNTIF('Casos de Prueba'!$B$5:$B$40,'Matriz Requerimientos'!A44)&amp;" caso(s)"))</x:f>
      </x:c>
      <x:c r="G44" s="3"/>
      <x:c r="H44" s="3"/>
      <x:c r="I44" s="6" t="str">
        <x:f t="shared" si="1"/>
      </x:c>
    </x:row>
    <x:row r="45" ht="25.5" customHeight="1">
      <x:c r="A45" s="6" t="str">
        <x:f>IF('Matriz Requerimientos'!A45="","",'Matriz Requerimientos'!A45)</x:f>
      </x:c>
      <x:c r="B45" s="7" t="str">
        <x:f>IF('Matriz Requerimientos'!A45="","",'Matriz Requerimientos'!B45)</x:f>
      </x:c>
      <x:c r="C45" s="7" t="str">
        <x:f>IF('Matriz Requerimientos'!A45="","",'Matriz Requerimientos'!H45)</x:f>
      </x:c>
      <x:c r="D45" s="6" t="str">
        <x:f>IF('Matriz Requerimientos'!A45="","",'Matriz Requerimientos'!I45)</x:f>
      </x:c>
      <x:c r="E45" s="7" t="str">
        <x:f>IF('Matriz Requerimientos'!A45="","",'Matriz Requerimientos'!K45)</x:f>
      </x:c>
      <x:c r="F45" s="6" t="str">
        <x:f>IF('Matriz Requerimientos'!A45="","",IF(COUNTIF('Casos de Prueba'!$B$5:$B$40,'Matriz Requerimientos'!A45)=0,"SIN PRUEBA",COUNTIF('Casos de Prueba'!$B$5:$B$40,'Matriz Requerimientos'!A45)&amp;" caso(s)"))</x:f>
      </x:c>
      <x:c r="G45" s="3"/>
      <x:c r="H45" s="3"/>
      <x:c r="I45" s="6" t="str">
        <x:f t="shared" si="1"/>
      </x:c>
    </x:row>
    <x:row r="46" ht="25.5" customHeight="1">
      <x:c r="A46" s="6" t="str">
        <x:f>IF('Matriz Requerimientos'!A46="","",'Matriz Requerimientos'!A46)</x:f>
      </x:c>
      <x:c r="B46" s="7" t="str">
        <x:f>IF('Matriz Requerimientos'!A46="","",'Matriz Requerimientos'!B46)</x:f>
      </x:c>
      <x:c r="C46" s="7" t="str">
        <x:f>IF('Matriz Requerimientos'!A46="","",'Matriz Requerimientos'!H46)</x:f>
      </x:c>
      <x:c r="D46" s="6" t="str">
        <x:f>IF('Matriz Requerimientos'!A46="","",'Matriz Requerimientos'!I46)</x:f>
      </x:c>
      <x:c r="E46" s="7" t="str">
        <x:f>IF('Matriz Requerimientos'!A46="","",'Matriz Requerimientos'!K46)</x:f>
      </x:c>
      <x:c r="F46" s="6" t="str">
        <x:f>IF('Matriz Requerimientos'!A46="","",IF(COUNTIF('Casos de Prueba'!$B$5:$B$40,'Matriz Requerimientos'!A46)=0,"SIN PRUEBA",COUNTIF('Casos de Prueba'!$B$5:$B$40,'Matriz Requerimientos'!A46)&amp;" caso(s)"))</x:f>
      </x:c>
      <x:c r="G46" s="3"/>
      <x:c r="H46" s="3"/>
      <x:c r="I46" s="6" t="str">
        <x:f t="shared" si="1"/>
      </x:c>
    </x:row>
    <x:row r="47" ht="25.5" customHeight="1">
      <x:c r="A47" s="6" t="str">
        <x:f>IF('Matriz Requerimientos'!A47="","",'Matriz Requerimientos'!A47)</x:f>
      </x:c>
      <x:c r="B47" s="7" t="str">
        <x:f>IF('Matriz Requerimientos'!A47="","",'Matriz Requerimientos'!B47)</x:f>
      </x:c>
      <x:c r="C47" s="7" t="str">
        <x:f>IF('Matriz Requerimientos'!A47="","",'Matriz Requerimientos'!H47)</x:f>
      </x:c>
      <x:c r="D47" s="6" t="str">
        <x:f>IF('Matriz Requerimientos'!A47="","",'Matriz Requerimientos'!I47)</x:f>
      </x:c>
      <x:c r="E47" s="7" t="str">
        <x:f>IF('Matriz Requerimientos'!A47="","",'Matriz Requerimientos'!K47)</x:f>
      </x:c>
      <x:c r="F47" s="6" t="str">
        <x:f>IF('Matriz Requerimientos'!A47="","",IF(COUNTIF('Casos de Prueba'!$B$5:$B$40,'Matriz Requerimientos'!A47)=0,"SIN PRUEBA",COUNTIF('Casos de Prueba'!$B$5:$B$40,'Matriz Requerimientos'!A47)&amp;" caso(s)"))</x:f>
      </x:c>
      <x:c r="G47" s="3"/>
      <x:c r="H47" s="3"/>
      <x:c r="I47" s="6" t="str">
        <x:f t="shared" si="1"/>
      </x:c>
    </x:row>
    <x:row r="48" ht="25.5" customHeight="1">
      <x:c r="A48" s="6" t="str">
        <x:f>IF('Matriz Requerimientos'!A48="","",'Matriz Requerimientos'!A48)</x:f>
      </x:c>
      <x:c r="B48" s="7" t="str">
        <x:f>IF('Matriz Requerimientos'!A48="","",'Matriz Requerimientos'!B48)</x:f>
      </x:c>
      <x:c r="C48" s="7" t="str">
        <x:f>IF('Matriz Requerimientos'!A48="","",'Matriz Requerimientos'!H48)</x:f>
      </x:c>
      <x:c r="D48" s="6" t="str">
        <x:f>IF('Matriz Requerimientos'!A48="","",'Matriz Requerimientos'!I48)</x:f>
      </x:c>
      <x:c r="E48" s="7" t="str">
        <x:f>IF('Matriz Requerimientos'!A48="","",'Matriz Requerimientos'!K48)</x:f>
      </x:c>
      <x:c r="F48" s="6" t="str">
        <x:f>IF('Matriz Requerimientos'!A48="","",IF(COUNTIF('Casos de Prueba'!$B$5:$B$40,'Matriz Requerimientos'!A48)=0,"SIN PRUEBA",COUNTIF('Casos de Prueba'!$B$5:$B$40,'Matriz Requerimientos'!A48)&amp;" caso(s)"))</x:f>
      </x:c>
      <x:c r="G48" s="3"/>
      <x:c r="H48" s="3"/>
      <x:c r="I48" s="6" t="str">
        <x:f t="shared" si="1"/>
      </x:c>
    </x:row>
    <x:row r="49" ht="25.5" customHeight="1">
      <x:c r="A49" s="6" t="str">
        <x:f>IF('Matriz Requerimientos'!A49="","",'Matriz Requerimientos'!A49)</x:f>
      </x:c>
      <x:c r="B49" s="7" t="str">
        <x:f>IF('Matriz Requerimientos'!A49="","",'Matriz Requerimientos'!B49)</x:f>
      </x:c>
      <x:c r="C49" s="7" t="str">
        <x:f>IF('Matriz Requerimientos'!A49="","",'Matriz Requerimientos'!H49)</x:f>
      </x:c>
      <x:c r="D49" s="6" t="str">
        <x:f>IF('Matriz Requerimientos'!A49="","",'Matriz Requerimientos'!I49)</x:f>
      </x:c>
      <x:c r="E49" s="7" t="str">
        <x:f>IF('Matriz Requerimientos'!A49="","",'Matriz Requerimientos'!K49)</x:f>
      </x:c>
      <x:c r="F49" s="6" t="str">
        <x:f>IF('Matriz Requerimientos'!A49="","",IF(COUNTIF('Casos de Prueba'!$B$5:$B$40,'Matriz Requerimientos'!A49)=0,"SIN PRUEBA",COUNTIF('Casos de Prueba'!$B$5:$B$40,'Matriz Requerimientos'!A49)&amp;" caso(s)"))</x:f>
      </x:c>
      <x:c r="G49" s="3"/>
      <x:c r="H49" s="3"/>
      <x:c r="I49" s="6" t="str">
        <x:f t="shared" si="1"/>
      </x:c>
    </x:row>
    <x:row r="50" ht="25.5" customHeight="1">
      <x:c r="A50" s="6" t="str">
        <x:f>IF('Matriz Requerimientos'!A50="","",'Matriz Requerimientos'!A50)</x:f>
      </x:c>
      <x:c r="B50" s="7" t="str">
        <x:f>IF('Matriz Requerimientos'!A50="","",'Matriz Requerimientos'!B50)</x:f>
      </x:c>
      <x:c r="C50" s="7" t="str">
        <x:f>IF('Matriz Requerimientos'!A50="","",'Matriz Requerimientos'!H50)</x:f>
      </x:c>
      <x:c r="D50" s="6" t="str">
        <x:f>IF('Matriz Requerimientos'!A50="","",'Matriz Requerimientos'!I50)</x:f>
      </x:c>
      <x:c r="E50" s="7" t="str">
        <x:f>IF('Matriz Requerimientos'!A50="","",'Matriz Requerimientos'!K50)</x:f>
      </x:c>
      <x:c r="F50" s="6" t="str">
        <x:f>IF('Matriz Requerimientos'!A50="","",IF(COUNTIF('Casos de Prueba'!$B$5:$B$40,'Matriz Requerimientos'!A50)=0,"SIN PRUEBA",COUNTIF('Casos de Prueba'!$B$5:$B$40,'Matriz Requerimientos'!A50)&amp;" caso(s)"))</x:f>
      </x:c>
      <x:c r="G50" s="3"/>
      <x:c r="H50" s="3"/>
      <x:c r="I50" s="6" t="str">
        <x:f t="shared" si="1"/>
      </x:c>
    </x:row>
    <x:row r="51" ht="25.5" customHeight="1">
      <x:c r="A51" s="6" t="str">
        <x:f>IF('Matriz Requerimientos'!A51="","",'Matriz Requerimientos'!A51)</x:f>
      </x:c>
      <x:c r="B51" s="7" t="str">
        <x:f>IF('Matriz Requerimientos'!A51="","",'Matriz Requerimientos'!B51)</x:f>
      </x:c>
      <x:c r="C51" s="7" t="str">
        <x:f>IF('Matriz Requerimientos'!A51="","",'Matriz Requerimientos'!H51)</x:f>
      </x:c>
      <x:c r="D51" s="6" t="str">
        <x:f>IF('Matriz Requerimientos'!A51="","",'Matriz Requerimientos'!I51)</x:f>
      </x:c>
      <x:c r="E51" s="7" t="str">
        <x:f>IF('Matriz Requerimientos'!A51="","",'Matriz Requerimientos'!K51)</x:f>
      </x:c>
      <x:c r="F51" s="6" t="str">
        <x:f>IF('Matriz Requerimientos'!A51="","",IF(COUNTIF('Casos de Prueba'!$B$5:$B$40,'Matriz Requerimientos'!A51)=0,"SIN PRUEBA",COUNTIF('Casos de Prueba'!$B$5:$B$40,'Matriz Requerimientos'!A51)&amp;" caso(s)"))</x:f>
      </x:c>
      <x:c r="G51" s="3"/>
      <x:c r="H51" s="3"/>
      <x:c r="I51" s="6" t="str">
        <x:f t="shared" si="1"/>
      </x:c>
    </x:row>
    <x:row r="52" ht="25.5" customHeight="1">
      <x:c r="A52" s="6" t="str">
        <x:f>IF('Matriz Requerimientos'!A52="","",'Matriz Requerimientos'!A52)</x:f>
      </x:c>
      <x:c r="B52" s="7" t="str">
        <x:f>IF('Matriz Requerimientos'!A52="","",'Matriz Requerimientos'!B52)</x:f>
      </x:c>
      <x:c r="C52" s="7" t="str">
        <x:f>IF('Matriz Requerimientos'!A52="","",'Matriz Requerimientos'!H52)</x:f>
      </x:c>
      <x:c r="D52" s="6" t="str">
        <x:f>IF('Matriz Requerimientos'!A52="","",'Matriz Requerimientos'!I52)</x:f>
      </x:c>
      <x:c r="E52" s="7" t="str">
        <x:f>IF('Matriz Requerimientos'!A52="","",'Matriz Requerimientos'!K52)</x:f>
      </x:c>
      <x:c r="F52" s="6" t="str">
        <x:f>IF('Matriz Requerimientos'!A52="","",IF(COUNTIF('Casos de Prueba'!$B$5:$B$40,'Matriz Requerimientos'!A52)=0,"SIN PRUEBA",COUNTIF('Casos de Prueba'!$B$5:$B$40,'Matriz Requerimientos'!A52)&amp;" caso(s)"))</x:f>
      </x:c>
      <x:c r="G52" s="3"/>
      <x:c r="H52" s="3"/>
      <x:c r="I52" s="6" t="str">
        <x:f t="shared" si="1"/>
      </x:c>
    </x:row>
    <x:row r="53" ht="25.5" customHeight="1">
      <x:c r="A53" s="6" t="str">
        <x:f>IF('Matriz Requerimientos'!A53="","",'Matriz Requerimientos'!A53)</x:f>
      </x:c>
      <x:c r="B53" s="7" t="str">
        <x:f>IF('Matriz Requerimientos'!A53="","",'Matriz Requerimientos'!B53)</x:f>
      </x:c>
      <x:c r="C53" s="7" t="str">
        <x:f>IF('Matriz Requerimientos'!A53="","",'Matriz Requerimientos'!H53)</x:f>
      </x:c>
      <x:c r="D53" s="6" t="str">
        <x:f>IF('Matriz Requerimientos'!A53="","",'Matriz Requerimientos'!I53)</x:f>
      </x:c>
      <x:c r="E53" s="7" t="str">
        <x:f>IF('Matriz Requerimientos'!A53="","",'Matriz Requerimientos'!K53)</x:f>
      </x:c>
      <x:c r="F53" s="6" t="str">
        <x:f>IF('Matriz Requerimientos'!A53="","",IF(COUNTIF('Casos de Prueba'!$B$5:$B$40,'Matriz Requerimientos'!A53)=0,"SIN PRUEBA",COUNTIF('Casos de Prueba'!$B$5:$B$40,'Matriz Requerimientos'!A53)&amp;" caso(s)"))</x:f>
      </x:c>
      <x:c r="G53" s="3"/>
      <x:c r="H53" s="3"/>
      <x:c r="I53" s="6" t="str">
        <x:f t="shared" si="1"/>
      </x:c>
    </x:row>
    <x:row r="54" ht="25.5" customHeight="1">
      <x:c r="A54" s="6" t="str">
        <x:f>IF('Matriz Requerimientos'!A54="","",'Matriz Requerimientos'!A54)</x:f>
      </x:c>
      <x:c r="B54" s="7" t="str">
        <x:f>IF('Matriz Requerimientos'!A54="","",'Matriz Requerimientos'!B54)</x:f>
      </x:c>
      <x:c r="C54" s="7" t="str">
        <x:f>IF('Matriz Requerimientos'!A54="","",'Matriz Requerimientos'!H54)</x:f>
      </x:c>
      <x:c r="D54" s="6" t="str">
        <x:f>IF('Matriz Requerimientos'!A54="","",'Matriz Requerimientos'!I54)</x:f>
      </x:c>
      <x:c r="E54" s="7" t="str">
        <x:f>IF('Matriz Requerimientos'!A54="","",'Matriz Requerimientos'!K54)</x:f>
      </x:c>
      <x:c r="F54" s="6" t="str">
        <x:f>IF('Matriz Requerimientos'!A54="","",IF(COUNTIF('Casos de Prueba'!$B$5:$B$40,'Matriz Requerimientos'!A54)=0,"SIN PRUEBA",COUNTIF('Casos de Prueba'!$B$5:$B$40,'Matriz Requerimientos'!A54)&amp;" caso(s)"))</x:f>
      </x:c>
      <x:c r="G54" s="3"/>
      <x:c r="H54" s="3"/>
      <x:c r="I54" s="6" t="str">
        <x:f t="shared" si="1"/>
      </x:c>
    </x:row>
    <x:row r="55" ht="25.5" customHeight="1">
      <x:c r="A55" s="6" t="str">
        <x:f>IF('Matriz Requerimientos'!A55="","",'Matriz Requerimientos'!A55)</x:f>
      </x:c>
      <x:c r="B55" s="7" t="str">
        <x:f>IF('Matriz Requerimientos'!A55="","",'Matriz Requerimientos'!B55)</x:f>
      </x:c>
      <x:c r="C55" s="7" t="str">
        <x:f>IF('Matriz Requerimientos'!A55="","",'Matriz Requerimientos'!H55)</x:f>
      </x:c>
      <x:c r="D55" s="6" t="str">
        <x:f>IF('Matriz Requerimientos'!A55="","",'Matriz Requerimientos'!I55)</x:f>
      </x:c>
      <x:c r="E55" s="7" t="str">
        <x:f>IF('Matriz Requerimientos'!A55="","",'Matriz Requerimientos'!K55)</x:f>
      </x:c>
      <x:c r="F55" s="6" t="str">
        <x:f>IF('Matriz Requerimientos'!A55="","",IF(COUNTIF('Casos de Prueba'!$B$5:$B$40,'Matriz Requerimientos'!A55)=0,"SIN PRUEBA",COUNTIF('Casos de Prueba'!$B$5:$B$40,'Matriz Requerimientos'!A55)&amp;" caso(s)"))</x:f>
      </x:c>
      <x:c r="G55" s="3"/>
      <x:c r="H55" s="3"/>
      <x:c r="I55" s="6" t="str">
        <x:f t="shared" si="1"/>
      </x:c>
    </x:row>
    <x:row r="56" ht="25.5" customHeight="1">
      <x:c r="A56" s="6" t="str">
        <x:f>IF('Matriz Requerimientos'!A56="","",'Matriz Requerimientos'!A56)</x:f>
      </x:c>
      <x:c r="B56" s="7" t="str">
        <x:f>IF('Matriz Requerimientos'!A56="","",'Matriz Requerimientos'!B56)</x:f>
      </x:c>
      <x:c r="C56" s="7" t="str">
        <x:f>IF('Matriz Requerimientos'!A56="","",'Matriz Requerimientos'!H56)</x:f>
      </x:c>
      <x:c r="D56" s="6" t="str">
        <x:f>IF('Matriz Requerimientos'!A56="","",'Matriz Requerimientos'!I56)</x:f>
      </x:c>
      <x:c r="E56" s="7" t="str">
        <x:f>IF('Matriz Requerimientos'!A56="","",'Matriz Requerimientos'!K56)</x:f>
      </x:c>
      <x:c r="F56" s="6" t="str">
        <x:f>IF('Matriz Requerimientos'!A56="","",IF(COUNTIF('Casos de Prueba'!$B$5:$B$40,'Matriz Requerimientos'!A56)=0,"SIN PRUEBA",COUNTIF('Casos de Prueba'!$B$5:$B$40,'Matriz Requerimientos'!A56)&amp;" caso(s)"))</x:f>
      </x:c>
      <x:c r="G56" s="3"/>
      <x:c r="H56" s="3"/>
      <x:c r="I56" s="6" t="str">
        <x:f t="shared" si="1"/>
      </x:c>
    </x:row>
    <x:row r="57" ht="25.5" customHeight="1">
      <x:c r="A57" s="6" t="str">
        <x:f>IF('Matriz Requerimientos'!A57="","",'Matriz Requerimientos'!A57)</x:f>
      </x:c>
      <x:c r="B57" s="7" t="str">
        <x:f>IF('Matriz Requerimientos'!A57="","",'Matriz Requerimientos'!B57)</x:f>
      </x:c>
      <x:c r="C57" s="7" t="str">
        <x:f>IF('Matriz Requerimientos'!A57="","",'Matriz Requerimientos'!H57)</x:f>
      </x:c>
      <x:c r="D57" s="6" t="str">
        <x:f>IF('Matriz Requerimientos'!A57="","",'Matriz Requerimientos'!I57)</x:f>
      </x:c>
      <x:c r="E57" s="7" t="str">
        <x:f>IF('Matriz Requerimientos'!A57="","",'Matriz Requerimientos'!K57)</x:f>
      </x:c>
      <x:c r="F57" s="6" t="str">
        <x:f>IF('Matriz Requerimientos'!A57="","",IF(COUNTIF('Casos de Prueba'!$B$5:$B$40,'Matriz Requerimientos'!A57)=0,"SIN PRUEBA",COUNTIF('Casos de Prueba'!$B$5:$B$40,'Matriz Requerimientos'!A57)&amp;" caso(s)"))</x:f>
      </x:c>
      <x:c r="G57" s="3"/>
      <x:c r="H57" s="3"/>
      <x:c r="I57" s="6" t="str">
        <x:f t="shared" si="1"/>
      </x:c>
    </x:row>
    <x:row r="58" ht="25.5" customHeight="1">
      <x:c r="A58" s="6" t="str">
        <x:f>IF('Matriz Requerimientos'!A58="","",'Matriz Requerimientos'!A58)</x:f>
      </x:c>
      <x:c r="B58" s="7" t="str">
        <x:f>IF('Matriz Requerimientos'!A58="","",'Matriz Requerimientos'!B58)</x:f>
      </x:c>
      <x:c r="C58" s="7" t="str">
        <x:f>IF('Matriz Requerimientos'!A58="","",'Matriz Requerimientos'!H58)</x:f>
      </x:c>
      <x:c r="D58" s="6" t="str">
        <x:f>IF('Matriz Requerimientos'!A58="","",'Matriz Requerimientos'!I58)</x:f>
      </x:c>
      <x:c r="E58" s="7" t="str">
        <x:f>IF('Matriz Requerimientos'!A58="","",'Matriz Requerimientos'!K58)</x:f>
      </x:c>
      <x:c r="F58" s="6" t="str">
        <x:f>IF('Matriz Requerimientos'!A58="","",IF(COUNTIF('Casos de Prueba'!$B$5:$B$40,'Matriz Requerimientos'!A58)=0,"SIN PRUEBA",COUNTIF('Casos de Prueba'!$B$5:$B$40,'Matriz Requerimientos'!A58)&amp;" caso(s)"))</x:f>
      </x:c>
      <x:c r="G58" s="3"/>
      <x:c r="H58" s="3"/>
      <x:c r="I58" s="6" t="str">
        <x:f t="shared" si="1"/>
      </x:c>
    </x:row>
    <x:row r="59" ht="25.5" customHeight="1">
      <x:c r="A59" s="6" t="str">
        <x:f>IF('Matriz Requerimientos'!A59="","",'Matriz Requerimientos'!A59)</x:f>
      </x:c>
      <x:c r="B59" s="7" t="str">
        <x:f>IF('Matriz Requerimientos'!A59="","",'Matriz Requerimientos'!B59)</x:f>
      </x:c>
      <x:c r="C59" s="7" t="str">
        <x:f>IF('Matriz Requerimientos'!A59="","",'Matriz Requerimientos'!H59)</x:f>
      </x:c>
      <x:c r="D59" s="6" t="str">
        <x:f>IF('Matriz Requerimientos'!A59="","",'Matriz Requerimientos'!I59)</x:f>
      </x:c>
      <x:c r="E59" s="7" t="str">
        <x:f>IF('Matriz Requerimientos'!A59="","",'Matriz Requerimientos'!K59)</x:f>
      </x:c>
      <x:c r="F59" s="6" t="str">
        <x:f>IF('Matriz Requerimientos'!A59="","",IF(COUNTIF('Casos de Prueba'!$B$5:$B$40,'Matriz Requerimientos'!A59)=0,"SIN PRUEBA",COUNTIF('Casos de Prueba'!$B$5:$B$40,'Matriz Requerimientos'!A59)&amp;" caso(s)"))</x:f>
      </x:c>
      <x:c r="G59" s="3"/>
      <x:c r="H59" s="3"/>
      <x:c r="I59" s="6" t="str">
        <x:f t="shared" si="1"/>
      </x:c>
    </x:row>
    <x:row r="60" ht="25.5" customHeight="1">
      <x:c r="A60" s="6" t="str">
        <x:f>IF('Matriz Requerimientos'!A60="","",'Matriz Requerimientos'!A60)</x:f>
      </x:c>
      <x:c r="B60" s="7" t="str">
        <x:f>IF('Matriz Requerimientos'!A60="","",'Matriz Requerimientos'!B60)</x:f>
      </x:c>
      <x:c r="C60" s="7" t="str">
        <x:f>IF('Matriz Requerimientos'!A60="","",'Matriz Requerimientos'!H60)</x:f>
      </x:c>
      <x:c r="D60" s="6" t="str">
        <x:f>IF('Matriz Requerimientos'!A60="","",'Matriz Requerimientos'!I60)</x:f>
      </x:c>
      <x:c r="E60" s="7" t="str">
        <x:f>IF('Matriz Requerimientos'!A60="","",'Matriz Requerimientos'!K60)</x:f>
      </x:c>
      <x:c r="F60" s="6" t="str">
        <x:f>IF('Matriz Requerimientos'!A60="","",IF(COUNTIF('Casos de Prueba'!$B$5:$B$40,'Matriz Requerimientos'!A60)=0,"SIN PRUEBA",COUNTIF('Casos de Prueba'!$B$5:$B$40,'Matriz Requerimientos'!A60)&amp;" caso(s)"))</x:f>
      </x:c>
      <x:c r="G60" s="3"/>
      <x:c r="H60" s="3"/>
      <x:c r="I60" s="6" t="str">
        <x:f t="shared" si="1"/>
      </x:c>
    </x:row>
  </x:sheetData>
  <x:mergeCells>
    <x:mergeCell ref="A1:I1"/>
    <x:mergeCell ref="A2:I2"/>
  </x:mergeCells>
  <x:conditionalFormatting sqref="F5:F60">
    <x:cfRule type="cellIs" dxfId="2" priority="2" operator="equal">
      <x:formula>"SIN PRUEBA"</x:formula>
    </x:cfRule>
  </x:conditionalFormatting>
  <x:conditionalFormatting sqref="I5:I60">
    <x:cfRule type="cellIs" dxfId="1" priority="3" operator="equal">
      <x:formula>"Completa"</x:formula>
    </x:cfRule>
    <x:cfRule type="cellIs" dxfId="0" priority="4" operator="equal">
      <x:formula>"Incompleta"</x:formula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" hidden="0" customWidth="1"/>
    <x:col min="3" max="3" width="42" hidden="0" customWidth="1"/>
    <x:col min="4" max="4" width="34" hidden="0" customWidth="1"/>
    <x:col min="5" max="5" width="26" hidden="0" customWidth="1"/>
    <x:col min="6" max="6" width="11" hidden="0" customWidth="1"/>
    <x:col min="7" max="7" width="14" hidden="0" customWidth="1"/>
    <x:col min="8" max="8" width="5.5" hidden="0" customWidth="1"/>
    <x:col min="9" max="9" width="5.5" hidden="0" customWidth="1"/>
    <x:col min="10" max="10" width="5.5" hidden="0" customWidth="1"/>
    <x:col min="11" max="11" width="5.5" hidden="0" customWidth="1"/>
    <x:col min="12" max="12" width="5.5" hidden="0" customWidth="1"/>
    <x:col min="13" max="13" width="5.5" hidden="0" customWidth="1"/>
    <x:col min="14" max="14" width="5.5" hidden="0" customWidth="1"/>
    <x:col min="15" max="15" width="5.5" hidden="0" customWidth="1"/>
    <x:col min="16" max="16" width="5.5" hidden="0" customWidth="1"/>
    <x:col min="17" max="17" width="5.5" hidden="0" customWidth="1"/>
    <x:col min="18" max="18" width="5.5" hidden="0" customWidth="1"/>
    <x:col min="19" max="19" width="5.5" hidden="0" customWidth="1"/>
  </x:cols>
  <x:sheetData>
    <x:row r="1" ht="32" customHeight="1">
      <x:c r="A1" s="23" t="str">
        <x:v>CRONOGRAMA DEL PROYECTO · HUATA LÁCTEOS</x:v>
      </x:c>
      <x:c r="B1" s="23"/>
      <x:c r="C1" s="23"/>
      <x:c r="D1" s="23"/>
      <x:c r="E1" s="23"/>
      <x:c r="F1" s="23"/>
      <x:c r="G1" s="23"/>
      <x:c r="H1" s="23"/>
      <x:c r="I1" s="23"/>
      <x:c r="J1" s="23"/>
      <x:c r="K1" s="23"/>
      <x:c r="L1" s="23"/>
      <x:c r="M1" s="23"/>
      <x:c r="N1" s="23"/>
      <x:c r="O1" s="23"/>
      <x:c r="P1" s="23"/>
      <x:c r="Q1" s="23"/>
      <x:c r="R1" s="23"/>
      <x:c r="S1" s="23"/>
    </x:row>
    <x:row r="2" ht="26" customHeight="1">
      <x:c r="A2" s="30" t="str">
        <x:v>Plan de 3 meses: Mes 1 sistema desarrollado y probado · Mes 2 despliegue y puesta en operación · Mes 3 mejoras, mantenimiento y estabilización.</x:v>
      </x:c>
      <x:c r="B2" s="30"/>
      <x:c r="C2" s="30"/>
      <x:c r="D2" s="30"/>
      <x:c r="E2" s="30"/>
      <x:c r="F2" s="30"/>
      <x:c r="G2" s="30"/>
      <x:c r="H2" s="30"/>
      <x:c r="I2" s="30"/>
      <x:c r="J2" s="30"/>
      <x:c r="K2" s="30"/>
      <x:c r="L2" s="30"/>
      <x:c r="M2" s="30"/>
      <x:c r="N2" s="30"/>
      <x:c r="O2" s="30"/>
      <x:c r="P2" s="30"/>
      <x:c r="Q2" s="30"/>
      <x:c r="R2" s="30"/>
      <x:c r="S2" s="30"/>
    </x:row>
    <x:row r="4" ht="42" customHeight="1">
      <x:c r="A4" s="45" t="str">
        <x:v>DURACIÓN TOTAL
3 meses · 12 semanas</x:v>
      </x:c>
      <x:c r="B4" s="46"/>
      <x:c r="C4" s="47"/>
      <x:c r="E4" s="73" t="str">
        <x:v>MES 1
Sistema desarrollado</x:v>
      </x:c>
      <x:c r="F4" s="74"/>
      <x:c r="G4" s="75"/>
      <x:c r="I4" s="101" t="str">
        <x:v>MES 2
Sistema desplegado</x:v>
      </x:c>
      <x:c r="J4" s="102"/>
      <x:c r="K4" s="103"/>
      <x:c r="M4" s="129" t="str">
        <x:v>MES 3
Mejoras y mantenimiento</x:v>
      </x:c>
      <x:c r="N4" s="130"/>
      <x:c r="O4" s="131"/>
      <x:c r="Q4" s="157" t="str">
        <x:v>OBJETIVO OPERATIVO
Control confiable de Huata</x:v>
      </x:c>
      <x:c r="R4" s="158"/>
      <x:c r="S4" s="159"/>
    </x:row>
    <x:row r="6" ht="34" customHeight="1">
      <x:c r="H6" s="418" t="str">
        <x:v>MES 1 · DESARROLLO DEL SISTEMA</x:v>
      </x:c>
      <x:c r="I6" s="419"/>
      <x:c r="J6" s="419"/>
      <x:c r="K6" s="420"/>
      <x:c r="L6" s="430" t="str">
        <x:v>MES 2 · DESPLIEGUE</x:v>
      </x:c>
      <x:c r="M6" s="431"/>
      <x:c r="N6" s="431"/>
      <x:c r="O6" s="432"/>
      <x:c r="P6" s="442" t="str">
        <x:v>MES 3 · MEJORAS Y MANTENIMIENTO</x:v>
      </x:c>
      <x:c r="Q6" s="443"/>
      <x:c r="R6" s="443"/>
      <x:c r="S6" s="444"/>
    </x:row>
    <x:row r="7" ht="30" customHeight="1">
      <x:c r="A7" s="250" t="str">
        <x:v>ID</x:v>
      </x:c>
      <x:c r="B7" s="251" t="str">
        <x:v>Fase</x:v>
      </x:c>
      <x:c r="C7" s="251" t="str">
        <x:v>Actividad</x:v>
      </x:c>
      <x:c r="D7" s="251" t="str">
        <x:v>Entregable</x:v>
      </x:c>
      <x:c r="E7" s="251" t="str">
        <x:v>Responsable</x:v>
      </x:c>
      <x:c r="F7" s="251" t="str">
        <x:v>Duración
(sem.)</x:v>
      </x:c>
      <x:c r="G7" s="251" t="str">
        <x:v>Estado</x:v>
      </x:c>
      <x:c r="H7" s="251" t="str">
        <x:v>S1</x:v>
      </x:c>
      <x:c r="I7" s="251" t="str">
        <x:v>S2</x:v>
      </x:c>
      <x:c r="J7" s="251" t="str">
        <x:v>S3</x:v>
      </x:c>
      <x:c r="K7" s="251" t="str">
        <x:v>S4</x:v>
      </x:c>
      <x:c r="L7" s="251" t="str">
        <x:v>S5</x:v>
      </x:c>
      <x:c r="M7" s="251" t="str">
        <x:v>S6</x:v>
      </x:c>
      <x:c r="N7" s="251" t="str">
        <x:v>S7</x:v>
      </x:c>
      <x:c r="O7" s="251" t="str">
        <x:v>S8</x:v>
      </x:c>
      <x:c r="P7" s="251" t="str">
        <x:v>S9</x:v>
      </x:c>
      <x:c r="Q7" s="251" t="str">
        <x:v>S10</x:v>
      </x:c>
      <x:c r="R7" s="251" t="str">
        <x:v>S11</x:v>
      </x:c>
      <x:c r="S7" s="252" t="str">
        <x:v>S12</x:v>
      </x:c>
    </x:row>
    <x:row r="8" ht="42" customHeight="1">
      <x:c r="A8" s="378" t="str">
        <x:v>CR-01</x:v>
      </x:c>
      <x:c r="B8" s="379" t="str">
        <x:v>Mes 1 · Desarrollo</x:v>
      </x:c>
      <x:c r="C8" s="286" t="str">
        <x:v>Validar alcance, datos, interesados, reglas de negocio y requerimientos definitivos.</x:v>
      </x:c>
      <x:c r="D8" s="286" t="str">
        <x:v>Alcance y matrices del proyecto validadas</x:v>
      </x:c>
      <x:c r="E8" s="286" t="str">
        <x:v>Analista + Administración Huata</x:v>
      </x:c>
      <x:c r="F8" s="394" t="n">
        <x:f>COUNTIF(H8:S8,"●")</x:f>
        <x:v>1</x:v>
      </x:c>
      <x:c r="G8" s="394" t="str">
        <x:v>Planificado</x:v>
      </x:c>
      <x:c r="H8" s="329" t="str">
        <x:v>●</x:v>
      </x:c>
      <x:c r="I8" s="394" t="str"/>
      <x:c r="J8" s="394" t="str"/>
      <x:c r="K8" s="394" t="str"/>
      <x:c r="L8" s="394" t="str"/>
      <x:c r="M8" s="394" t="str"/>
      <x:c r="N8" s="394" t="str"/>
      <x:c r="O8" s="394" t="str"/>
      <x:c r="P8" s="394" t="str"/>
      <x:c r="Q8" s="394" t="str"/>
      <x:c r="R8" s="394" t="str"/>
      <x:c r="S8" s="395" t="str"/>
    </x:row>
    <x:row r="9" ht="42" customHeight="1">
      <x:c r="A9" s="380" t="str">
        <x:v>CR-02</x:v>
      </x:c>
      <x:c r="B9" s="381" t="str">
        <x:v>Mes 1 · Desarrollo</x:v>
      </x:c>
      <x:c r="C9" s="289" t="str">
        <x:v>Diseñar la interfaz y la estructura de módulos: Proveedores, Acopio/Rendimiento, Calidad, Pagos, Zonas, Quesos, Reportes y Excel.</x:v>
      </x:c>
      <x:c r="D9" s="289" t="str">
        <x:v>Diseño funcional y técnico aprobado</x:v>
      </x:c>
      <x:c r="E9" s="289" t="str">
        <x:v>Equipo de desarrollo</x:v>
      </x:c>
      <x:c r="F9" s="396" t="n">
        <x:f>COUNTIF(H9:S9,"●")</x:f>
        <x:v>2</x:v>
      </x:c>
      <x:c r="G9" s="396" t="str">
        <x:v>Planificado</x:v>
      </x:c>
      <x:c r="H9" s="329" t="str">
        <x:v>●</x:v>
      </x:c>
      <x:c r="I9" s="329" t="str">
        <x:v>●</x:v>
      </x:c>
      <x:c r="J9" s="396" t="str"/>
      <x:c r="K9" s="396" t="str"/>
      <x:c r="L9" s="396" t="str"/>
      <x:c r="M9" s="396" t="str"/>
      <x:c r="N9" s="396" t="str"/>
      <x:c r="O9" s="396" t="str"/>
      <x:c r="P9" s="396" t="str"/>
      <x:c r="Q9" s="396" t="str"/>
      <x:c r="R9" s="396" t="str"/>
      <x:c r="S9" s="397" t="str"/>
    </x:row>
    <x:row r="10" ht="42" customHeight="1">
      <x:c r="A10" s="380" t="str">
        <x:v>CR-03</x:v>
      </x:c>
      <x:c r="B10" s="381" t="str">
        <x:v>Mes 1 · Desarrollo</x:v>
      </x:c>
      <x:c r="C10" s="289" t="str">
        <x:v>Desarrollar los módulos de Proveedores y Acopio/Rendimiento con totales diarios y semanales.</x:v>
      </x:c>
      <x:c r="D10" s="289" t="str">
        <x:v>Proveedores y acopio funcionales</x:v>
      </x:c>
      <x:c r="E10" s="289" t="str">
        <x:v>Equipo de desarrollo</x:v>
      </x:c>
      <x:c r="F10" s="396" t="n">
        <x:f>COUNTIF(H10:S10,"●")</x:f>
        <x:v>2</x:v>
      </x:c>
      <x:c r="G10" s="396" t="str">
        <x:v>Planificado</x:v>
      </x:c>
      <x:c r="H10" s="329" t="str">
        <x:v>●</x:v>
      </x:c>
      <x:c r="I10" s="329" t="str">
        <x:v>●</x:v>
      </x:c>
      <x:c r="J10" s="396" t="str"/>
      <x:c r="K10" s="396" t="str"/>
      <x:c r="L10" s="396" t="str"/>
      <x:c r="M10" s="396" t="str"/>
      <x:c r="N10" s="396" t="str"/>
      <x:c r="O10" s="396" t="str"/>
      <x:c r="P10" s="396" t="str"/>
      <x:c r="Q10" s="396" t="str"/>
      <x:c r="R10" s="396" t="str"/>
      <x:c r="S10" s="397" t="str"/>
    </x:row>
    <x:row r="11" ht="42" customHeight="1">
      <x:c r="A11" s="380" t="str">
        <x:v>CR-04</x:v>
      </x:c>
      <x:c r="B11" s="381" t="str">
        <x:v>Mes 1 · Desarrollo</x:v>
      </x:c>
      <x:c r="C11" s="289" t="str">
        <x:v>Implementar Calidad, historial de incidencias, precio S/ 1.75 / S/ 1.30 e inactivación por reincidencia/adulteración.</x:v>
      </x:c>
      <x:c r="D11" s="289" t="str">
        <x:v>Control de calidad y reglas de compra funcionales</x:v>
      </x:c>
      <x:c r="E11" s="289" t="str">
        <x:v>Equipo de desarrollo + Calidad</x:v>
      </x:c>
      <x:c r="F11" s="396" t="n">
        <x:f>COUNTIF(H11:S11,"●")</x:f>
        <x:v>2</x:v>
      </x:c>
      <x:c r="G11" s="396" t="str">
        <x:v>Planificado</x:v>
      </x:c>
      <x:c r="H11" s="396" t="str"/>
      <x:c r="I11" s="329" t="str">
        <x:v>●</x:v>
      </x:c>
      <x:c r="J11" s="329" t="str">
        <x:v>●</x:v>
      </x:c>
      <x:c r="K11" s="396" t="str"/>
      <x:c r="L11" s="396" t="str"/>
      <x:c r="M11" s="396" t="str"/>
      <x:c r="N11" s="396" t="str"/>
      <x:c r="O11" s="396" t="str"/>
      <x:c r="P11" s="396" t="str"/>
      <x:c r="Q11" s="396" t="str"/>
      <x:c r="R11" s="396" t="str"/>
      <x:c r="S11" s="397" t="str"/>
    </x:row>
    <x:row r="12" ht="42" customHeight="1">
      <x:c r="A12" s="380" t="str">
        <x:v>CR-05</x:v>
      </x:c>
      <x:c r="B12" s="381" t="str">
        <x:v>Mes 1 · Desarrollo</x:v>
      </x:c>
      <x:c r="C12" s="289" t="str">
        <x:v>Implementar pagos semanales de viernes, ResumenZonas, Quesos, dashboard y reportes.</x:v>
      </x:c>
      <x:c r="D12" s="289" t="str">
        <x:v>Módulos económicos y reportes funcionales</x:v>
      </x:c>
      <x:c r="E12" s="289" t="str">
        <x:v>Equipo de desarrollo + Administración</x:v>
      </x:c>
      <x:c r="F12" s="396" t="n">
        <x:f>COUNTIF(H12:S12,"●")</x:f>
        <x:v>1</x:v>
      </x:c>
      <x:c r="G12" s="396" t="str">
        <x:v>Planificado</x:v>
      </x:c>
      <x:c r="H12" s="396" t="str"/>
      <x:c r="I12" s="396" t="str"/>
      <x:c r="J12" s="329" t="str">
        <x:v>●</x:v>
      </x:c>
      <x:c r="K12" s="396" t="str"/>
      <x:c r="L12" s="396" t="str"/>
      <x:c r="M12" s="396" t="str"/>
      <x:c r="N12" s="396" t="str"/>
      <x:c r="O12" s="396" t="str"/>
      <x:c r="P12" s="396" t="str"/>
      <x:c r="Q12" s="396" t="str"/>
      <x:c r="R12" s="396" t="str"/>
      <x:c r="S12" s="397" t="str"/>
    </x:row>
    <x:row r="13" ht="42" customHeight="1">
      <x:c r="A13" s="380" t="str">
        <x:v>CR-06</x:v>
      </x:c>
      <x:c r="B13" s="381" t="str">
        <x:v>Mes 1 · Desarrollo</x:v>
      </x:c>
      <x:c r="C13" s="289" t="str">
        <x:v>Implementar importación/exportación Excel, ejecutar pruebas integrales, corregir defectos y cerrar la versión 1.0.</x:v>
      </x:c>
      <x:c r="D13" s="289" t="str">
        <x:v>Sistema v1.0 terminado y probado</x:v>
      </x:c>
      <x:c r="E13" s="289" t="str">
        <x:v>Equipo de desarrollo</x:v>
      </x:c>
      <x:c r="F13" s="396" t="n">
        <x:f>COUNTIF(H13:S13,"●")</x:f>
        <x:v>2</x:v>
      </x:c>
      <x:c r="G13" s="396" t="str">
        <x:v>Planificado</x:v>
      </x:c>
      <x:c r="H13" s="396" t="str"/>
      <x:c r="I13" s="396" t="str"/>
      <x:c r="J13" s="329" t="str">
        <x:v>●</x:v>
      </x:c>
      <x:c r="K13" s="329" t="str">
        <x:v>●</x:v>
      </x:c>
      <x:c r="L13" s="396" t="str"/>
      <x:c r="M13" s="396" t="str"/>
      <x:c r="N13" s="396" t="str"/>
      <x:c r="O13" s="396" t="str"/>
      <x:c r="P13" s="396" t="str"/>
      <x:c r="Q13" s="396" t="str"/>
      <x:c r="R13" s="396" t="str"/>
      <x:c r="S13" s="397" t="str"/>
    </x:row>
    <x:row r="14" ht="42" customHeight="1">
      <x:c r="A14" s="380" t="str">
        <x:v>CR-07</x:v>
      </x:c>
      <x:c r="B14" s="382" t="str">
        <x:v>Mes 2 · Despliegue</x:v>
      </x:c>
      <x:c r="C14" s="289" t="str">
        <x:v>Preparar el entorno de producción, configuración, accesos y estrategia de respaldo.</x:v>
      </x:c>
      <x:c r="D14" s="289" t="str">
        <x:v>Entorno listo para producción</x:v>
      </x:c>
      <x:c r="E14" s="289" t="str">
        <x:v>Equipo de desarrollo</x:v>
      </x:c>
      <x:c r="F14" s="396" t="n">
        <x:f>COUNTIF(H14:S14,"●")</x:f>
        <x:v>1</x:v>
      </x:c>
      <x:c r="G14" s="396" t="str">
        <x:v>Planificado</x:v>
      </x:c>
      <x:c r="H14" s="396" t="str"/>
      <x:c r="I14" s="396" t="str"/>
      <x:c r="J14" s="396" t="str"/>
      <x:c r="K14" s="396" t="str"/>
      <x:c r="L14" s="349" t="str">
        <x:v>●</x:v>
      </x:c>
      <x:c r="M14" s="396" t="str"/>
      <x:c r="N14" s="396" t="str"/>
      <x:c r="O14" s="396" t="str"/>
      <x:c r="P14" s="396" t="str"/>
      <x:c r="Q14" s="396" t="str"/>
      <x:c r="R14" s="396" t="str"/>
      <x:c r="S14" s="397" t="str"/>
    </x:row>
    <x:row r="15" ht="42" customHeight="1">
      <x:c r="A15" s="380" t="str">
        <x:v>CR-08</x:v>
      </x:c>
      <x:c r="B15" s="382" t="str">
        <x:v>Mes 2 · Despliegue</x:v>
      </x:c>
      <x:c r="C15" s="289" t="str">
        <x:v>Migrar/cargar datos iniciales desde Excel y validar proveedores, zonas, calidad, quesos y metadatos.</x:v>
      </x:c>
      <x:c r="D15" s="289" t="str">
        <x:v>Datos iniciales cargados y validados</x:v>
      </x:c>
      <x:c r="E15" s="289" t="str">
        <x:v>Equipo de desarrollo + Administración</x:v>
      </x:c>
      <x:c r="F15" s="396" t="n">
        <x:f>COUNTIF(H15:S15,"●")</x:f>
        <x:v>2</x:v>
      </x:c>
      <x:c r="G15" s="396" t="str">
        <x:v>Planificado</x:v>
      </x:c>
      <x:c r="H15" s="396" t="str"/>
      <x:c r="I15" s="396" t="str"/>
      <x:c r="J15" s="396" t="str"/>
      <x:c r="K15" s="396" t="str"/>
      <x:c r="L15" s="349" t="str">
        <x:v>●</x:v>
      </x:c>
      <x:c r="M15" s="349" t="str">
        <x:v>●</x:v>
      </x:c>
      <x:c r="N15" s="396" t="str"/>
      <x:c r="O15" s="396" t="str"/>
      <x:c r="P15" s="396" t="str"/>
      <x:c r="Q15" s="396" t="str"/>
      <x:c r="R15" s="396" t="str"/>
      <x:c r="S15" s="397" t="str"/>
    </x:row>
    <x:row r="16" ht="42" customHeight="1">
      <x:c r="A16" s="380" t="str">
        <x:v>CR-09</x:v>
      </x:c>
      <x:c r="B16" s="382" t="str">
        <x:v>Mes 2 · Despliegue</x:v>
      </x:c>
      <x:c r="C16" s="289" t="str">
        <x:v>Desplegar la versión 1.0 y verificar funcionamiento de módulos, permisos, reportes e intercambio Excel.</x:v>
      </x:c>
      <x:c r="D16" s="289" t="str">
        <x:v>Sistema desplegado en producción</x:v>
      </x:c>
      <x:c r="E16" s="289" t="str">
        <x:v>Equipo de desarrollo</x:v>
      </x:c>
      <x:c r="F16" s="396" t="n">
        <x:f>COUNTIF(H16:S16,"●")</x:f>
        <x:v>1</x:v>
      </x:c>
      <x:c r="G16" s="396" t="str">
        <x:v>Planificado</x:v>
      </x:c>
      <x:c r="H16" s="396" t="str"/>
      <x:c r="I16" s="396" t="str"/>
      <x:c r="J16" s="396" t="str"/>
      <x:c r="K16" s="396" t="str"/>
      <x:c r="L16" s="396" t="str"/>
      <x:c r="M16" s="349" t="str">
        <x:v>●</x:v>
      </x:c>
      <x:c r="N16" s="396" t="str"/>
      <x:c r="O16" s="396" t="str"/>
      <x:c r="P16" s="396" t="str"/>
      <x:c r="Q16" s="396" t="str"/>
      <x:c r="R16" s="396" t="str"/>
      <x:c r="S16" s="397" t="str"/>
    </x:row>
    <x:row r="17" ht="42" customHeight="1">
      <x:c r="A17" s="380" t="str">
        <x:v>CR-10</x:v>
      </x:c>
      <x:c r="B17" s="382" t="str">
        <x:v>Mes 2 · Despliegue</x:v>
      </x:c>
      <x:c r="C17" s="289" t="str">
        <x:v>Capacitar al personal y realizar un piloto operativo con registros reales de las zonas de acopio.</x:v>
      </x:c>
      <x:c r="D17" s="289" t="str">
        <x:v>Personal capacitado y piloto ejecutado</x:v>
      </x:c>
      <x:c r="E17" s="289" t="str">
        <x:v>Administración + Encargado de acopio</x:v>
      </x:c>
      <x:c r="F17" s="396" t="n">
        <x:f>COUNTIF(H17:S17,"●")</x:f>
        <x:v>2</x:v>
      </x:c>
      <x:c r="G17" s="396" t="str">
        <x:v>Planificado</x:v>
      </x:c>
      <x:c r="H17" s="396" t="str"/>
      <x:c r="I17" s="396" t="str"/>
      <x:c r="J17" s="396" t="str"/>
      <x:c r="K17" s="396" t="str"/>
      <x:c r="L17" s="396" t="str"/>
      <x:c r="M17" s="349" t="str">
        <x:v>●</x:v>
      </x:c>
      <x:c r="N17" s="349" t="str">
        <x:v>●</x:v>
      </x:c>
      <x:c r="O17" s="396" t="str"/>
      <x:c r="P17" s="396" t="str"/>
      <x:c r="Q17" s="396" t="str"/>
      <x:c r="R17" s="396" t="str"/>
      <x:c r="S17" s="397" t="str"/>
    </x:row>
    <x:row r="18" ht="42" customHeight="1">
      <x:c r="A18" s="380" t="str">
        <x:v>CR-11</x:v>
      </x:c>
      <x:c r="B18" s="382" t="str">
        <x:v>Mes 2 · Despliegue</x:v>
      </x:c>
      <x:c r="C18" s="289" t="str">
        <x:v>Monitorear el despliegue, resolver incidencias iniciales, validar respaldos y estabilizar la operación.</x:v>
      </x:c>
      <x:c r="D18" s="289" t="str">
        <x:v>Despliegue estabilizado</x:v>
      </x:c>
      <x:c r="E18" s="289" t="str">
        <x:v>Equipo de desarrollo + Administración</x:v>
      </x:c>
      <x:c r="F18" s="396" t="n">
        <x:f>COUNTIF(H18:S18,"●")</x:f>
        <x:v>2</x:v>
      </x:c>
      <x:c r="G18" s="396" t="str">
        <x:v>Planificado</x:v>
      </x:c>
      <x:c r="H18" s="396" t="str"/>
      <x:c r="I18" s="396" t="str"/>
      <x:c r="J18" s="396" t="str"/>
      <x:c r="K18" s="396" t="str"/>
      <x:c r="L18" s="396" t="str"/>
      <x:c r="M18" s="396" t="str"/>
      <x:c r="N18" s="349" t="str">
        <x:v>●</x:v>
      </x:c>
      <x:c r="O18" s="349" t="str">
        <x:v>●</x:v>
      </x:c>
      <x:c r="P18" s="396" t="str"/>
      <x:c r="Q18" s="396" t="str"/>
      <x:c r="R18" s="396" t="str"/>
      <x:c r="S18" s="397" t="str"/>
    </x:row>
    <x:row r="19" ht="42" customHeight="1">
      <x:c r="A19" s="380" t="str">
        <x:v>CR-12</x:v>
      </x:c>
      <x:c r="B19" s="383" t="str">
        <x:v>Mes 3 · Mejoras</x:v>
      </x:c>
      <x:c r="C19" s="289" t="str">
        <x:v>Recolectar retroalimentación e incidencias reales de administración, acopio, calidad y reportes.</x:v>
      </x:c>
      <x:c r="D19" s="289" t="str">
        <x:v>Backlog priorizado de mejoras</x:v>
      </x:c>
      <x:c r="E19" s="289" t="str">
        <x:v>Equipo de desarrollo + Usuarios</x:v>
      </x:c>
      <x:c r="F19" s="396" t="n">
        <x:f>COUNTIF(H19:S19,"●")</x:f>
        <x:v>1</x:v>
      </x:c>
      <x:c r="G19" s="396" t="str">
        <x:v>Planificado</x:v>
      </x:c>
      <x:c r="H19" s="396" t="str"/>
      <x:c r="I19" s="396" t="str"/>
      <x:c r="J19" s="396" t="str"/>
      <x:c r="K19" s="396" t="str"/>
      <x:c r="L19" s="396" t="str"/>
      <x:c r="M19" s="396" t="str"/>
      <x:c r="N19" s="396" t="str"/>
      <x:c r="O19" s="396" t="str"/>
      <x:c r="P19" s="361" t="str">
        <x:v>●</x:v>
      </x:c>
      <x:c r="Q19" s="396" t="str"/>
      <x:c r="R19" s="396" t="str"/>
      <x:c r="S19" s="397" t="str"/>
    </x:row>
    <x:row r="20" ht="42" customHeight="1">
      <x:c r="A20" s="380" t="str">
        <x:v>CR-13</x:v>
      </x:c>
      <x:c r="B20" s="383" t="str">
        <x:v>Mes 3 · Mejoras</x:v>
      </x:c>
      <x:c r="C20" s="289" t="str">
        <x:v>Optimizar interfaz, navegación, tablas, formularios y rendimiento en computadora y móvil.</x:v>
      </x:c>
      <x:c r="D20" s="289" t="str">
        <x:v>Interfaz y experiencia optimizadas</x:v>
      </x:c>
      <x:c r="E20" s="289" t="str">
        <x:v>Equipo de desarrollo</x:v>
      </x:c>
      <x:c r="F20" s="396" t="n">
        <x:f>COUNTIF(H20:S20,"●")</x:f>
        <x:v>2</x:v>
      </x:c>
      <x:c r="G20" s="396" t="str">
        <x:v>Planificado</x:v>
      </x:c>
      <x:c r="H20" s="396" t="str"/>
      <x:c r="I20" s="396" t="str"/>
      <x:c r="J20" s="396" t="str"/>
      <x:c r="K20" s="396" t="str"/>
      <x:c r="L20" s="396" t="str"/>
      <x:c r="M20" s="396" t="str"/>
      <x:c r="N20" s="396" t="str"/>
      <x:c r="O20" s="396" t="str"/>
      <x:c r="P20" s="361" t="str">
        <x:v>●</x:v>
      </x:c>
      <x:c r="Q20" s="361" t="str">
        <x:v>●</x:v>
      </x:c>
      <x:c r="R20" s="396" t="str"/>
      <x:c r="S20" s="397" t="str"/>
    </x:row>
    <x:row r="21" ht="42" customHeight="1">
      <x:c r="A21" s="380" t="str">
        <x:v>CR-14</x:v>
      </x:c>
      <x:c r="B21" s="383" t="str">
        <x:v>Mes 3 · Mejoras</x:v>
      </x:c>
      <x:c r="C21" s="289" t="str">
        <x:v>Mejorar reportes, historial de calidad, alertas de proveedores e importación/exportación Excel.</x:v>
      </x:c>
      <x:c r="D21" s="289" t="str">
        <x:v>Funciones de control reforzadas</x:v>
      </x:c>
      <x:c r="E21" s="289" t="str">
        <x:v>Equipo de desarrollo + Administración</x:v>
      </x:c>
      <x:c r="F21" s="396" t="n">
        <x:f>COUNTIF(H21:S21,"●")</x:f>
        <x:v>2</x:v>
      </x:c>
      <x:c r="G21" s="396" t="str">
        <x:v>Planificado</x:v>
      </x:c>
      <x:c r="H21" s="396" t="str"/>
      <x:c r="I21" s="396" t="str"/>
      <x:c r="J21" s="396" t="str"/>
      <x:c r="K21" s="396" t="str"/>
      <x:c r="L21" s="396" t="str"/>
      <x:c r="M21" s="396" t="str"/>
      <x:c r="N21" s="396" t="str"/>
      <x:c r="O21" s="396" t="str"/>
      <x:c r="P21" s="396" t="str"/>
      <x:c r="Q21" s="361" t="str">
        <x:v>●</x:v>
      </x:c>
      <x:c r="R21" s="361" t="str">
        <x:v>●</x:v>
      </x:c>
      <x:c r="S21" s="397" t="str"/>
    </x:row>
    <x:row r="22" ht="42" customHeight="1">
      <x:c r="A22" s="380" t="str">
        <x:v>CR-15</x:v>
      </x:c>
      <x:c r="B22" s="383" t="str">
        <x:v>Mes 3 · Mantenimiento</x:v>
      </x:c>
      <x:c r="C22" s="289" t="str">
        <x:v>Realizar mantenimiento correctivo y preventivo, revisión de seguridad, integridad de datos y respaldos.</x:v>
      </x:c>
      <x:c r="D22" s="289" t="str">
        <x:v>Sistema estable y mantenible</x:v>
      </x:c>
      <x:c r="E22" s="289" t="str">
        <x:v>Equipo de desarrollo</x:v>
      </x:c>
      <x:c r="F22" s="396" t="n">
        <x:f>COUNTIF(H22:S22,"●")</x:f>
        <x:v>2</x:v>
      </x:c>
      <x:c r="G22" s="396" t="str">
        <x:v>Planificado</x:v>
      </x:c>
      <x:c r="H22" s="396" t="str"/>
      <x:c r="I22" s="396" t="str"/>
      <x:c r="J22" s="396" t="str"/>
      <x:c r="K22" s="396" t="str"/>
      <x:c r="L22" s="396" t="str"/>
      <x:c r="M22" s="396" t="str"/>
      <x:c r="N22" s="396" t="str"/>
      <x:c r="O22" s="396" t="str"/>
      <x:c r="P22" s="396" t="str"/>
      <x:c r="Q22" s="396" t="str"/>
      <x:c r="R22" s="361" t="str">
        <x:v>●</x:v>
      </x:c>
      <x:c r="S22" s="361" t="str">
        <x:v>●</x:v>
      </x:c>
    </x:row>
    <x:row r="23" ht="42" customHeight="1">
      <x:c r="A23" s="384" t="str">
        <x:v>CR-16</x:v>
      </x:c>
      <x:c r="B23" s="385" t="str">
        <x:v>Mes 3 · Cierre</x:v>
      </x:c>
      <x:c r="C23" s="292" t="str">
        <x:v>Validar los cambios, documentar la versión, entregar la versión 1.1 y dejar definido el plan de mantenimiento.</x:v>
      </x:c>
      <x:c r="D23" s="292" t="str">
        <x:v>Versión 1.1 + documentación + plan de mantenimiento</x:v>
      </x:c>
      <x:c r="E23" s="292" t="str">
        <x:v>Equipo de desarrollo + Administración</x:v>
      </x:c>
      <x:c r="F23" s="398" t="n">
        <x:f>COUNTIF(H23:S23,"●")</x:f>
        <x:v>1</x:v>
      </x:c>
      <x:c r="G23" s="398" t="str">
        <x:v>Planificado</x:v>
      </x:c>
      <x:c r="H23" s="398" t="str"/>
      <x:c r="I23" s="398" t="str"/>
      <x:c r="J23" s="398" t="str"/>
      <x:c r="K23" s="398" t="str"/>
      <x:c r="L23" s="398" t="str"/>
      <x:c r="M23" s="398" t="str"/>
      <x:c r="N23" s="398" t="str"/>
      <x:c r="O23" s="398" t="str"/>
      <x:c r="P23" s="398" t="str"/>
      <x:c r="Q23" s="398" t="str"/>
      <x:c r="R23" s="398" t="str"/>
      <x:c r="S23" s="361" t="str">
        <x:v>●</x:v>
      </x:c>
    </x:row>
    <x:row r="25" ht="28" customHeight="1">
      <x:c r="A25" s="407" t="str">
        <x:v>Hitos: al finalizar la semana 4 el sistema debe estar terminado; al finalizar la semana 8 debe estar desplegado y estabilizado; las semanas 9–12 se destinan a mejoras y mantenimiento.</x:v>
      </x:c>
      <x:c r="B25" s="407"/>
      <x:c r="C25" s="407"/>
      <x:c r="D25" s="407"/>
      <x:c r="E25" s="407"/>
      <x:c r="F25" s="407"/>
      <x:c r="G25" s="407"/>
      <x:c r="H25" s="407"/>
      <x:c r="I25" s="407"/>
      <x:c r="J25" s="407"/>
      <x:c r="K25" s="407"/>
      <x:c r="L25" s="407"/>
      <x:c r="M25" s="407"/>
      <x:c r="N25" s="407"/>
      <x:c r="O25" s="407"/>
      <x:c r="P25" s="407"/>
      <x:c r="Q25" s="407"/>
      <x:c r="R25" s="407"/>
      <x:c r="S25" s="407"/>
    </x:row>
  </x:sheetData>
  <x:mergeCells>
    <x:mergeCell ref="A1:S1"/>
    <x:mergeCell ref="A2:S2"/>
    <x:mergeCell ref="A4:C4"/>
    <x:mergeCell ref="E4:G4"/>
    <x:mergeCell ref="I4:K4"/>
    <x:mergeCell ref="M4:O4"/>
    <x:mergeCell ref="Q4:S4"/>
    <x:mergeCell ref="H6:K6"/>
    <x:mergeCell ref="L6:O6"/>
    <x:mergeCell ref="P6:S6"/>
    <x:mergeCell ref="A25:S25"/>
  </x:mergeCells>
  <x:conditionalFormatting sqref="G8:G23">
    <x:cfRule type="expression" dxfId="9" priority="1">
      <x:formula>G8="Completado"</x:formula>
    </x:cfRule>
    <x:cfRule type="expression" dxfId="10" priority="2">
      <x:formula>G8="En curso"</x:formula>
    </x:cfRule>
    <x:cfRule type="expression" dxfId="11" priority="3">
      <x:formula>G8="Bloqueado"</x:formula>
    </x:cfRule>
  </x:conditionalFormatting>
  <x:dataValidations count="1">
    <x:dataValidation type="list" sqref="G8:G23">
      <x:formula1>"Planificado,En curso,Completado,Bloqueado"</x:formula1>
    </x:dataValidation>
  </x:dataValidations>
  <x:pageMargins left="0.7" right="0.7" top="0.75" bottom="0.75" header="0.3" footer="0.3"/>
</x:worksheet>
</file>