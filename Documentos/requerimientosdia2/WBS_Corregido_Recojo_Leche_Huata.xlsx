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BS Corregido" sheetId="1" state="visible" r:id="rId1"/>
    <sheet xmlns:r="http://schemas.openxmlformats.org/officeDocument/2006/relationships" name="Correcciones aplicada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b val="1"/>
      <color rgb="00FFFFFF"/>
      <sz val="11"/>
    </font>
    <font>
      <name val="Arial"/>
      <b val="1"/>
      <i val="1"/>
      <sz val="10"/>
    </font>
    <font>
      <name val="Arial"/>
      <sz val="10"/>
    </font>
    <font>
      <name val="Arial"/>
      <i val="1"/>
      <color rgb="00C00000"/>
      <sz val="9"/>
    </font>
    <font>
      <name val="Arial"/>
      <b val="1"/>
      <sz val="13"/>
    </font>
  </fonts>
  <fills count="7">
    <fill>
      <patternFill/>
    </fill>
    <fill>
      <patternFill patternType="gray125"/>
    </fill>
    <fill>
      <patternFill patternType="solid">
        <fgColor rgb="001F4E78"/>
      </patternFill>
    </fill>
    <fill>
      <patternFill patternType="solid">
        <fgColor rgb="00C00000"/>
      </patternFill>
    </fill>
    <fill>
      <patternFill patternType="solid">
        <fgColor rgb="002E75B6"/>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vertical="center" wrapText="1"/>
    </xf>
    <xf numFmtId="0" fontId="1" fillId="4" borderId="1" applyAlignment="1" pivotButton="0" quotePrefix="0" xfId="0">
      <alignment vertical="center"/>
    </xf>
    <xf numFmtId="0" fontId="1" fillId="4" borderId="1" applyAlignment="1" pivotButton="0" quotePrefix="0" xfId="0">
      <alignment vertical="center" wrapText="1"/>
    </xf>
    <xf numFmtId="0" fontId="3" fillId="5" borderId="1" applyAlignment="1" pivotButton="0" quotePrefix="0" xfId="0">
      <alignment vertical="center"/>
    </xf>
    <xf numFmtId="0" fontId="3" fillId="5" borderId="1" applyAlignment="1" pivotButton="0" quotePrefix="0" xfId="0">
      <alignment vertical="center" wrapText="1"/>
    </xf>
    <xf numFmtId="0" fontId="4" fillId="0" borderId="1" applyAlignment="1" pivotButton="0" quotePrefix="0" xfId="0">
      <alignment vertical="center"/>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6" borderId="1" applyAlignment="1" pivotButton="0" quotePrefix="0" xfId="0">
      <alignment vertical="center"/>
    </xf>
    <xf numFmtId="0" fontId="4" fillId="6" borderId="1" applyAlignment="1" pivotButton="0" quotePrefix="0" xfId="0">
      <alignment vertical="center" wrapText="1"/>
    </xf>
    <xf numFmtId="0" fontId="5" fillId="6" borderId="1" applyAlignment="1" pivotButton="0" quotePrefix="0" xfId="0">
      <alignment vertical="center" wrapText="1"/>
    </xf>
    <xf numFmtId="0" fontId="6" fillId="0" borderId="0" pivotButton="0" quotePrefix="0" xfId="0"/>
    <xf numFmtId="0"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8"/>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12" customWidth="1" min="3" max="3"/>
    <col width="30" customWidth="1" min="4" max="4"/>
    <col width="32" customWidth="1" min="5" max="5"/>
    <col width="45" customWidth="1" min="6" max="6"/>
    <col width="20" customWidth="1" min="7" max="7"/>
    <col width="60" customWidth="1" min="8" max="8"/>
    <col width="45" customWidth="1" min="9" max="9"/>
  </cols>
  <sheetData>
    <row r="1" ht="26" customHeight="1">
      <c r="A1" s="1" t="inlineStr">
        <is>
          <t>ID</t>
        </is>
      </c>
      <c r="B1" s="1" t="inlineStr">
        <is>
          <t>Nivel</t>
        </is>
      </c>
      <c r="C1" s="1" t="inlineStr">
        <is>
          <t>Sprint</t>
        </is>
      </c>
      <c r="D1" s="1" t="inlineStr">
        <is>
          <t>Épica</t>
        </is>
      </c>
      <c r="E1" s="1" t="inlineStr">
        <is>
          <t>Grupo</t>
        </is>
      </c>
      <c r="F1" s="1" t="inlineStr">
        <is>
          <t>Nombre de tarea</t>
        </is>
      </c>
      <c r="G1" s="1" t="inlineStr">
        <is>
          <t>Tipo</t>
        </is>
      </c>
      <c r="H1" s="1" t="inlineStr">
        <is>
          <t>Historia de Usuario (formato correcto)</t>
        </is>
      </c>
      <c r="I1" s="1" t="inlineStr">
        <is>
          <t>Nota</t>
        </is>
      </c>
    </row>
    <row r="2" ht="30" customHeight="1">
      <c r="A2" s="2" t="n">
        <v>1</v>
      </c>
      <c r="B2" s="2" t="n">
        <v>1</v>
      </c>
      <c r="C2" s="2" t="inlineStr">
        <is>
          <t>Sprint 1</t>
        </is>
      </c>
      <c r="D2" s="2" t="inlineStr"/>
      <c r="E2" s="2" t="inlineStr"/>
      <c r="F2" s="3">
        <f>== Sprint 1 ===</f>
        <v/>
      </c>
      <c r="G2" s="2" t="inlineStr">
        <is>
          <t>SPRINT</t>
        </is>
      </c>
      <c r="H2" s="3" t="inlineStr"/>
      <c r="I2" s="3" t="inlineStr"/>
    </row>
    <row r="3" ht="30" customHeight="1">
      <c r="A3" s="4" t="n">
        <v>2</v>
      </c>
      <c r="B3" s="4" t="n">
        <v>2</v>
      </c>
      <c r="C3" s="4" t="inlineStr">
        <is>
          <t>Sprint 1</t>
        </is>
      </c>
      <c r="D3" s="4" t="inlineStr">
        <is>
          <t>Gestión del proyecto</t>
        </is>
      </c>
      <c r="E3" s="4" t="inlineStr"/>
      <c r="F3" s="5" t="inlineStr">
        <is>
          <t>Gestión del proyecto</t>
        </is>
      </c>
      <c r="G3" s="4" t="inlineStr">
        <is>
          <t>ÉPICA</t>
        </is>
      </c>
      <c r="H3" s="5" t="inlineStr"/>
      <c r="I3" s="5" t="inlineStr"/>
    </row>
    <row r="4" ht="30" customHeight="1">
      <c r="A4" s="6" t="n">
        <v>3</v>
      </c>
      <c r="B4" s="6" t="n">
        <v>3</v>
      </c>
      <c r="C4" s="6" t="inlineStr">
        <is>
          <t>Sprint 1</t>
        </is>
      </c>
      <c r="D4" s="6" t="inlineStr">
        <is>
          <t>Gestión del proyecto</t>
        </is>
      </c>
      <c r="E4" s="6" t="inlineStr">
        <is>
          <t>Actividad de gestión</t>
        </is>
      </c>
      <c r="F4" s="7" t="inlineStr">
        <is>
          <t>Grupo: Actividad de gestión</t>
        </is>
      </c>
      <c r="G4" s="6" t="inlineStr">
        <is>
          <t>GRUPO (agrupador)</t>
        </is>
      </c>
      <c r="H4" s="7" t="inlineStr"/>
      <c r="I4" s="7" t="inlineStr"/>
    </row>
    <row r="5" ht="30" customHeight="1">
      <c r="A5" s="8" t="n">
        <v>4</v>
      </c>
      <c r="B5" s="8" t="n">
        <v>4</v>
      </c>
      <c r="C5" s="8" t="inlineStr">
        <is>
          <t>Sprint 1</t>
        </is>
      </c>
      <c r="D5" s="8" t="inlineStr">
        <is>
          <t>Gestión del proyecto</t>
        </is>
      </c>
      <c r="E5" s="8" t="inlineStr">
        <is>
          <t>Actividad de gestión</t>
        </is>
      </c>
      <c r="F5" s="9" t="inlineStr">
        <is>
          <t>Kick off del proyecto y conformación del equipo</t>
        </is>
      </c>
      <c r="G5" s="8" t="inlineStr">
        <is>
          <t>TAREA</t>
        </is>
      </c>
      <c r="H5" s="9" t="inlineStr"/>
      <c r="I5" s="9" t="inlineStr"/>
    </row>
    <row r="6" ht="30" customHeight="1">
      <c r="A6" s="4" t="n">
        <v>5</v>
      </c>
      <c r="B6" s="4" t="n">
        <v>2</v>
      </c>
      <c r="C6" s="4" t="inlineStr">
        <is>
          <t>Sprint 1</t>
        </is>
      </c>
      <c r="D6" s="4" t="inlineStr">
        <is>
          <t>Gestión y definición del producto</t>
        </is>
      </c>
      <c r="E6" s="4" t="inlineStr"/>
      <c r="F6" s="5" t="inlineStr">
        <is>
          <t>Gestión y definición del producto</t>
        </is>
      </c>
      <c r="G6" s="4" t="inlineStr">
        <is>
          <t>ÉPICA</t>
        </is>
      </c>
      <c r="H6" s="5" t="inlineStr"/>
      <c r="I6" s="5" t="inlineStr"/>
    </row>
    <row r="7" ht="30" customHeight="1">
      <c r="A7" s="6" t="n">
        <v>6</v>
      </c>
      <c r="B7" s="6" t="n">
        <v>3</v>
      </c>
      <c r="C7" s="6" t="inlineStr">
        <is>
          <t>Sprint 1</t>
        </is>
      </c>
      <c r="D7" s="6" t="inlineStr">
        <is>
          <t>Gestión y definición del producto</t>
        </is>
      </c>
      <c r="E7" s="6" t="inlineStr">
        <is>
          <t>Gestión del proyecto y requisitos</t>
        </is>
      </c>
      <c r="F7" s="7" t="inlineStr">
        <is>
          <t>Grupo: Gestión del proyecto y requisitos</t>
        </is>
      </c>
      <c r="G7" s="6" t="inlineStr">
        <is>
          <t>GRUPO (agrupador)</t>
        </is>
      </c>
      <c r="H7" s="7" t="inlineStr"/>
      <c r="I7" s="7" t="inlineStr"/>
    </row>
    <row r="8" ht="30" customHeight="1">
      <c r="A8" s="8" t="n">
        <v>7</v>
      </c>
      <c r="B8" s="8" t="n">
        <v>4</v>
      </c>
      <c r="C8" s="8" t="inlineStr">
        <is>
          <t>Sprint 1</t>
        </is>
      </c>
      <c r="D8" s="8" t="inlineStr">
        <is>
          <t>Gestión y definición del producto</t>
        </is>
      </c>
      <c r="E8" s="8" t="inlineStr">
        <is>
          <t>Gestión del proyecto y requisitos</t>
        </is>
      </c>
      <c r="F8" s="9" t="inlineStr">
        <is>
          <t>Elaboración del Project Charter</t>
        </is>
      </c>
      <c r="G8" s="8" t="inlineStr">
        <is>
          <t>TAREA</t>
        </is>
      </c>
      <c r="H8" s="9" t="inlineStr"/>
      <c r="I8" s="9" t="inlineStr"/>
    </row>
    <row r="9" ht="30" customHeight="1">
      <c r="A9" s="8" t="n">
        <v>8</v>
      </c>
      <c r="B9" s="8" t="n">
        <v>4</v>
      </c>
      <c r="C9" s="8" t="inlineStr">
        <is>
          <t>Sprint 1</t>
        </is>
      </c>
      <c r="D9" s="8" t="inlineStr">
        <is>
          <t>Gestión y definición del producto</t>
        </is>
      </c>
      <c r="E9" s="8" t="inlineStr">
        <is>
          <t>Gestión del proyecto y requisitos</t>
        </is>
      </c>
      <c r="F9" s="9" t="inlineStr">
        <is>
          <t>Definición de objetivos, alcance y stakeholders</t>
        </is>
      </c>
      <c r="G9" s="8" t="inlineStr">
        <is>
          <t>TAREA</t>
        </is>
      </c>
      <c r="H9" s="9" t="inlineStr"/>
      <c r="I9" s="9" t="inlineStr"/>
    </row>
    <row r="10" ht="30" customHeight="1">
      <c r="A10" s="8" t="n">
        <v>9</v>
      </c>
      <c r="B10" s="8" t="n">
        <v>4</v>
      </c>
      <c r="C10" s="8" t="inlineStr">
        <is>
          <t>Sprint 1</t>
        </is>
      </c>
      <c r="D10" s="8" t="inlineStr">
        <is>
          <t>Gestión y definición del producto</t>
        </is>
      </c>
      <c r="E10" s="8" t="inlineStr">
        <is>
          <t>Gestión del proyecto y requisitos</t>
        </is>
      </c>
      <c r="F10" s="9" t="inlineStr">
        <is>
          <t>Elaboración de cronograma preliminar en MS Project</t>
        </is>
      </c>
      <c r="G10" s="8" t="inlineStr">
        <is>
          <t>TAREA</t>
        </is>
      </c>
      <c r="H10" s="9" t="inlineStr"/>
      <c r="I10" s="9" t="inlineStr"/>
    </row>
    <row r="11" ht="30" customHeight="1">
      <c r="A11" s="8" t="n">
        <v>10</v>
      </c>
      <c r="B11" s="8" t="n">
        <v>4</v>
      </c>
      <c r="C11" s="8" t="inlineStr">
        <is>
          <t>Sprint 1</t>
        </is>
      </c>
      <c r="D11" s="8" t="inlineStr">
        <is>
          <t>Gestión y definición del producto</t>
        </is>
      </c>
      <c r="E11" s="8" t="inlineStr">
        <is>
          <t>Gestión del proyecto y requisitos</t>
        </is>
      </c>
      <c r="F11" s="9" t="inlineStr">
        <is>
          <t>Levantamiento de información en campo (Huata)</t>
        </is>
      </c>
      <c r="G11" s="8" t="inlineStr">
        <is>
          <t>TAREA</t>
        </is>
      </c>
      <c r="H11" s="9" t="inlineStr"/>
      <c r="I11" s="9" t="inlineStr"/>
    </row>
    <row r="12" ht="30" customHeight="1">
      <c r="A12" s="8" t="n">
        <v>11</v>
      </c>
      <c r="B12" s="8" t="n">
        <v>4</v>
      </c>
      <c r="C12" s="8" t="inlineStr">
        <is>
          <t>Sprint 1</t>
        </is>
      </c>
      <c r="D12" s="8" t="inlineStr">
        <is>
          <t>Gestión y definición del producto</t>
        </is>
      </c>
      <c r="E12" s="8" t="inlineStr">
        <is>
          <t>Gestión del proyecto y requisitos</t>
        </is>
      </c>
      <c r="F12" s="9" t="inlineStr">
        <is>
          <t>Identificación de actores del sistema</t>
        </is>
      </c>
      <c r="G12" s="8" t="inlineStr">
        <is>
          <t>TAREA</t>
        </is>
      </c>
      <c r="H12" s="9" t="inlineStr"/>
      <c r="I12" s="9" t="inlineStr"/>
    </row>
    <row r="13" ht="30" customHeight="1">
      <c r="A13" s="8" t="n">
        <v>12</v>
      </c>
      <c r="B13" s="8" t="n">
        <v>4</v>
      </c>
      <c r="C13" s="8" t="inlineStr">
        <is>
          <t>Sprint 1</t>
        </is>
      </c>
      <c r="D13" s="8" t="inlineStr">
        <is>
          <t>Gestión y definición del producto</t>
        </is>
      </c>
      <c r="E13" s="8" t="inlineStr">
        <is>
          <t>Gestión del proyecto y requisitos</t>
        </is>
      </c>
      <c r="F13" s="9" t="inlineStr">
        <is>
          <t>Elaboración de Requerimientos Funcionales (RF)</t>
        </is>
      </c>
      <c r="G13" s="8" t="inlineStr">
        <is>
          <t>TAREA</t>
        </is>
      </c>
      <c r="H13" s="9" t="inlineStr"/>
      <c r="I13" s="9" t="inlineStr"/>
    </row>
    <row r="14" ht="30" customHeight="1">
      <c r="A14" s="8" t="n">
        <v>13</v>
      </c>
      <c r="B14" s="8" t="n">
        <v>4</v>
      </c>
      <c r="C14" s="8" t="inlineStr">
        <is>
          <t>Sprint 1</t>
        </is>
      </c>
      <c r="D14" s="8" t="inlineStr">
        <is>
          <t>Gestión y definición del producto</t>
        </is>
      </c>
      <c r="E14" s="8" t="inlineStr">
        <is>
          <t>Gestión del proyecto y requisitos</t>
        </is>
      </c>
      <c r="F14" s="9" t="inlineStr">
        <is>
          <t>Elaboración de Requerimientos No Funcionales (RNF)</t>
        </is>
      </c>
      <c r="G14" s="8" t="inlineStr">
        <is>
          <t>TAREA</t>
        </is>
      </c>
      <c r="H14" s="9" t="inlineStr"/>
      <c r="I14" s="9" t="inlineStr"/>
    </row>
    <row r="15" ht="30" customHeight="1">
      <c r="A15" s="8" t="n">
        <v>14</v>
      </c>
      <c r="B15" s="8" t="n">
        <v>4</v>
      </c>
      <c r="C15" s="8" t="inlineStr">
        <is>
          <t>Sprint 1</t>
        </is>
      </c>
      <c r="D15" s="8" t="inlineStr">
        <is>
          <t>Gestión y definición del producto</t>
        </is>
      </c>
      <c r="E15" s="8" t="inlineStr">
        <is>
          <t>Gestión del proyecto y requisitos</t>
        </is>
      </c>
      <c r="F15" s="9" t="inlineStr">
        <is>
          <t>Elaboración de Historias de Usuario / Casos de Uso (Product Backlog)</t>
        </is>
      </c>
      <c r="G15" s="8" t="inlineStr">
        <is>
          <t>TAREA</t>
        </is>
      </c>
      <c r="H15" s="9" t="inlineStr"/>
      <c r="I15" s="9" t="inlineStr"/>
    </row>
    <row r="16" ht="30" customHeight="1">
      <c r="A16" s="8" t="n">
        <v>15</v>
      </c>
      <c r="B16" s="8" t="n">
        <v>4</v>
      </c>
      <c r="C16" s="8" t="inlineStr">
        <is>
          <t>Sprint 1</t>
        </is>
      </c>
      <c r="D16" s="8" t="inlineStr">
        <is>
          <t>Gestión y definición del producto</t>
        </is>
      </c>
      <c r="E16" s="8" t="inlineStr">
        <is>
          <t>Gestión del proyecto y requisitos</t>
        </is>
      </c>
      <c r="F16" s="9" t="inlineStr">
        <is>
          <t>Priorización del Backlog (MoSCoW)</t>
        </is>
      </c>
      <c r="G16" s="8" t="inlineStr">
        <is>
          <t>TAREA</t>
        </is>
      </c>
      <c r="H16" s="9" t="inlineStr"/>
      <c r="I16" s="9" t="inlineStr"/>
    </row>
    <row r="17" ht="30" customHeight="1">
      <c r="A17" s="8" t="n">
        <v>16</v>
      </c>
      <c r="B17" s="8" t="n">
        <v>4</v>
      </c>
      <c r="C17" s="8" t="inlineStr">
        <is>
          <t>Sprint 1</t>
        </is>
      </c>
      <c r="D17" s="8" t="inlineStr">
        <is>
          <t>Gestión y definición del producto</t>
        </is>
      </c>
      <c r="E17" s="8" t="inlineStr">
        <is>
          <t>Gestión del proyecto y requisitos</t>
        </is>
      </c>
      <c r="F17" s="9" t="inlineStr">
        <is>
          <t>Elaboración de Plan de Gestión del Proyecto</t>
        </is>
      </c>
      <c r="G17" s="8" t="inlineStr">
        <is>
          <t>TAREA</t>
        </is>
      </c>
      <c r="H17" s="9" t="inlineStr"/>
      <c r="I17" s="9" t="inlineStr"/>
    </row>
    <row r="18" ht="30" customHeight="1">
      <c r="A18" s="8" t="n">
        <v>17</v>
      </c>
      <c r="B18" s="8" t="n">
        <v>4</v>
      </c>
      <c r="C18" s="8" t="inlineStr">
        <is>
          <t>Sprint 1</t>
        </is>
      </c>
      <c r="D18" s="8" t="inlineStr">
        <is>
          <t>Gestión y definición del producto</t>
        </is>
      </c>
      <c r="E18" s="8" t="inlineStr">
        <is>
          <t>Gestión del proyecto y requisitos</t>
        </is>
      </c>
      <c r="F18" s="9" t="inlineStr">
        <is>
          <t>Revisión y consolidación de documentos de la Sprint 1</t>
        </is>
      </c>
      <c r="G18" s="8" t="inlineStr">
        <is>
          <t>TAREA</t>
        </is>
      </c>
      <c r="H18" s="9" t="inlineStr"/>
      <c r="I18" s="9" t="inlineStr"/>
    </row>
    <row r="19" ht="30" customHeight="1">
      <c r="A19" s="8" t="n">
        <v>18</v>
      </c>
      <c r="B19" s="8" t="n">
        <v>4</v>
      </c>
      <c r="C19" s="8" t="inlineStr">
        <is>
          <t>Sprint 1</t>
        </is>
      </c>
      <c r="D19" s="8" t="inlineStr">
        <is>
          <t>Gestión y definición del producto</t>
        </is>
      </c>
      <c r="E19" s="8" t="inlineStr">
        <is>
          <t>Gestión del proyecto y requisitos</t>
        </is>
      </c>
      <c r="F19" s="9" t="inlineStr">
        <is>
          <t>Sprint Review + Retrospectiva Sprint 1</t>
        </is>
      </c>
      <c r="G19" s="8" t="inlineStr">
        <is>
          <t>TAREA</t>
        </is>
      </c>
      <c r="H19" s="9" t="inlineStr"/>
      <c r="I19" s="9" t="inlineStr"/>
    </row>
    <row r="20" ht="30" customHeight="1">
      <c r="A20" s="2" t="n">
        <v>19</v>
      </c>
      <c r="B20" s="2" t="n">
        <v>1</v>
      </c>
      <c r="C20" s="2" t="inlineStr">
        <is>
          <t>Sprint 2</t>
        </is>
      </c>
      <c r="D20" s="2" t="inlineStr"/>
      <c r="E20" s="2" t="inlineStr"/>
      <c r="F20" s="3">
        <f>== Sprint 2 ===</f>
        <v/>
      </c>
      <c r="G20" s="2" t="inlineStr">
        <is>
          <t>SPRINT</t>
        </is>
      </c>
      <c r="H20" s="3" t="inlineStr"/>
      <c r="I20" s="3" t="inlineStr"/>
    </row>
    <row r="21" ht="30" customHeight="1">
      <c r="A21" s="4" t="n">
        <v>20</v>
      </c>
      <c r="B21" s="4" t="n">
        <v>2</v>
      </c>
      <c r="C21" s="4" t="inlineStr">
        <is>
          <t>Sprint 2</t>
        </is>
      </c>
      <c r="D21" s="4" t="inlineStr">
        <is>
          <t>Gestión y definición del producto</t>
        </is>
      </c>
      <c r="E21" s="4" t="inlineStr"/>
      <c r="F21" s="5" t="inlineStr">
        <is>
          <t>Gestión y definición del producto</t>
        </is>
      </c>
      <c r="G21" s="4" t="inlineStr">
        <is>
          <t>ÉPICA</t>
        </is>
      </c>
      <c r="H21" s="5" t="inlineStr"/>
      <c r="I21" s="5" t="inlineStr"/>
    </row>
    <row r="22" ht="30" customHeight="1">
      <c r="A22" s="6" t="n">
        <v>21</v>
      </c>
      <c r="B22" s="6" t="n">
        <v>3</v>
      </c>
      <c r="C22" s="6" t="inlineStr">
        <is>
          <t>Sprint 2</t>
        </is>
      </c>
      <c r="D22" s="6" t="inlineStr">
        <is>
          <t>Gestión y definición del producto</t>
        </is>
      </c>
      <c r="E22" s="6" t="inlineStr">
        <is>
          <t>Gestión del proyecto y requisitos</t>
        </is>
      </c>
      <c r="F22" s="7" t="inlineStr">
        <is>
          <t>Grupo: Gestión del proyecto y requisitos</t>
        </is>
      </c>
      <c r="G22" s="6" t="inlineStr">
        <is>
          <t>GRUPO (agrupador)</t>
        </is>
      </c>
      <c r="H22" s="7" t="inlineStr"/>
      <c r="I22" s="7" t="inlineStr"/>
    </row>
    <row r="23" ht="30" customHeight="1">
      <c r="A23" s="8" t="n">
        <v>22</v>
      </c>
      <c r="B23" s="8" t="n">
        <v>4</v>
      </c>
      <c r="C23" s="8" t="inlineStr">
        <is>
          <t>Sprint 2</t>
        </is>
      </c>
      <c r="D23" s="8" t="inlineStr">
        <is>
          <t>Gestión y definición del producto</t>
        </is>
      </c>
      <c r="E23" s="8" t="inlineStr">
        <is>
          <t>Gestión del proyecto y requisitos</t>
        </is>
      </c>
      <c r="F23" s="9" t="inlineStr">
        <is>
          <t>Sprint Planning Sprint 2</t>
        </is>
      </c>
      <c r="G23" s="8" t="inlineStr">
        <is>
          <t>TAREA</t>
        </is>
      </c>
      <c r="H23" s="9" t="inlineStr"/>
      <c r="I23" s="9" t="inlineStr"/>
    </row>
    <row r="24" ht="30" customHeight="1">
      <c r="A24" s="8" t="n">
        <v>23</v>
      </c>
      <c r="B24" s="8" t="n">
        <v>4</v>
      </c>
      <c r="C24" s="8" t="inlineStr">
        <is>
          <t>Sprint 2</t>
        </is>
      </c>
      <c r="D24" s="8" t="inlineStr">
        <is>
          <t>Gestión y definición del producto</t>
        </is>
      </c>
      <c r="E24" s="8" t="inlineStr">
        <is>
          <t>Gestión del proyecto y requisitos</t>
        </is>
      </c>
      <c r="F24" s="9" t="inlineStr">
        <is>
          <t>Presentación de requerimientos (RF/RNF) al cliente</t>
        </is>
      </c>
      <c r="G24" s="8" t="inlineStr">
        <is>
          <t>TAREA</t>
        </is>
      </c>
      <c r="H24" s="9" t="inlineStr"/>
      <c r="I24" s="9" t="inlineStr"/>
    </row>
    <row r="25" ht="30" customHeight="1">
      <c r="A25" s="8" t="n">
        <v>24</v>
      </c>
      <c r="B25" s="8" t="n">
        <v>4</v>
      </c>
      <c r="C25" s="8" t="inlineStr">
        <is>
          <t>Sprint 2</t>
        </is>
      </c>
      <c r="D25" s="8" t="inlineStr">
        <is>
          <t>Gestión y definición del producto</t>
        </is>
      </c>
      <c r="E25" s="8" t="inlineStr">
        <is>
          <t>Gestión del proyecto y requisitos</t>
        </is>
      </c>
      <c r="F25" s="9" t="inlineStr">
        <is>
          <t>Levantamiento de observaciones y ajustes a requerimientos</t>
        </is>
      </c>
      <c r="G25" s="8" t="inlineStr">
        <is>
          <t>TAREA</t>
        </is>
      </c>
      <c r="H25" s="9" t="inlineStr"/>
      <c r="I25" s="9" t="inlineStr"/>
    </row>
    <row r="26" ht="30" customHeight="1">
      <c r="A26" s="8" t="n">
        <v>25</v>
      </c>
      <c r="B26" s="8" t="n">
        <v>4</v>
      </c>
      <c r="C26" s="8" t="inlineStr">
        <is>
          <t>Sprint 2</t>
        </is>
      </c>
      <c r="D26" s="8" t="inlineStr">
        <is>
          <t>Gestión y definición del producto</t>
        </is>
      </c>
      <c r="E26" s="8" t="inlineStr">
        <is>
          <t>Gestión del proyecto y requisitos</t>
        </is>
      </c>
      <c r="F26" s="9" t="inlineStr">
        <is>
          <t>Firma de Acta de Aprobación de Requerimientos</t>
        </is>
      </c>
      <c r="G26" s="8" t="inlineStr">
        <is>
          <t>TAREA</t>
        </is>
      </c>
      <c r="H26" s="9" t="inlineStr"/>
      <c r="I26" s="9" t="inlineStr"/>
    </row>
    <row r="27" ht="30" customHeight="1">
      <c r="A27" s="8" t="n">
        <v>26</v>
      </c>
      <c r="B27" s="8" t="n">
        <v>4</v>
      </c>
      <c r="C27" s="8" t="inlineStr">
        <is>
          <t>Sprint 2</t>
        </is>
      </c>
      <c r="D27" s="8" t="inlineStr">
        <is>
          <t>Gestión y definición del producto</t>
        </is>
      </c>
      <c r="E27" s="8" t="inlineStr">
        <is>
          <t>Gestión del proyecto y requisitos</t>
        </is>
      </c>
      <c r="F27" s="9" t="inlineStr">
        <is>
          <t>Sprint Review + Retrospectiva Sprint 2</t>
        </is>
      </c>
      <c r="G27" s="8" t="inlineStr">
        <is>
          <t>TAREA</t>
        </is>
      </c>
      <c r="H27" s="9" t="inlineStr"/>
      <c r="I27" s="9" t="inlineStr"/>
    </row>
    <row r="28" ht="30" customHeight="1">
      <c r="A28" s="4" t="n">
        <v>27</v>
      </c>
      <c r="B28" s="4" t="n">
        <v>2</v>
      </c>
      <c r="C28" s="4" t="inlineStr">
        <is>
          <t>Sprint 2</t>
        </is>
      </c>
      <c r="D28" s="4" t="inlineStr">
        <is>
          <t>Experiencia de usuario (UX/UI)</t>
        </is>
      </c>
      <c r="E28" s="4" t="inlineStr"/>
      <c r="F28" s="5" t="inlineStr">
        <is>
          <t>Experiencia de usuario (UX/UI)</t>
        </is>
      </c>
      <c r="G28" s="4" t="inlineStr">
        <is>
          <t>ÉPICA</t>
        </is>
      </c>
      <c r="H28" s="5" t="inlineStr"/>
      <c r="I28" s="5" t="inlineStr"/>
    </row>
    <row r="29" ht="30" customHeight="1">
      <c r="A29" s="6" t="n">
        <v>28</v>
      </c>
      <c r="B29" s="6" t="n">
        <v>3</v>
      </c>
      <c r="C29" s="6" t="inlineStr">
        <is>
          <t>Sprint 2</t>
        </is>
      </c>
      <c r="D29" s="6" t="inlineStr">
        <is>
          <t>Experiencia de usuario (UX/UI)</t>
        </is>
      </c>
      <c r="E29" s="6" t="inlineStr">
        <is>
          <t>Diseño y validación de interfaces</t>
        </is>
      </c>
      <c r="F29" s="7" t="inlineStr">
        <is>
          <t>Grupo: Diseño y validación de interfaces</t>
        </is>
      </c>
      <c r="G29" s="6" t="inlineStr">
        <is>
          <t>GRUPO (agrupador)</t>
        </is>
      </c>
      <c r="H29" s="7" t="inlineStr"/>
      <c r="I29" s="7" t="inlineStr"/>
    </row>
    <row r="30" ht="30" customHeight="1">
      <c r="A30" s="8" t="n">
        <v>29</v>
      </c>
      <c r="B30" s="8" t="n">
        <v>4</v>
      </c>
      <c r="C30" s="8" t="inlineStr">
        <is>
          <t>Sprint 2</t>
        </is>
      </c>
      <c r="D30" s="8" t="inlineStr">
        <is>
          <t>Experiencia de usuario (UX/UI)</t>
        </is>
      </c>
      <c r="E30" s="8" t="inlineStr">
        <is>
          <t>Diseño y validación de interfaces</t>
        </is>
      </c>
      <c r="F30" s="9" t="inlineStr">
        <is>
          <t>Diseño de wireframes de baja fidelidad (Web y Móvil)</t>
        </is>
      </c>
      <c r="G30" s="8" t="inlineStr">
        <is>
          <t>TAREA</t>
        </is>
      </c>
      <c r="H30" s="9" t="inlineStr"/>
      <c r="I30" s="9" t="inlineStr"/>
    </row>
    <row r="31" ht="30" customHeight="1">
      <c r="A31" s="8" t="n">
        <v>30</v>
      </c>
      <c r="B31" s="8" t="n">
        <v>4</v>
      </c>
      <c r="C31" s="8" t="inlineStr">
        <is>
          <t>Sprint 2</t>
        </is>
      </c>
      <c r="D31" s="8" t="inlineStr">
        <is>
          <t>Experiencia de usuario (UX/UI)</t>
        </is>
      </c>
      <c r="E31" s="8" t="inlineStr">
        <is>
          <t>Diseño y validación de interfaces</t>
        </is>
      </c>
      <c r="F31" s="9" t="inlineStr">
        <is>
          <t>Definición de guía de estilos / Design System</t>
        </is>
      </c>
      <c r="G31" s="8" t="inlineStr">
        <is>
          <t>TAREA</t>
        </is>
      </c>
      <c r="H31" s="9" t="inlineStr"/>
      <c r="I31" s="9" t="inlineStr"/>
    </row>
    <row r="32" ht="30" customHeight="1">
      <c r="A32" s="8" t="n">
        <v>31</v>
      </c>
      <c r="B32" s="8" t="n">
        <v>4</v>
      </c>
      <c r="C32" s="8" t="inlineStr">
        <is>
          <t>Sprint 2</t>
        </is>
      </c>
      <c r="D32" s="8" t="inlineStr">
        <is>
          <t>Experiencia de usuario (UX/UI)</t>
        </is>
      </c>
      <c r="E32" s="8" t="inlineStr">
        <is>
          <t>Diseño y validación de interfaces</t>
        </is>
      </c>
      <c r="F32" s="9" t="inlineStr">
        <is>
          <t>Diseño de prototipo de alta fidelidad en Figma - Web</t>
        </is>
      </c>
      <c r="G32" s="8" t="inlineStr">
        <is>
          <t>TAREA</t>
        </is>
      </c>
      <c r="H32" s="9" t="inlineStr"/>
      <c r="I32" s="9" t="inlineStr"/>
    </row>
    <row r="33" ht="30" customHeight="1">
      <c r="A33" s="8" t="n">
        <v>32</v>
      </c>
      <c r="B33" s="8" t="n">
        <v>4</v>
      </c>
      <c r="C33" s="8" t="inlineStr">
        <is>
          <t>Sprint 2</t>
        </is>
      </c>
      <c r="D33" s="8" t="inlineStr">
        <is>
          <t>Experiencia de usuario (UX/UI)</t>
        </is>
      </c>
      <c r="E33" s="8" t="inlineStr">
        <is>
          <t>Diseño y validación de interfaces</t>
        </is>
      </c>
      <c r="F33" s="9" t="inlineStr">
        <is>
          <t>Diseño de prototipo de alta fidelidad en Figma - Móvil</t>
        </is>
      </c>
      <c r="G33" s="8" t="inlineStr">
        <is>
          <t>TAREA</t>
        </is>
      </c>
      <c r="H33" s="9" t="inlineStr"/>
      <c r="I33" s="9" t="inlineStr"/>
    </row>
    <row r="34" ht="30" customHeight="1">
      <c r="A34" s="8" t="n">
        <v>33</v>
      </c>
      <c r="B34" s="8" t="n">
        <v>4</v>
      </c>
      <c r="C34" s="8" t="inlineStr">
        <is>
          <t>Sprint 2</t>
        </is>
      </c>
      <c r="D34" s="8" t="inlineStr">
        <is>
          <t>Experiencia de usuario (UX/UI)</t>
        </is>
      </c>
      <c r="E34" s="8" t="inlineStr">
        <is>
          <t>Diseño y validación de interfaces</t>
        </is>
      </c>
      <c r="F34" s="9" t="inlineStr">
        <is>
          <t>Maquetación del prototipo navegable en HTML/CSS (Web)</t>
        </is>
      </c>
      <c r="G34" s="8" t="inlineStr">
        <is>
          <t>TAREA</t>
        </is>
      </c>
      <c r="H34" s="9" t="inlineStr"/>
      <c r="I34" s="9" t="inlineStr"/>
    </row>
    <row r="35" ht="30" customHeight="1">
      <c r="A35" s="8" t="n">
        <v>34</v>
      </c>
      <c r="B35" s="8" t="n">
        <v>4</v>
      </c>
      <c r="C35" s="8" t="inlineStr">
        <is>
          <t>Sprint 2</t>
        </is>
      </c>
      <c r="D35" s="8" t="inlineStr">
        <is>
          <t>Experiencia de usuario (UX/UI)</t>
        </is>
      </c>
      <c r="E35" s="8" t="inlineStr">
        <is>
          <t>Diseño y validación de interfaces</t>
        </is>
      </c>
      <c r="F35" s="9" t="inlineStr">
        <is>
          <t>Revisión de prototipos (Figma + HTML) con el cliente</t>
        </is>
      </c>
      <c r="G35" s="8" t="inlineStr">
        <is>
          <t>TAREA</t>
        </is>
      </c>
      <c r="H35" s="9" t="inlineStr"/>
      <c r="I35" s="9" t="inlineStr"/>
    </row>
    <row r="36" ht="30" customHeight="1">
      <c r="A36" s="8" t="n">
        <v>35</v>
      </c>
      <c r="B36" s="8" t="n">
        <v>4</v>
      </c>
      <c r="C36" s="8" t="inlineStr">
        <is>
          <t>Sprint 2</t>
        </is>
      </c>
      <c r="D36" s="8" t="inlineStr">
        <is>
          <t>Experiencia de usuario (UX/UI)</t>
        </is>
      </c>
      <c r="E36" s="8" t="inlineStr">
        <is>
          <t>Diseño y validación de interfaces</t>
        </is>
      </c>
      <c r="F36" s="9" t="inlineStr">
        <is>
          <t>Ajustes de prototipos según observaciones</t>
        </is>
      </c>
      <c r="G36" s="8" t="inlineStr">
        <is>
          <t>TAREA</t>
        </is>
      </c>
      <c r="H36" s="9" t="inlineStr"/>
      <c r="I36" s="10" t="inlineStr">
        <is>
          <t>MOVIDO: estaba en 'Gestión y definición del producto'; es trabajo de diseño, no de requisitos.</t>
        </is>
      </c>
    </row>
    <row r="37" ht="30" customHeight="1">
      <c r="A37" s="2" t="n">
        <v>36</v>
      </c>
      <c r="B37" s="2" t="n">
        <v>1</v>
      </c>
      <c r="C37" s="2" t="inlineStr">
        <is>
          <t>Sprint 3</t>
        </is>
      </c>
      <c r="D37" s="2" t="inlineStr"/>
      <c r="E37" s="2" t="inlineStr"/>
      <c r="F37" s="3">
        <f>== Sprint 3 ===</f>
        <v/>
      </c>
      <c r="G37" s="2" t="inlineStr">
        <is>
          <t>SPRINT</t>
        </is>
      </c>
      <c r="H37" s="3" t="inlineStr"/>
      <c r="I37" s="3" t="inlineStr"/>
    </row>
    <row r="38" ht="30" customHeight="1">
      <c r="A38" s="4" t="n">
        <v>37</v>
      </c>
      <c r="B38" s="4" t="n">
        <v>2</v>
      </c>
      <c r="C38" s="4" t="inlineStr">
        <is>
          <t>Sprint 3</t>
        </is>
      </c>
      <c r="D38" s="4" t="inlineStr">
        <is>
          <t>Gestión y definición del producto</t>
        </is>
      </c>
      <c r="E38" s="4" t="inlineStr"/>
      <c r="F38" s="5" t="inlineStr">
        <is>
          <t>Gestión y definición del producto</t>
        </is>
      </c>
      <c r="G38" s="4" t="inlineStr">
        <is>
          <t>ÉPICA</t>
        </is>
      </c>
      <c r="H38" s="5" t="inlineStr"/>
      <c r="I38" s="5" t="inlineStr"/>
    </row>
    <row r="39" ht="30" customHeight="1">
      <c r="A39" s="6" t="n">
        <v>38</v>
      </c>
      <c r="B39" s="6" t="n">
        <v>3</v>
      </c>
      <c r="C39" s="6" t="inlineStr">
        <is>
          <t>Sprint 3</t>
        </is>
      </c>
      <c r="D39" s="6" t="inlineStr">
        <is>
          <t>Gestión y definición del producto</t>
        </is>
      </c>
      <c r="E39" s="6" t="inlineStr">
        <is>
          <t>Gestión del proyecto y requisitos</t>
        </is>
      </c>
      <c r="F39" s="7" t="inlineStr">
        <is>
          <t>Grupo: Gestión del proyecto y requisitos</t>
        </is>
      </c>
      <c r="G39" s="6" t="inlineStr">
        <is>
          <t>GRUPO (agrupador)</t>
        </is>
      </c>
      <c r="H39" s="7" t="inlineStr"/>
      <c r="I39" s="7" t="inlineStr"/>
    </row>
    <row r="40" ht="30" customHeight="1">
      <c r="A40" s="8" t="n">
        <v>39</v>
      </c>
      <c r="B40" s="8" t="n">
        <v>4</v>
      </c>
      <c r="C40" s="8" t="inlineStr">
        <is>
          <t>Sprint 3</t>
        </is>
      </c>
      <c r="D40" s="8" t="inlineStr">
        <is>
          <t>Gestión y definición del producto</t>
        </is>
      </c>
      <c r="E40" s="8" t="inlineStr">
        <is>
          <t>Gestión del proyecto y requisitos</t>
        </is>
      </c>
      <c r="F40" s="9" t="inlineStr">
        <is>
          <t>Sprint Planning Sprint 3</t>
        </is>
      </c>
      <c r="G40" s="8" t="inlineStr">
        <is>
          <t>TAREA</t>
        </is>
      </c>
      <c r="H40" s="9" t="inlineStr"/>
      <c r="I40" s="9" t="inlineStr"/>
    </row>
    <row r="41" ht="30" customHeight="1">
      <c r="A41" s="8" t="n">
        <v>40</v>
      </c>
      <c r="B41" s="8" t="n">
        <v>4</v>
      </c>
      <c r="C41" s="8" t="inlineStr">
        <is>
          <t>Sprint 3</t>
        </is>
      </c>
      <c r="D41" s="8" t="inlineStr">
        <is>
          <t>Gestión y definición del producto</t>
        </is>
      </c>
      <c r="E41" s="8" t="inlineStr">
        <is>
          <t>Gestión del proyecto y requisitos</t>
        </is>
      </c>
      <c r="F41" s="9" t="inlineStr">
        <is>
          <t>Sprint Review + Retrospectiva Sprint 3</t>
        </is>
      </c>
      <c r="G41" s="8" t="inlineStr">
        <is>
          <t>TAREA</t>
        </is>
      </c>
      <c r="H41" s="9" t="inlineStr"/>
      <c r="I41" s="9" t="inlineStr"/>
    </row>
    <row r="42" ht="30" customHeight="1">
      <c r="A42" s="4" t="n">
        <v>41</v>
      </c>
      <c r="B42" s="4" t="n">
        <v>2</v>
      </c>
      <c r="C42" s="4" t="inlineStr">
        <is>
          <t>Sprint 3</t>
        </is>
      </c>
      <c r="D42" s="4" t="inlineStr">
        <is>
          <t>Experiencia de usuario (UX/UI)</t>
        </is>
      </c>
      <c r="E42" s="4" t="inlineStr"/>
      <c r="F42" s="5" t="inlineStr">
        <is>
          <t>Experiencia de usuario (UX/UI)</t>
        </is>
      </c>
      <c r="G42" s="4" t="inlineStr">
        <is>
          <t>ÉPICA</t>
        </is>
      </c>
      <c r="H42" s="5" t="inlineStr"/>
      <c r="I42" s="5" t="inlineStr"/>
    </row>
    <row r="43" ht="30" customHeight="1">
      <c r="A43" s="6" t="n">
        <v>42</v>
      </c>
      <c r="B43" s="6" t="n">
        <v>3</v>
      </c>
      <c r="C43" s="6" t="inlineStr">
        <is>
          <t>Sprint 3</t>
        </is>
      </c>
      <c r="D43" s="6" t="inlineStr">
        <is>
          <t>Experiencia de usuario (UX/UI)</t>
        </is>
      </c>
      <c r="E43" s="6" t="inlineStr">
        <is>
          <t>Diseño y validación de interfaces</t>
        </is>
      </c>
      <c r="F43" s="7" t="inlineStr">
        <is>
          <t>Grupo: Diseño y validación de interfaces</t>
        </is>
      </c>
      <c r="G43" s="6" t="inlineStr">
        <is>
          <t>GRUPO (agrupador)</t>
        </is>
      </c>
      <c r="H43" s="7" t="inlineStr"/>
      <c r="I43" s="7" t="inlineStr"/>
    </row>
    <row r="44" ht="30" customHeight="1">
      <c r="A44" s="8" t="n">
        <v>43</v>
      </c>
      <c r="B44" s="8" t="n">
        <v>4</v>
      </c>
      <c r="C44" s="8" t="inlineStr">
        <is>
          <t>Sprint 3</t>
        </is>
      </c>
      <c r="D44" s="8" t="inlineStr">
        <is>
          <t>Experiencia de usuario (UX/UI)</t>
        </is>
      </c>
      <c r="E44" s="8" t="inlineStr">
        <is>
          <t>Diseño y validación de interfaces</t>
        </is>
      </c>
      <c r="F44" s="9" t="inlineStr">
        <is>
          <t>Firma / Aprobación final de prototipos</t>
        </is>
      </c>
      <c r="G44" s="8" t="inlineStr">
        <is>
          <t>TAREA</t>
        </is>
      </c>
      <c r="H44" s="9" t="inlineStr"/>
      <c r="I44" s="9" t="inlineStr"/>
    </row>
    <row r="45" ht="30" customHeight="1">
      <c r="A45" s="4" t="n">
        <v>44</v>
      </c>
      <c r="B45" s="4" t="n">
        <v>2</v>
      </c>
      <c r="C45" s="4" t="inlineStr">
        <is>
          <t>Sprint 3</t>
        </is>
      </c>
      <c r="D45" s="4" t="inlineStr">
        <is>
          <t>Plataforma y arquitectura técnica</t>
        </is>
      </c>
      <c r="E45" s="4" t="inlineStr"/>
      <c r="F45" s="5" t="inlineStr">
        <is>
          <t>Plataforma y arquitectura técnica</t>
        </is>
      </c>
      <c r="G45" s="4" t="inlineStr">
        <is>
          <t>ÉPICA</t>
        </is>
      </c>
      <c r="H45" s="5" t="inlineStr"/>
      <c r="I45" s="5" t="inlineStr"/>
    </row>
    <row r="46" ht="30" customHeight="1">
      <c r="A46" s="6" t="n">
        <v>45</v>
      </c>
      <c r="B46" s="6" t="n">
        <v>3</v>
      </c>
      <c r="C46" s="6" t="inlineStr">
        <is>
          <t>Sprint 3</t>
        </is>
      </c>
      <c r="D46" s="6" t="inlineStr">
        <is>
          <t>Plataforma y arquitectura técnica</t>
        </is>
      </c>
      <c r="E46" s="6" t="inlineStr">
        <is>
          <t>Preparación de arquitectura y entornos</t>
        </is>
      </c>
      <c r="F46" s="7" t="inlineStr">
        <is>
          <t>Grupo: Preparación de arquitectura y entornos</t>
        </is>
      </c>
      <c r="G46" s="6" t="inlineStr">
        <is>
          <t>GRUPO (agrupador)</t>
        </is>
      </c>
      <c r="H46" s="7" t="inlineStr"/>
      <c r="I46" s="7" t="inlineStr"/>
    </row>
    <row r="47" ht="30" customHeight="1">
      <c r="A47" s="8" t="n">
        <v>46</v>
      </c>
      <c r="B47" s="8" t="n">
        <v>4</v>
      </c>
      <c r="C47" s="8" t="inlineStr">
        <is>
          <t>Sprint 3</t>
        </is>
      </c>
      <c r="D47" s="8" t="inlineStr">
        <is>
          <t>Plataforma y arquitectura técnica</t>
        </is>
      </c>
      <c r="E47" s="8" t="inlineStr">
        <is>
          <t>Preparación de arquitectura y entornos</t>
        </is>
      </c>
      <c r="F47" s="9" t="inlineStr">
        <is>
          <t>Diseño de la arquitectura del sistema</t>
        </is>
      </c>
      <c r="G47" s="8" t="inlineStr">
        <is>
          <t>TAREA</t>
        </is>
      </c>
      <c r="H47" s="9" t="inlineStr"/>
      <c r="I47" s="9" t="inlineStr"/>
    </row>
    <row r="48" ht="30" customHeight="1">
      <c r="A48" s="8" t="n">
        <v>47</v>
      </c>
      <c r="B48" s="8" t="n">
        <v>4</v>
      </c>
      <c r="C48" s="8" t="inlineStr">
        <is>
          <t>Sprint 3</t>
        </is>
      </c>
      <c r="D48" s="8" t="inlineStr">
        <is>
          <t>Plataforma y arquitectura técnica</t>
        </is>
      </c>
      <c r="E48" s="8" t="inlineStr">
        <is>
          <t>Preparación de arquitectura y entornos</t>
        </is>
      </c>
      <c r="F48" s="9" t="inlineStr">
        <is>
          <t>Diseño del modelo de datos (MER)</t>
        </is>
      </c>
      <c r="G48" s="8" t="inlineStr">
        <is>
          <t>TAREA</t>
        </is>
      </c>
      <c r="H48" s="9" t="inlineStr"/>
      <c r="I48" s="9" t="inlineStr"/>
    </row>
    <row r="49" ht="30" customHeight="1">
      <c r="A49" s="8" t="n">
        <v>48</v>
      </c>
      <c r="B49" s="8" t="n">
        <v>4</v>
      </c>
      <c r="C49" s="8" t="inlineStr">
        <is>
          <t>Sprint 3</t>
        </is>
      </c>
      <c r="D49" s="8" t="inlineStr">
        <is>
          <t>Plataforma y arquitectura técnica</t>
        </is>
      </c>
      <c r="E49" s="8" t="inlineStr">
        <is>
          <t>Preparación de arquitectura y entornos</t>
        </is>
      </c>
      <c r="F49" s="9" t="inlineStr">
        <is>
          <t>Creación de la base de datos en PostgreSQL</t>
        </is>
      </c>
      <c r="G49" s="8" t="inlineStr">
        <is>
          <t>TAREA</t>
        </is>
      </c>
      <c r="H49" s="9" t="inlineStr"/>
      <c r="I49" s="9" t="inlineStr"/>
    </row>
    <row r="50" ht="30" customHeight="1">
      <c r="A50" s="8" t="n">
        <v>49</v>
      </c>
      <c r="B50" s="8" t="n">
        <v>4</v>
      </c>
      <c r="C50" s="8" t="inlineStr">
        <is>
          <t>Sprint 3</t>
        </is>
      </c>
      <c r="D50" s="8" t="inlineStr">
        <is>
          <t>Plataforma y arquitectura técnica</t>
        </is>
      </c>
      <c r="E50" s="8" t="inlineStr">
        <is>
          <t>Preparación de arquitectura y entornos</t>
        </is>
      </c>
      <c r="F50" s="9" t="inlineStr">
        <is>
          <t>Configuración de repositorio Git y GitFlow</t>
        </is>
      </c>
      <c r="G50" s="8" t="inlineStr">
        <is>
          <t>TAREA</t>
        </is>
      </c>
      <c r="H50" s="9" t="inlineStr"/>
      <c r="I50" s="9" t="inlineStr"/>
    </row>
    <row r="51" ht="30" customHeight="1">
      <c r="A51" s="8" t="n">
        <v>50</v>
      </c>
      <c r="B51" s="8" t="n">
        <v>4</v>
      </c>
      <c r="C51" s="8" t="inlineStr">
        <is>
          <t>Sprint 3</t>
        </is>
      </c>
      <c r="D51" s="8" t="inlineStr">
        <is>
          <t>Plataforma y arquitectura técnica</t>
        </is>
      </c>
      <c r="E51" s="8" t="inlineStr">
        <is>
          <t>Preparación de arquitectura y entornos</t>
        </is>
      </c>
      <c r="F51" s="9" t="inlineStr">
        <is>
          <t>Configuración de entorno backend (Java 21, Spring Boot)</t>
        </is>
      </c>
      <c r="G51" s="8" t="inlineStr">
        <is>
          <t>TAREA</t>
        </is>
      </c>
      <c r="H51" s="9" t="inlineStr"/>
      <c r="I51" s="9" t="inlineStr"/>
    </row>
    <row r="52" ht="30" customHeight="1">
      <c r="A52" s="8" t="n">
        <v>51</v>
      </c>
      <c r="B52" s="8" t="n">
        <v>4</v>
      </c>
      <c r="C52" s="8" t="inlineStr">
        <is>
          <t>Sprint 3</t>
        </is>
      </c>
      <c r="D52" s="8" t="inlineStr">
        <is>
          <t>Plataforma y arquitectura técnica</t>
        </is>
      </c>
      <c r="E52" s="8" t="inlineStr">
        <is>
          <t>Preparación de arquitectura y entornos</t>
        </is>
      </c>
      <c r="F52" s="9" t="inlineStr">
        <is>
          <t>Configuración de entorno frontend Angular</t>
        </is>
      </c>
      <c r="G52" s="8" t="inlineStr">
        <is>
          <t>TAREA</t>
        </is>
      </c>
      <c r="H52" s="9" t="inlineStr"/>
      <c r="I52" s="9" t="inlineStr"/>
    </row>
    <row r="53" ht="30" customHeight="1">
      <c r="A53" s="8" t="n">
        <v>52</v>
      </c>
      <c r="B53" s="8" t="n">
        <v>4</v>
      </c>
      <c r="C53" s="8" t="inlineStr">
        <is>
          <t>Sprint 3</t>
        </is>
      </c>
      <c r="D53" s="8" t="inlineStr">
        <is>
          <t>Plataforma y arquitectura técnica</t>
        </is>
      </c>
      <c r="E53" s="8" t="inlineStr">
        <is>
          <t>Preparación de arquitectura y entornos</t>
        </is>
      </c>
      <c r="F53" s="9" t="inlineStr">
        <is>
          <t>Configuración de entorno móvil Flutter</t>
        </is>
      </c>
      <c r="G53" s="8" t="inlineStr">
        <is>
          <t>TAREA</t>
        </is>
      </c>
      <c r="H53" s="9" t="inlineStr"/>
      <c r="I53" s="9" t="inlineStr"/>
    </row>
    <row r="54" ht="30" customHeight="1">
      <c r="A54" s="8" t="n">
        <v>53</v>
      </c>
      <c r="B54" s="8" t="n">
        <v>4</v>
      </c>
      <c r="C54" s="8" t="inlineStr">
        <is>
          <t>Sprint 3</t>
        </is>
      </c>
      <c r="D54" s="8" t="inlineStr">
        <is>
          <t>Plataforma y arquitectura técnica</t>
        </is>
      </c>
      <c r="E54" s="8" t="inlineStr">
        <is>
          <t>Preparación de arquitectura y entornos</t>
        </is>
      </c>
      <c r="F54" s="9" t="inlineStr">
        <is>
          <t>Configuración de seguridad (Spring Security + JWT)</t>
        </is>
      </c>
      <c r="G54" s="8" t="inlineStr">
        <is>
          <t>TAREA</t>
        </is>
      </c>
      <c r="H54" s="9" t="inlineStr"/>
      <c r="I54" s="9" t="inlineStr"/>
    </row>
    <row r="55" ht="30" customHeight="1">
      <c r="A55" s="8" t="n">
        <v>54</v>
      </c>
      <c r="B55" s="8" t="n">
        <v>4</v>
      </c>
      <c r="C55" s="8" t="inlineStr">
        <is>
          <t>Sprint 3</t>
        </is>
      </c>
      <c r="D55" s="8" t="inlineStr">
        <is>
          <t>Plataforma y arquitectura técnica</t>
        </is>
      </c>
      <c r="E55" s="8" t="inlineStr">
        <is>
          <t>Preparación de arquitectura y entornos</t>
        </is>
      </c>
      <c r="F55" s="9" t="inlineStr">
        <is>
          <t>Configuración de integración continua (CI) básica</t>
        </is>
      </c>
      <c r="G55" s="8" t="inlineStr">
        <is>
          <t>TAREA</t>
        </is>
      </c>
      <c r="H55" s="9" t="inlineStr"/>
      <c r="I55" s="9" t="inlineStr"/>
    </row>
    <row r="56" ht="30" customHeight="1">
      <c r="A56" s="4" t="n">
        <v>55</v>
      </c>
      <c r="B56" s="4" t="n">
        <v>2</v>
      </c>
      <c r="C56" s="4" t="inlineStr">
        <is>
          <t>Sprint 3</t>
        </is>
      </c>
      <c r="D56" s="4" t="inlineStr">
        <is>
          <t>Autenticación y usuarios</t>
        </is>
      </c>
      <c r="E56" s="4" t="inlineStr"/>
      <c r="F56" s="5" t="inlineStr">
        <is>
          <t>Autenticación y usuarios</t>
        </is>
      </c>
      <c r="G56" s="4" t="inlineStr">
        <is>
          <t>ÉPICA</t>
        </is>
      </c>
      <c r="H56" s="5" t="inlineStr"/>
      <c r="I56" s="5" t="inlineStr"/>
    </row>
    <row r="57" ht="30" customHeight="1">
      <c r="A57" s="6" t="n">
        <v>56</v>
      </c>
      <c r="B57" s="6" t="n">
        <v>3</v>
      </c>
      <c r="C57" s="6" t="inlineStr">
        <is>
          <t>Sprint 3</t>
        </is>
      </c>
      <c r="D57" s="6" t="inlineStr">
        <is>
          <t>Autenticación y usuarios</t>
        </is>
      </c>
      <c r="E57" s="6" t="inlineStr">
        <is>
          <t>Autenticación e inicio de sesión</t>
        </is>
      </c>
      <c r="F57" s="7" t="inlineStr">
        <is>
          <t>Grupo: Autenticación e inicio de sesión</t>
        </is>
      </c>
      <c r="G57" s="6" t="inlineStr">
        <is>
          <t>GRUPO (agrupador)</t>
        </is>
      </c>
      <c r="H57" s="7" t="inlineStr"/>
      <c r="I57" s="7" t="inlineStr"/>
    </row>
    <row r="58" ht="30" customHeight="1">
      <c r="A58" s="11" t="n">
        <v>57</v>
      </c>
      <c r="B58" s="11" t="n">
        <v>4</v>
      </c>
      <c r="C58" s="11" t="inlineStr">
        <is>
          <t>Sprint 3</t>
        </is>
      </c>
      <c r="D58" s="11" t="inlineStr">
        <is>
          <t>Autenticación y usuarios</t>
        </is>
      </c>
      <c r="E58" s="11" t="inlineStr">
        <is>
          <t>Autenticación e inicio de sesión</t>
        </is>
      </c>
      <c r="F58" s="12" t="inlineStr">
        <is>
          <t>Desarrollo Web: Pantalla de Login (Angular)</t>
        </is>
      </c>
      <c r="G58" s="11" t="inlineStr">
        <is>
          <t>HISTORIA</t>
        </is>
      </c>
      <c r="H58" s="12" t="inlineStr">
        <is>
          <t>Como usuario del sistema, quiero iniciar sesión con mi correo y contraseña para acceder a mi cuenta de forma segura.</t>
        </is>
      </c>
      <c r="I58" s="13" t="inlineStr">
        <is>
          <t>MOVIDO: estaba en 'Plataforma y arquitectura técnica' — es la épica que corregiste, ya existe 'Autenticación y usuarios' en el mismo sprint.</t>
        </is>
      </c>
    </row>
    <row r="59" ht="30" customHeight="1">
      <c r="A59" s="11" t="n">
        <v>58</v>
      </c>
      <c r="B59" s="11" t="n">
        <v>4</v>
      </c>
      <c r="C59" s="11" t="inlineStr">
        <is>
          <t>Sprint 3</t>
        </is>
      </c>
      <c r="D59" s="11" t="inlineStr">
        <is>
          <t>Autenticación y usuarios</t>
        </is>
      </c>
      <c r="E59" s="11" t="inlineStr">
        <is>
          <t>Autenticación e inicio de sesión</t>
        </is>
      </c>
      <c r="F59" s="12" t="inlineStr">
        <is>
          <t>Desarrollo Móvil: Pantalla de Login (Flutter)</t>
        </is>
      </c>
      <c r="G59" s="11" t="inlineStr">
        <is>
          <t>HISTORIA</t>
        </is>
      </c>
      <c r="H59" s="12" t="inlineStr">
        <is>
          <t>Como usuario del sistema, quiero iniciar sesión desde mi dispositivo móvil para acceder a mi cuenta de forma segura.</t>
        </is>
      </c>
      <c r="I59" s="13" t="inlineStr">
        <is>
          <t>MOVIDO: mismo caso que el login web.</t>
        </is>
      </c>
    </row>
    <row r="60" ht="30" customHeight="1">
      <c r="A60" s="11" t="n">
        <v>59</v>
      </c>
      <c r="B60" s="11" t="n">
        <v>4</v>
      </c>
      <c r="C60" s="11" t="inlineStr">
        <is>
          <t>Sprint 3</t>
        </is>
      </c>
      <c r="D60" s="11" t="inlineStr">
        <is>
          <t>Autenticación y usuarios</t>
        </is>
      </c>
      <c r="E60" s="11" t="inlineStr">
        <is>
          <t>Autenticación e inicio de sesión</t>
        </is>
      </c>
      <c r="F60" s="12" t="inlineStr">
        <is>
          <t>Desarrollo Backend: Módulo de Autenticación (login, roles, JWT)</t>
        </is>
      </c>
      <c r="G60" s="11" t="inlineStr">
        <is>
          <t>HISTORIA</t>
        </is>
      </c>
      <c r="H60" s="12" t="inlineStr">
        <is>
          <t>Como usuario del sistema, quiero que mi sesión se mantenga activa para no tener que escribir mis credenciales cada vez que uso la aplicación.</t>
        </is>
      </c>
      <c r="I60" s="12" t="inlineStr"/>
    </row>
    <row r="61" ht="30" customHeight="1">
      <c r="A61" s="8" t="n">
        <v>60</v>
      </c>
      <c r="B61" s="8" t="n">
        <v>4</v>
      </c>
      <c r="C61" s="8" t="inlineStr">
        <is>
          <t>Sprint 3</t>
        </is>
      </c>
      <c r="D61" s="8" t="inlineStr">
        <is>
          <t>Autenticación y usuarios</t>
        </is>
      </c>
      <c r="E61" s="8" t="inlineStr">
        <is>
          <t>Autenticación e inicio de sesión</t>
        </is>
      </c>
      <c r="F61" s="9" t="inlineStr">
        <is>
          <t>Pruebas de integración del módulo de autenticación</t>
        </is>
      </c>
      <c r="G61" s="8" t="inlineStr">
        <is>
          <t>TAREA</t>
        </is>
      </c>
      <c r="H61" s="9" t="inlineStr"/>
      <c r="I61" s="9" t="inlineStr"/>
    </row>
    <row r="62" ht="30" customHeight="1">
      <c r="A62" s="2" t="n">
        <v>61</v>
      </c>
      <c r="B62" s="2" t="n">
        <v>1</v>
      </c>
      <c r="C62" s="2" t="inlineStr">
        <is>
          <t>Sprint 4</t>
        </is>
      </c>
      <c r="D62" s="2" t="inlineStr"/>
      <c r="E62" s="2" t="inlineStr"/>
      <c r="F62" s="3">
        <f>== Sprint 4 ===</f>
        <v/>
      </c>
      <c r="G62" s="2" t="inlineStr">
        <is>
          <t>SPRINT</t>
        </is>
      </c>
      <c r="H62" s="3" t="inlineStr"/>
      <c r="I62" s="3" t="inlineStr"/>
    </row>
    <row r="63" ht="30" customHeight="1">
      <c r="A63" s="4" t="n">
        <v>62</v>
      </c>
      <c r="B63" s="4" t="n">
        <v>2</v>
      </c>
      <c r="C63" s="4" t="inlineStr">
        <is>
          <t>Sprint 4</t>
        </is>
      </c>
      <c r="D63" s="4" t="inlineStr">
        <is>
          <t>Gestión y definición del producto</t>
        </is>
      </c>
      <c r="E63" s="4" t="inlineStr"/>
      <c r="F63" s="5" t="inlineStr">
        <is>
          <t>Gestión y definición del producto</t>
        </is>
      </c>
      <c r="G63" s="4" t="inlineStr">
        <is>
          <t>ÉPICA</t>
        </is>
      </c>
      <c r="H63" s="5" t="inlineStr"/>
      <c r="I63" s="5" t="inlineStr"/>
    </row>
    <row r="64" ht="30" customHeight="1">
      <c r="A64" s="6" t="n">
        <v>63</v>
      </c>
      <c r="B64" s="6" t="n">
        <v>3</v>
      </c>
      <c r="C64" s="6" t="inlineStr">
        <is>
          <t>Sprint 4</t>
        </is>
      </c>
      <c r="D64" s="6" t="inlineStr">
        <is>
          <t>Gestión y definición del producto</t>
        </is>
      </c>
      <c r="E64" s="6" t="inlineStr">
        <is>
          <t>Gestión del proyecto y requisitos</t>
        </is>
      </c>
      <c r="F64" s="7" t="inlineStr">
        <is>
          <t>Grupo: Gestión del proyecto y requisitos</t>
        </is>
      </c>
      <c r="G64" s="6" t="inlineStr">
        <is>
          <t>GRUPO (agrupador)</t>
        </is>
      </c>
      <c r="H64" s="7" t="inlineStr"/>
      <c r="I64" s="7" t="inlineStr"/>
    </row>
    <row r="65" ht="30" customHeight="1">
      <c r="A65" s="8" t="n">
        <v>64</v>
      </c>
      <c r="B65" s="8" t="n">
        <v>4</v>
      </c>
      <c r="C65" s="8" t="inlineStr">
        <is>
          <t>Sprint 4</t>
        </is>
      </c>
      <c r="D65" s="8" t="inlineStr">
        <is>
          <t>Gestión y definición del producto</t>
        </is>
      </c>
      <c r="E65" s="8" t="inlineStr">
        <is>
          <t>Gestión del proyecto y requisitos</t>
        </is>
      </c>
      <c r="F65" s="9" t="inlineStr">
        <is>
          <t>Sprint Planning Sprint 4</t>
        </is>
      </c>
      <c r="G65" s="8" t="inlineStr">
        <is>
          <t>TAREA</t>
        </is>
      </c>
      <c r="H65" s="9" t="inlineStr"/>
      <c r="I65" s="9" t="inlineStr"/>
    </row>
    <row r="66" ht="30" customHeight="1">
      <c r="A66" s="8" t="n">
        <v>65</v>
      </c>
      <c r="B66" s="8" t="n">
        <v>4</v>
      </c>
      <c r="C66" s="8" t="inlineStr">
        <is>
          <t>Sprint 4</t>
        </is>
      </c>
      <c r="D66" s="8" t="inlineStr">
        <is>
          <t>Gestión y definición del producto</t>
        </is>
      </c>
      <c r="E66" s="8" t="inlineStr">
        <is>
          <t>Gestión del proyecto y requisitos</t>
        </is>
      </c>
      <c r="F66" s="9" t="inlineStr">
        <is>
          <t>Sprint Review + Retrospectiva Sprint 4</t>
        </is>
      </c>
      <c r="G66" s="8" t="inlineStr">
        <is>
          <t>TAREA</t>
        </is>
      </c>
      <c r="H66" s="9" t="inlineStr"/>
      <c r="I66" s="9" t="inlineStr"/>
    </row>
    <row r="67" ht="30" customHeight="1">
      <c r="A67" s="4" t="n">
        <v>66</v>
      </c>
      <c r="B67" s="4" t="n">
        <v>2</v>
      </c>
      <c r="C67" s="4" t="inlineStr">
        <is>
          <t>Sprint 4</t>
        </is>
      </c>
      <c r="D67" s="4" t="inlineStr">
        <is>
          <t>Gestión operativa</t>
        </is>
      </c>
      <c r="E67" s="4" t="inlineStr"/>
      <c r="F67" s="5" t="inlineStr">
        <is>
          <t>Gestión operativa</t>
        </is>
      </c>
      <c r="G67" s="4" t="inlineStr">
        <is>
          <t>ÉPICA</t>
        </is>
      </c>
      <c r="H67" s="5" t="inlineStr"/>
      <c r="I67" s="5" t="inlineStr"/>
    </row>
    <row r="68" ht="30" customHeight="1">
      <c r="A68" s="6" t="n">
        <v>67</v>
      </c>
      <c r="B68" s="6" t="n">
        <v>3</v>
      </c>
      <c r="C68" s="6" t="inlineStr">
        <is>
          <t>Sprint 4</t>
        </is>
      </c>
      <c r="D68" s="6" t="inlineStr">
        <is>
          <t>Gestión operativa</t>
        </is>
      </c>
      <c r="E68" s="6" t="inlineStr">
        <is>
          <t>Gestión de productores, acopiadores, rutas y centros</t>
        </is>
      </c>
      <c r="F68" s="7" t="inlineStr">
        <is>
          <t>Grupo: Gestión de productores, acopiadores, rutas y centros</t>
        </is>
      </c>
      <c r="G68" s="6" t="inlineStr">
        <is>
          <t>GRUPO (agrupador)</t>
        </is>
      </c>
      <c r="H68" s="7" t="inlineStr"/>
      <c r="I68" s="7" t="inlineStr"/>
    </row>
    <row r="69" ht="30" customHeight="1">
      <c r="A69" s="11" t="n">
        <v>68</v>
      </c>
      <c r="B69" s="11" t="n">
        <v>4</v>
      </c>
      <c r="C69" s="11" t="inlineStr">
        <is>
          <t>Sprint 4</t>
        </is>
      </c>
      <c r="D69" s="11" t="inlineStr">
        <is>
          <t>Gestión operativa</t>
        </is>
      </c>
      <c r="E69" s="11" t="inlineStr">
        <is>
          <t>Gestión de productores, acopiadores, rutas y centros</t>
        </is>
      </c>
      <c r="F69" s="12" t="inlineStr">
        <is>
          <t>Backend: CRUD de Productores (API REST)</t>
        </is>
      </c>
      <c r="G69" s="11" t="inlineStr">
        <is>
          <t>HISTORIA</t>
        </is>
      </c>
      <c r="H69" s="12" t="inlineStr">
        <is>
          <t>Como administrador, quiero registrar, listar, editar y eliminar productores de leche para mantener actualizada la base de datos de proveedores.</t>
        </is>
      </c>
      <c r="I69" s="12" t="inlineStr"/>
    </row>
    <row r="70" ht="30" customHeight="1">
      <c r="A70" s="11" t="n">
        <v>69</v>
      </c>
      <c r="B70" s="11" t="n">
        <v>4</v>
      </c>
      <c r="C70" s="11" t="inlineStr">
        <is>
          <t>Sprint 4</t>
        </is>
      </c>
      <c r="D70" s="11" t="inlineStr">
        <is>
          <t>Gestión operativa</t>
        </is>
      </c>
      <c r="E70" s="11" t="inlineStr">
        <is>
          <t>Gestión de productores, acopiadores, rutas y centros</t>
        </is>
      </c>
      <c r="F70" s="12" t="inlineStr">
        <is>
          <t>Backend: CRUD de Acopiadores y Rutas</t>
        </is>
      </c>
      <c r="G70" s="11" t="inlineStr">
        <is>
          <t>HISTORIA</t>
        </is>
      </c>
      <c r="H70" s="12" t="inlineStr">
        <is>
          <t>Como administrador, quiero registrar, listar, editar y eliminar acopiadores para gestionar el personal que recolecta la leche en campo.</t>
        </is>
      </c>
      <c r="I70" s="12" t="inlineStr"/>
    </row>
    <row r="71" ht="30" customHeight="1">
      <c r="A71" s="11" t="n">
        <v>70</v>
      </c>
      <c r="B71" s="11" t="n">
        <v>4</v>
      </c>
      <c r="C71" s="11" t="inlineStr">
        <is>
          <t>Sprint 4</t>
        </is>
      </c>
      <c r="D71" s="11" t="inlineStr">
        <is>
          <t>Gestión operativa</t>
        </is>
      </c>
      <c r="E71" s="11" t="inlineStr">
        <is>
          <t>Gestión de productores, acopiadores, rutas y centros</t>
        </is>
      </c>
      <c r="F71" s="12" t="inlineStr">
        <is>
          <t>Backend: CRUD de Centros de Acopio</t>
        </is>
      </c>
      <c r="G71" s="11" t="inlineStr">
        <is>
          <t>HISTORIA</t>
        </is>
      </c>
      <c r="H71" s="12" t="inlineStr">
        <is>
          <t>Como administrador, quiero registrar, listar, editar y eliminar centros de acopio para tener control de los puntos de recepción de leche.</t>
        </is>
      </c>
      <c r="I71" s="12" t="inlineStr"/>
    </row>
    <row r="72" ht="30" customHeight="1">
      <c r="A72" s="11" t="n">
        <v>71</v>
      </c>
      <c r="B72" s="11" t="n">
        <v>4</v>
      </c>
      <c r="C72" s="11" t="inlineStr">
        <is>
          <t>Sprint 4</t>
        </is>
      </c>
      <c r="D72" s="11" t="inlineStr">
        <is>
          <t>Gestión operativa</t>
        </is>
      </c>
      <c r="E72" s="11" t="inlineStr">
        <is>
          <t>Gestión de productores, acopiadores, rutas y centros</t>
        </is>
      </c>
      <c r="F72" s="12" t="inlineStr">
        <is>
          <t>Web: Módulo de gestión de Productores</t>
        </is>
      </c>
      <c r="G72" s="11" t="inlineStr">
        <is>
          <t>HISTORIA</t>
        </is>
      </c>
      <c r="H72" s="12" t="inlineStr">
        <is>
          <t>Como administrador, quiero gestionar los productores desde la web para mantener actualizada la base de datos de proveedores.</t>
        </is>
      </c>
      <c r="I72" s="12" t="inlineStr"/>
    </row>
    <row r="73" ht="30" customHeight="1">
      <c r="A73" s="11" t="n">
        <v>72</v>
      </c>
      <c r="B73" s="11" t="n">
        <v>4</v>
      </c>
      <c r="C73" s="11" t="inlineStr">
        <is>
          <t>Sprint 4</t>
        </is>
      </c>
      <c r="D73" s="11" t="inlineStr">
        <is>
          <t>Gestión operativa</t>
        </is>
      </c>
      <c r="E73" s="11" t="inlineStr">
        <is>
          <t>Gestión de productores, acopiadores, rutas y centros</t>
        </is>
      </c>
      <c r="F73" s="12" t="inlineStr">
        <is>
          <t>Web: Módulo de gestión de Rutas y Centros de Acopio</t>
        </is>
      </c>
      <c r="G73" s="11" t="inlineStr">
        <is>
          <t>HISTORIA</t>
        </is>
      </c>
      <c r="H73" s="12" t="inlineStr">
        <is>
          <t>Como administrador, quiero gestionar las rutas y centros de acopio desde la web para organizar la logística de recolección.</t>
        </is>
      </c>
      <c r="I73" s="12" t="inlineStr"/>
    </row>
    <row r="74" ht="30" customHeight="1">
      <c r="A74" s="11" t="n">
        <v>73</v>
      </c>
      <c r="B74" s="11" t="n">
        <v>4</v>
      </c>
      <c r="C74" s="11" t="inlineStr">
        <is>
          <t>Sprint 4</t>
        </is>
      </c>
      <c r="D74" s="11" t="inlineStr">
        <is>
          <t>Gestión operativa</t>
        </is>
      </c>
      <c r="E74" s="11" t="inlineStr">
        <is>
          <t>Gestión de productores, acopiadores, rutas y centros</t>
        </is>
      </c>
      <c r="F74" s="12" t="inlineStr">
        <is>
          <t>Móvil: Módulo de consulta de productores asignados</t>
        </is>
      </c>
      <c r="G74" s="11" t="inlineStr">
        <is>
          <t>HISTORIA</t>
        </is>
      </c>
      <c r="H74" s="12" t="inlineStr">
        <is>
          <t>Como acopiador, quiero consultar los productores que tengo asignados en mi ruta para saber a quiénes debo visitar durante el día.</t>
        </is>
      </c>
      <c r="I74" s="12" t="inlineStr"/>
    </row>
    <row r="75" ht="30" customHeight="1">
      <c r="A75" s="11" t="n">
        <v>74</v>
      </c>
      <c r="B75" s="11" t="n">
        <v>4</v>
      </c>
      <c r="C75" s="11" t="inlineStr">
        <is>
          <t>Sprint 4</t>
        </is>
      </c>
      <c r="D75" s="11" t="inlineStr">
        <is>
          <t>Gestión operativa</t>
        </is>
      </c>
      <c r="E75" s="11" t="inlineStr">
        <is>
          <t>Gestión de productores, acopiadores, rutas y centros</t>
        </is>
      </c>
      <c r="F75" s="12" t="inlineStr">
        <is>
          <t>Móvil: Módulo de gestión de ruta del día</t>
        </is>
      </c>
      <c r="G75" s="11" t="inlineStr">
        <is>
          <t>HISTORIA</t>
        </is>
      </c>
      <c r="H75" s="12" t="inlineStr">
        <is>
          <t>Como acopiador, quiero ver mi ruta del día con los productores y centros de acopio asignados para organizar mi recorrido de forma eficiente.</t>
        </is>
      </c>
      <c r="I75" s="12" t="inlineStr"/>
    </row>
    <row r="76" ht="30" customHeight="1">
      <c r="A76" s="8" t="n">
        <v>75</v>
      </c>
      <c r="B76" s="8" t="n">
        <v>4</v>
      </c>
      <c r="C76" s="8" t="inlineStr">
        <is>
          <t>Sprint 4</t>
        </is>
      </c>
      <c r="D76" s="8" t="inlineStr">
        <is>
          <t>Gestión operativa</t>
        </is>
      </c>
      <c r="E76" s="8" t="inlineStr">
        <is>
          <t>Gestión de productores, acopiadores, rutas y centros</t>
        </is>
      </c>
      <c r="F76" s="9" t="inlineStr">
        <is>
          <t>Pruebas unitarias backend (JUnit)</t>
        </is>
      </c>
      <c r="G76" s="8" t="inlineStr">
        <is>
          <t>TAREA</t>
        </is>
      </c>
      <c r="H76" s="9" t="inlineStr"/>
      <c r="I76" s="9" t="inlineStr"/>
    </row>
    <row r="77" ht="30" customHeight="1">
      <c r="A77" s="8" t="n">
        <v>76</v>
      </c>
      <c r="B77" s="8" t="n">
        <v>4</v>
      </c>
      <c r="C77" s="8" t="inlineStr">
        <is>
          <t>Sprint 4</t>
        </is>
      </c>
      <c r="D77" s="8" t="inlineStr">
        <is>
          <t>Gestión operativa</t>
        </is>
      </c>
      <c r="E77" s="8" t="inlineStr">
        <is>
          <t>Gestión de productores, acopiadores, rutas y centros</t>
        </is>
      </c>
      <c r="F77" s="9" t="inlineStr">
        <is>
          <t>Pruebas funcionales módulo Productores (Web y Móvil)</t>
        </is>
      </c>
      <c r="G77" s="8" t="inlineStr">
        <is>
          <t>TAREA</t>
        </is>
      </c>
      <c r="H77" s="9" t="inlineStr"/>
      <c r="I77" s="9" t="inlineStr"/>
    </row>
    <row r="78" ht="30" customHeight="1">
      <c r="A78" s="4" t="n">
        <v>77</v>
      </c>
      <c r="B78" s="4" t="n">
        <v>2</v>
      </c>
      <c r="C78" s="4" t="inlineStr">
        <is>
          <t>Sprint 4</t>
        </is>
      </c>
      <c r="D78" s="4" t="inlineStr">
        <is>
          <t>Documentación</t>
        </is>
      </c>
      <c r="E78" s="4" t="inlineStr"/>
      <c r="F78" s="5" t="inlineStr">
        <is>
          <t>Documentación</t>
        </is>
      </c>
      <c r="G78" s="4" t="inlineStr">
        <is>
          <t>ÉPICA</t>
        </is>
      </c>
      <c r="H78" s="5" t="inlineStr"/>
      <c r="I78" s="5" t="inlineStr"/>
    </row>
    <row r="79" ht="30" customHeight="1">
      <c r="A79" s="6" t="n">
        <v>78</v>
      </c>
      <c r="B79" s="6" t="n">
        <v>3</v>
      </c>
      <c r="C79" s="6" t="inlineStr">
        <is>
          <t>Sprint 4</t>
        </is>
      </c>
      <c r="D79" s="6" t="inlineStr">
        <is>
          <t>Documentación</t>
        </is>
      </c>
      <c r="E79" s="6" t="inlineStr">
        <is>
          <t>Documentación técnica y de usuario</t>
        </is>
      </c>
      <c r="F79" s="7" t="inlineStr">
        <is>
          <t>Grupo: Documentación técnica y de usuario</t>
        </is>
      </c>
      <c r="G79" s="6" t="inlineStr">
        <is>
          <t>GRUPO (agrupador)</t>
        </is>
      </c>
      <c r="H79" s="7" t="inlineStr"/>
      <c r="I79" s="7" t="inlineStr"/>
    </row>
    <row r="80" ht="30" customHeight="1">
      <c r="A80" s="8" t="n">
        <v>79</v>
      </c>
      <c r="B80" s="8" t="n">
        <v>4</v>
      </c>
      <c r="C80" s="8" t="inlineStr">
        <is>
          <t>Sprint 4</t>
        </is>
      </c>
      <c r="D80" s="8" t="inlineStr">
        <is>
          <t>Documentación</t>
        </is>
      </c>
      <c r="E80" s="8" t="inlineStr">
        <is>
          <t>Documentación técnica y de usuario</t>
        </is>
      </c>
      <c r="F80" s="9" t="inlineStr">
        <is>
          <t>Documentación técnica de API (Swagger / OpenAPI)</t>
        </is>
      </c>
      <c r="G80" s="8" t="inlineStr">
        <is>
          <t>TAREA</t>
        </is>
      </c>
      <c r="H80" s="9" t="inlineStr"/>
      <c r="I80" s="9" t="inlineStr"/>
    </row>
    <row r="81" ht="30" customHeight="1">
      <c r="A81" s="2" t="n">
        <v>80</v>
      </c>
      <c r="B81" s="2" t="n">
        <v>1</v>
      </c>
      <c r="C81" s="2" t="inlineStr">
        <is>
          <t>Sprint 5</t>
        </is>
      </c>
      <c r="D81" s="2" t="inlineStr"/>
      <c r="E81" s="2" t="inlineStr"/>
      <c r="F81" s="3">
        <f>== Sprint 5 ===</f>
        <v/>
      </c>
      <c r="G81" s="2" t="inlineStr">
        <is>
          <t>SPRINT</t>
        </is>
      </c>
      <c r="H81" s="3" t="inlineStr"/>
      <c r="I81" s="3" t="inlineStr"/>
    </row>
    <row r="82" ht="30" customHeight="1">
      <c r="A82" s="4" t="n">
        <v>81</v>
      </c>
      <c r="B82" s="4" t="n">
        <v>2</v>
      </c>
      <c r="C82" s="4" t="inlineStr">
        <is>
          <t>Sprint 5</t>
        </is>
      </c>
      <c r="D82" s="4" t="inlineStr">
        <is>
          <t>Gestión y definición del producto</t>
        </is>
      </c>
      <c r="E82" s="4" t="inlineStr"/>
      <c r="F82" s="5" t="inlineStr">
        <is>
          <t>Gestión y definición del producto</t>
        </is>
      </c>
      <c r="G82" s="4" t="inlineStr">
        <is>
          <t>ÉPICA</t>
        </is>
      </c>
      <c r="H82" s="5" t="inlineStr"/>
      <c r="I82" s="5" t="inlineStr"/>
    </row>
    <row r="83" ht="30" customHeight="1">
      <c r="A83" s="6" t="n">
        <v>82</v>
      </c>
      <c r="B83" s="6" t="n">
        <v>3</v>
      </c>
      <c r="C83" s="6" t="inlineStr">
        <is>
          <t>Sprint 5</t>
        </is>
      </c>
      <c r="D83" s="6" t="inlineStr">
        <is>
          <t>Gestión y definición del producto</t>
        </is>
      </c>
      <c r="E83" s="6" t="inlineStr">
        <is>
          <t>Gestión del proyecto y requisitos</t>
        </is>
      </c>
      <c r="F83" s="7" t="inlineStr">
        <is>
          <t>Grupo: Gestión del proyecto y requisitos</t>
        </is>
      </c>
      <c r="G83" s="6" t="inlineStr">
        <is>
          <t>GRUPO (agrupador)</t>
        </is>
      </c>
      <c r="H83" s="7" t="inlineStr"/>
      <c r="I83" s="7" t="inlineStr"/>
    </row>
    <row r="84" ht="30" customHeight="1">
      <c r="A84" s="8" t="n">
        <v>83</v>
      </c>
      <c r="B84" s="8" t="n">
        <v>4</v>
      </c>
      <c r="C84" s="8" t="inlineStr">
        <is>
          <t>Sprint 5</t>
        </is>
      </c>
      <c r="D84" s="8" t="inlineStr">
        <is>
          <t>Gestión y definición del producto</t>
        </is>
      </c>
      <c r="E84" s="8" t="inlineStr">
        <is>
          <t>Gestión del proyecto y requisitos</t>
        </is>
      </c>
      <c r="F84" s="9" t="inlineStr">
        <is>
          <t>Sprint Planning Sprint 5</t>
        </is>
      </c>
      <c r="G84" s="8" t="inlineStr">
        <is>
          <t>TAREA</t>
        </is>
      </c>
      <c r="H84" s="9" t="inlineStr"/>
      <c r="I84" s="9" t="inlineStr"/>
    </row>
    <row r="85" ht="30" customHeight="1">
      <c r="A85" s="8" t="n">
        <v>84</v>
      </c>
      <c r="B85" s="8" t="n">
        <v>4</v>
      </c>
      <c r="C85" s="8" t="inlineStr">
        <is>
          <t>Sprint 5</t>
        </is>
      </c>
      <c r="D85" s="8" t="inlineStr">
        <is>
          <t>Gestión y definición del producto</t>
        </is>
      </c>
      <c r="E85" s="8" t="inlineStr">
        <is>
          <t>Gestión del proyecto y requisitos</t>
        </is>
      </c>
      <c r="F85" s="9" t="inlineStr">
        <is>
          <t>Sprint Review + Retrospectiva Sprint 5</t>
        </is>
      </c>
      <c r="G85" s="8" t="inlineStr">
        <is>
          <t>TAREA</t>
        </is>
      </c>
      <c r="H85" s="9" t="inlineStr"/>
      <c r="I85" s="9" t="inlineStr"/>
    </row>
    <row r="86" ht="30" customHeight="1">
      <c r="A86" s="4" t="n">
        <v>85</v>
      </c>
      <c r="B86" s="4" t="n">
        <v>2</v>
      </c>
      <c r="C86" s="4" t="inlineStr">
        <is>
          <t>Sprint 5</t>
        </is>
      </c>
      <c r="D86" s="4" t="inlineStr">
        <is>
          <t>Recolección y liquidación de leche</t>
        </is>
      </c>
      <c r="E86" s="4" t="inlineStr"/>
      <c r="F86" s="5" t="inlineStr">
        <is>
          <t>Recolección y liquidación de leche</t>
        </is>
      </c>
      <c r="G86" s="4" t="inlineStr">
        <is>
          <t>ÉPICA</t>
        </is>
      </c>
      <c r="H86" s="5" t="inlineStr"/>
      <c r="I86" s="5" t="inlineStr"/>
    </row>
    <row r="87" ht="30" customHeight="1">
      <c r="A87" s="6" t="n">
        <v>86</v>
      </c>
      <c r="B87" s="6" t="n">
        <v>3</v>
      </c>
      <c r="C87" s="6" t="inlineStr">
        <is>
          <t>Sprint 5</t>
        </is>
      </c>
      <c r="D87" s="6" t="inlineStr">
        <is>
          <t>Recolección y liquidación de leche</t>
        </is>
      </c>
      <c r="E87" s="6" t="inlineStr">
        <is>
          <t>Registro de recojos, calidad y liquidaciones</t>
        </is>
      </c>
      <c r="F87" s="7" t="inlineStr">
        <is>
          <t>Grupo: Registro de recojos, calidad y liquidaciones</t>
        </is>
      </c>
      <c r="G87" s="6" t="inlineStr">
        <is>
          <t>GRUPO (agrupador)</t>
        </is>
      </c>
      <c r="H87" s="7" t="inlineStr"/>
      <c r="I87" s="7" t="inlineStr"/>
    </row>
    <row r="88" ht="30" customHeight="1">
      <c r="A88" s="11" t="n">
        <v>87</v>
      </c>
      <c r="B88" s="11" t="n">
        <v>4</v>
      </c>
      <c r="C88" s="11" t="inlineStr">
        <is>
          <t>Sprint 5</t>
        </is>
      </c>
      <c r="D88" s="11" t="inlineStr">
        <is>
          <t>Recolección y liquidación de leche</t>
        </is>
      </c>
      <c r="E88" s="11" t="inlineStr">
        <is>
          <t>Registro de recojos, calidad y liquidaciones</t>
        </is>
      </c>
      <c r="F88" s="12" t="inlineStr">
        <is>
          <t>Backend: API de Registro de Recojo de Leche</t>
        </is>
      </c>
      <c r="G88" s="11" t="inlineStr">
        <is>
          <t>HISTORIA</t>
        </is>
      </c>
      <c r="H88" s="12" t="inlineStr">
        <is>
          <t>Como acopiador, quiero registrar la cantidad de leche recolectada de cada productor para llevar un control preciso de la producción diaria.</t>
        </is>
      </c>
      <c r="I88" s="13" t="inlineStr">
        <is>
          <t>MOVIDO: estaba en 'Gestión operativa'; es del módulo de recojo, no de productores/rutas.</t>
        </is>
      </c>
    </row>
    <row r="89" ht="30" customHeight="1">
      <c r="A89" s="11" t="n">
        <v>88</v>
      </c>
      <c r="B89" s="11" t="n">
        <v>4</v>
      </c>
      <c r="C89" s="11" t="inlineStr">
        <is>
          <t>Sprint 5</t>
        </is>
      </c>
      <c r="D89" s="11" t="inlineStr">
        <is>
          <t>Recolección y liquidación de leche</t>
        </is>
      </c>
      <c r="E89" s="11" t="inlineStr">
        <is>
          <t>Registro de recojos, calidad y liquidaciones</t>
        </is>
      </c>
      <c r="F89" s="12" t="inlineStr">
        <is>
          <t>Web: Módulo de consulta de liquidaciones</t>
        </is>
      </c>
      <c r="G89" s="11" t="inlineStr">
        <is>
          <t>HISTORIA</t>
        </is>
      </c>
      <c r="H89" s="12" t="inlineStr">
        <is>
          <t>Como administrador, quiero consultar las liquidaciones por productor y por fecha para revisar y validar los pagos realizados.</t>
        </is>
      </c>
      <c r="I89" s="13" t="inlineStr">
        <is>
          <t>MOVIDO: mismo caso, pertenece a recojo/liquidación.</t>
        </is>
      </c>
    </row>
    <row r="90" ht="30" customHeight="1">
      <c r="A90" s="11" t="n">
        <v>89</v>
      </c>
      <c r="B90" s="11" t="n">
        <v>4</v>
      </c>
      <c r="C90" s="11" t="inlineStr">
        <is>
          <t>Sprint 5</t>
        </is>
      </c>
      <c r="D90" s="11" t="inlineStr">
        <is>
          <t>Recolección y liquidación de leche</t>
        </is>
      </c>
      <c r="E90" s="11" t="inlineStr">
        <is>
          <t>Registro de recojos, calidad y liquidaciones</t>
        </is>
      </c>
      <c r="F90" s="12" t="inlineStr">
        <is>
          <t>Backend: Registro de parámetros de calidad</t>
        </is>
      </c>
      <c r="G90" s="11" t="inlineStr">
        <is>
          <t>HISTORIA</t>
        </is>
      </c>
      <c r="H90" s="12" t="inlineStr">
        <is>
          <t>Como acopiador, quiero registrar los parámetros de calidad de la leche (densidad, acidez, temperatura) para asegurar que cumple con los estándares requeridos.</t>
        </is>
      </c>
      <c r="I90" s="12" t="inlineStr"/>
    </row>
    <row r="91" ht="30" customHeight="1">
      <c r="A91" s="11" t="n">
        <v>90</v>
      </c>
      <c r="B91" s="11" t="n">
        <v>4</v>
      </c>
      <c r="C91" s="11" t="inlineStr">
        <is>
          <t>Sprint 5</t>
        </is>
      </c>
      <c r="D91" s="11" t="inlineStr">
        <is>
          <t>Recolección y liquidación de leche</t>
        </is>
      </c>
      <c r="E91" s="11" t="inlineStr">
        <is>
          <t>Registro de recojos, calidad y liquidaciones</t>
        </is>
      </c>
      <c r="F91" s="12" t="inlineStr">
        <is>
          <t>Backend: Cálculo de pago / liquidación</t>
        </is>
      </c>
      <c r="G91" s="11" t="inlineStr">
        <is>
          <t>HISTORIA</t>
        </is>
      </c>
      <c r="H91" s="12" t="inlineStr">
        <is>
          <t>Como acopiador, quiero que el sistema calcule automáticamente el pago del productor según los litros recolectados para liquidar de forma rápida y sin errores.</t>
        </is>
      </c>
      <c r="I91" s="12" t="inlineStr"/>
    </row>
    <row r="92" ht="30" customHeight="1">
      <c r="A92" s="11" t="n">
        <v>91</v>
      </c>
      <c r="B92" s="11" t="n">
        <v>4</v>
      </c>
      <c r="C92" s="11" t="inlineStr">
        <is>
          <t>Sprint 5</t>
        </is>
      </c>
      <c r="D92" s="11" t="inlineStr">
        <is>
          <t>Recolección y liquidación de leche</t>
        </is>
      </c>
      <c r="E92" s="11" t="inlineStr">
        <is>
          <t>Registro de recojos, calidad y liquidaciones</t>
        </is>
      </c>
      <c r="F92" s="12" t="inlineStr">
        <is>
          <t>Web: Módulo de registro y consulta de recojos</t>
        </is>
      </c>
      <c r="G92" s="11" t="inlineStr">
        <is>
          <t>HISTORIA</t>
        </is>
      </c>
      <c r="H92" s="12" t="inlineStr">
        <is>
          <t>Como administrador, quiero registrar y consultar los recojos de leche desde la web para llevar un control centralizado de la producción.</t>
        </is>
      </c>
      <c r="I92" s="12" t="inlineStr"/>
    </row>
    <row r="93" ht="30" customHeight="1">
      <c r="A93" s="11" t="n">
        <v>92</v>
      </c>
      <c r="B93" s="11" t="n">
        <v>4</v>
      </c>
      <c r="C93" s="11" t="inlineStr">
        <is>
          <t>Sprint 5</t>
        </is>
      </c>
      <c r="D93" s="11" t="inlineStr">
        <is>
          <t>Recolección y liquidación de leche</t>
        </is>
      </c>
      <c r="E93" s="11" t="inlineStr">
        <is>
          <t>Registro de recojos, calidad y liquidaciones</t>
        </is>
      </c>
      <c r="F93" s="12" t="inlineStr">
        <is>
          <t>Móvil: Pantalla de registro de recojo de leche (offline-first)</t>
        </is>
      </c>
      <c r="G93" s="11" t="inlineStr">
        <is>
          <t>HISTORIA</t>
        </is>
      </c>
      <c r="H93" s="12" t="inlineStr">
        <is>
          <t>Como acopiador, quiero registrar el recojo de leche aunque no tenga conexión a internet para seguir trabajando en zonas rurales sin cobertura.</t>
        </is>
      </c>
      <c r="I93" s="12" t="inlineStr"/>
    </row>
    <row r="94" ht="30" customHeight="1">
      <c r="A94" s="11" t="n">
        <v>93</v>
      </c>
      <c r="B94" s="11" t="n">
        <v>4</v>
      </c>
      <c r="C94" s="11" t="inlineStr">
        <is>
          <t>Sprint 5</t>
        </is>
      </c>
      <c r="D94" s="11" t="inlineStr">
        <is>
          <t>Recolección y liquidación de leche</t>
        </is>
      </c>
      <c r="E94" s="11" t="inlineStr">
        <is>
          <t>Registro de recojos, calidad y liquidaciones</t>
        </is>
      </c>
      <c r="F94" s="12" t="inlineStr">
        <is>
          <t>Móvil: Almacenamiento local (SQLite) y sincronización</t>
        </is>
      </c>
      <c r="G94" s="11" t="inlineStr">
        <is>
          <t>HISTORIA</t>
        </is>
      </c>
      <c r="H94" s="12" t="inlineStr">
        <is>
          <t>Como acopiador, quiero que los datos registrados sin conexión se sincronicen automáticamente cuando tenga internet para no perder información.</t>
        </is>
      </c>
      <c r="I94" s="12" t="inlineStr"/>
    </row>
    <row r="95" ht="30" customHeight="1">
      <c r="A95" s="11" t="n">
        <v>94</v>
      </c>
      <c r="B95" s="11" t="n">
        <v>4</v>
      </c>
      <c r="C95" s="11" t="inlineStr">
        <is>
          <t>Sprint 5</t>
        </is>
      </c>
      <c r="D95" s="11" t="inlineStr">
        <is>
          <t>Recolección y liquidación de leche</t>
        </is>
      </c>
      <c r="E95" s="11" t="inlineStr">
        <is>
          <t>Registro de recojos, calidad y liquidaciones</t>
        </is>
      </c>
      <c r="F95" s="12" t="inlineStr">
        <is>
          <t>Móvil: Captura de evidencia (firma digital / foto)</t>
        </is>
      </c>
      <c r="G95" s="11" t="inlineStr">
        <is>
          <t>HISTORIA</t>
        </is>
      </c>
      <c r="H95" s="12" t="inlineStr">
        <is>
          <t>Como acopiador, quiero tomar una foto o capturar la firma del productor como evidencia del recojo para tener un respaldo del registro.</t>
        </is>
      </c>
      <c r="I95" s="13" t="inlineStr">
        <is>
          <t>MOVIDO: estaba en 'Plataforma y arquitectura técnica'; no tiene relación con configuración de entornos.</t>
        </is>
      </c>
    </row>
    <row r="96" ht="30" customHeight="1">
      <c r="A96" s="8" t="n">
        <v>95</v>
      </c>
      <c r="B96" s="8" t="n">
        <v>4</v>
      </c>
      <c r="C96" s="8" t="inlineStr">
        <is>
          <t>Sprint 5</t>
        </is>
      </c>
      <c r="D96" s="8" t="inlineStr">
        <is>
          <t>Recolección y liquidación de leche</t>
        </is>
      </c>
      <c r="E96" s="8" t="inlineStr">
        <is>
          <t>Registro de recojos, calidad y liquidaciones</t>
        </is>
      </c>
      <c r="F96" s="9" t="inlineStr">
        <is>
          <t>Pruebas unitarias e integración del módulo de Recojo</t>
        </is>
      </c>
      <c r="G96" s="8" t="inlineStr">
        <is>
          <t>TAREA</t>
        </is>
      </c>
      <c r="H96" s="9" t="inlineStr"/>
      <c r="I96" s="9" t="inlineStr"/>
    </row>
    <row r="97" ht="30" customHeight="1">
      <c r="A97" s="2" t="n">
        <v>96</v>
      </c>
      <c r="B97" s="2" t="n">
        <v>1</v>
      </c>
      <c r="C97" s="2" t="inlineStr">
        <is>
          <t>Sprint 6</t>
        </is>
      </c>
      <c r="D97" s="2" t="inlineStr"/>
      <c r="E97" s="2" t="inlineStr"/>
      <c r="F97" s="3">
        <f>== Sprint 6 ===</f>
        <v/>
      </c>
      <c r="G97" s="2" t="inlineStr">
        <is>
          <t>SPRINT</t>
        </is>
      </c>
      <c r="H97" s="3" t="inlineStr"/>
      <c r="I97" s="3" t="inlineStr"/>
    </row>
    <row r="98" ht="30" customHeight="1">
      <c r="A98" s="4" t="n">
        <v>97</v>
      </c>
      <c r="B98" s="4" t="n">
        <v>2</v>
      </c>
      <c r="C98" s="4" t="inlineStr">
        <is>
          <t>Sprint 6</t>
        </is>
      </c>
      <c r="D98" s="4" t="inlineStr">
        <is>
          <t>Gestión y definición del producto</t>
        </is>
      </c>
      <c r="E98" s="4" t="inlineStr"/>
      <c r="F98" s="5" t="inlineStr">
        <is>
          <t>Gestión y definición del producto</t>
        </is>
      </c>
      <c r="G98" s="4" t="inlineStr">
        <is>
          <t>ÉPICA</t>
        </is>
      </c>
      <c r="H98" s="5" t="inlineStr"/>
      <c r="I98" s="5" t="inlineStr"/>
    </row>
    <row r="99" ht="30" customHeight="1">
      <c r="A99" s="6" t="n">
        <v>98</v>
      </c>
      <c r="B99" s="6" t="n">
        <v>3</v>
      </c>
      <c r="C99" s="6" t="inlineStr">
        <is>
          <t>Sprint 6</t>
        </is>
      </c>
      <c r="D99" s="6" t="inlineStr">
        <is>
          <t>Gestión y definición del producto</t>
        </is>
      </c>
      <c r="E99" s="6" t="inlineStr">
        <is>
          <t>Gestión del proyecto y requisitos</t>
        </is>
      </c>
      <c r="F99" s="7" t="inlineStr">
        <is>
          <t>Grupo: Gestión del proyecto y requisitos</t>
        </is>
      </c>
      <c r="G99" s="6" t="inlineStr">
        <is>
          <t>GRUPO (agrupador)</t>
        </is>
      </c>
      <c r="H99" s="7" t="inlineStr"/>
      <c r="I99" s="7" t="inlineStr"/>
    </row>
    <row r="100" ht="30" customHeight="1">
      <c r="A100" s="8" t="n">
        <v>99</v>
      </c>
      <c r="B100" s="8" t="n">
        <v>4</v>
      </c>
      <c r="C100" s="8" t="inlineStr">
        <is>
          <t>Sprint 6</t>
        </is>
      </c>
      <c r="D100" s="8" t="inlineStr">
        <is>
          <t>Gestión y definición del producto</t>
        </is>
      </c>
      <c r="E100" s="8" t="inlineStr">
        <is>
          <t>Gestión del proyecto y requisitos</t>
        </is>
      </c>
      <c r="F100" s="9" t="inlineStr">
        <is>
          <t>Sprint Planning Sprint 6</t>
        </is>
      </c>
      <c r="G100" s="8" t="inlineStr">
        <is>
          <t>TAREA</t>
        </is>
      </c>
      <c r="H100" s="9" t="inlineStr"/>
      <c r="I100" s="9" t="inlineStr"/>
    </row>
    <row r="101" ht="30" customHeight="1">
      <c r="A101" s="8" t="n">
        <v>100</v>
      </c>
      <c r="B101" s="8" t="n">
        <v>4</v>
      </c>
      <c r="C101" s="8" t="inlineStr">
        <is>
          <t>Sprint 6</t>
        </is>
      </c>
      <c r="D101" s="8" t="inlineStr">
        <is>
          <t>Gestión y definición del producto</t>
        </is>
      </c>
      <c r="E101" s="8" t="inlineStr">
        <is>
          <t>Gestión del proyecto y requisitos</t>
        </is>
      </c>
      <c r="F101" s="9" t="inlineStr">
        <is>
          <t>Sprint Review + Retrospectiva Sprint 6</t>
        </is>
      </c>
      <c r="G101" s="8" t="inlineStr">
        <is>
          <t>TAREA</t>
        </is>
      </c>
      <c r="H101" s="9" t="inlineStr"/>
      <c r="I101" s="9" t="inlineStr"/>
    </row>
    <row r="102" ht="30" customHeight="1">
      <c r="A102" s="4" t="n">
        <v>101</v>
      </c>
      <c r="B102" s="4" t="n">
        <v>2</v>
      </c>
      <c r="C102" s="4" t="inlineStr">
        <is>
          <t>Sprint 6</t>
        </is>
      </c>
      <c r="D102" s="4" t="inlineStr">
        <is>
          <t>Reportes y administración</t>
        </is>
      </c>
      <c r="E102" s="4" t="inlineStr"/>
      <c r="F102" s="5" t="inlineStr">
        <is>
          <t>Reportes y administración</t>
        </is>
      </c>
      <c r="G102" s="4" t="inlineStr">
        <is>
          <t>ÉPICA</t>
        </is>
      </c>
      <c r="H102" s="5" t="inlineStr"/>
      <c r="I102" s="5" t="inlineStr"/>
    </row>
    <row r="103" ht="30" customHeight="1">
      <c r="A103" s="6" t="n">
        <v>102</v>
      </c>
      <c r="B103" s="6" t="n">
        <v>3</v>
      </c>
      <c r="C103" s="6" t="inlineStr">
        <is>
          <t>Sprint 6</t>
        </is>
      </c>
      <c r="D103" s="6" t="inlineStr">
        <is>
          <t>Reportes y administración</t>
        </is>
      </c>
      <c r="E103" s="6" t="inlineStr">
        <is>
          <t>Reportes, notificaciones y administración</t>
        </is>
      </c>
      <c r="F103" s="7" t="inlineStr">
        <is>
          <t>Grupo: Reportes, notificaciones y administración</t>
        </is>
      </c>
      <c r="G103" s="6" t="inlineStr">
        <is>
          <t>GRUPO (agrupador)</t>
        </is>
      </c>
      <c r="H103" s="7" t="inlineStr"/>
      <c r="I103" s="7" t="inlineStr"/>
    </row>
    <row r="104" ht="30" customHeight="1">
      <c r="A104" s="11" t="n">
        <v>103</v>
      </c>
      <c r="B104" s="11" t="n">
        <v>4</v>
      </c>
      <c r="C104" s="11" t="inlineStr">
        <is>
          <t>Sprint 6</t>
        </is>
      </c>
      <c r="D104" s="11" t="inlineStr">
        <is>
          <t>Reportes y administración</t>
        </is>
      </c>
      <c r="E104" s="11" t="inlineStr">
        <is>
          <t>Reportes, notificaciones y administración</t>
        </is>
      </c>
      <c r="F104" s="12" t="inlineStr">
        <is>
          <t>Backend: Módulo de reportes gerenciales</t>
        </is>
      </c>
      <c r="G104" s="11" t="inlineStr">
        <is>
          <t>HISTORIA</t>
        </is>
      </c>
      <c r="H104" s="12" t="inlineStr">
        <is>
          <t>Como administrador, quiero ver reportes gerenciales de producción total, por ruta y por productor para evaluar el desempeño de cada zona.</t>
        </is>
      </c>
      <c r="I104" s="13" t="inlineStr">
        <is>
          <t>MOVIDO: estaba en 'Gestión operativa'; es un reporte, no un CRUD de productores/rutas.</t>
        </is>
      </c>
    </row>
    <row r="105" ht="30" customHeight="1">
      <c r="A105" s="11" t="n">
        <v>104</v>
      </c>
      <c r="B105" s="11" t="n">
        <v>4</v>
      </c>
      <c r="C105" s="11" t="inlineStr">
        <is>
          <t>Sprint 6</t>
        </is>
      </c>
      <c r="D105" s="11" t="inlineStr">
        <is>
          <t>Reportes y administración</t>
        </is>
      </c>
      <c r="E105" s="11" t="inlineStr">
        <is>
          <t>Reportes, notificaciones y administración</t>
        </is>
      </c>
      <c r="F105" s="12" t="inlineStr">
        <is>
          <t>Backend: Módulo de notificaciones (email / push)</t>
        </is>
      </c>
      <c r="G105" s="11" t="inlineStr">
        <is>
          <t>HISTORIA</t>
        </is>
      </c>
      <c r="H105" s="12" t="inlineStr">
        <is>
          <t>Como administrador, quiero recibir notificaciones por correo electrónico para estar al tanto de eventos importantes del sistema.</t>
        </is>
      </c>
      <c r="I105" s="12" t="inlineStr"/>
    </row>
    <row r="106" ht="30" customHeight="1">
      <c r="A106" s="11" t="n">
        <v>105</v>
      </c>
      <c r="B106" s="11" t="n">
        <v>4</v>
      </c>
      <c r="C106" s="11" t="inlineStr">
        <is>
          <t>Sprint 6</t>
        </is>
      </c>
      <c r="D106" s="11" t="inlineStr">
        <is>
          <t>Reportes y administración</t>
        </is>
      </c>
      <c r="E106" s="11" t="inlineStr">
        <is>
          <t>Reportes, notificaciones y administración</t>
        </is>
      </c>
      <c r="F106" s="12" t="inlineStr">
        <is>
          <t>Web: Dashboard de reportes con gráficos</t>
        </is>
      </c>
      <c r="G106" s="11" t="inlineStr">
        <is>
          <t>HISTORIA</t>
        </is>
      </c>
      <c r="H106" s="12" t="inlineStr">
        <is>
          <t>Como administrador, quiero ver un dashboard con gráficos de producción y tendencias para tener una visión rápida del estado del negocio.</t>
        </is>
      </c>
      <c r="I106" s="12" t="inlineStr"/>
    </row>
    <row r="107" ht="30" customHeight="1">
      <c r="A107" s="11" t="n">
        <v>106</v>
      </c>
      <c r="B107" s="11" t="n">
        <v>4</v>
      </c>
      <c r="C107" s="11" t="inlineStr">
        <is>
          <t>Sprint 6</t>
        </is>
      </c>
      <c r="D107" s="11" t="inlineStr">
        <is>
          <t>Reportes y administración</t>
        </is>
      </c>
      <c r="E107" s="11" t="inlineStr">
        <is>
          <t>Reportes, notificaciones y administración</t>
        </is>
      </c>
      <c r="F107" s="12" t="inlineStr">
        <is>
          <t>Web: Módulo de administración de usuarios y roles</t>
        </is>
      </c>
      <c r="G107" s="11" t="inlineStr">
        <is>
          <t>HISTORIA</t>
        </is>
      </c>
      <c r="H107" s="12" t="inlineStr">
        <is>
          <t>Como administrador, quiero gestionar los usuarios del sistema y sus roles para controlar quién tiene acceso a cada funcionalidad.</t>
        </is>
      </c>
      <c r="I107" s="12" t="inlineStr"/>
    </row>
    <row r="108" ht="30" customHeight="1">
      <c r="A108" s="11" t="n">
        <v>107</v>
      </c>
      <c r="B108" s="11" t="n">
        <v>4</v>
      </c>
      <c r="C108" s="11" t="inlineStr">
        <is>
          <t>Sprint 6</t>
        </is>
      </c>
      <c r="D108" s="11" t="inlineStr">
        <is>
          <t>Reportes y administración</t>
        </is>
      </c>
      <c r="E108" s="11" t="inlineStr">
        <is>
          <t>Reportes, notificaciones y administración</t>
        </is>
      </c>
      <c r="F108" s="12" t="inlineStr">
        <is>
          <t>Móvil: Notificaciones push (Firebase Cloud Messaging)</t>
        </is>
      </c>
      <c r="G108" s="11" t="inlineStr">
        <is>
          <t>HISTORIA</t>
        </is>
      </c>
      <c r="H108" s="12" t="inlineStr">
        <is>
          <t>Como acopiador, quiero recibir notificaciones push en mi dispositivo móvil para estar informado sobre novedades y alertas en el campo.</t>
        </is>
      </c>
      <c r="I108" s="12" t="inlineStr"/>
    </row>
    <row r="109" ht="30" customHeight="1">
      <c r="A109" s="11" t="n">
        <v>108</v>
      </c>
      <c r="B109" s="11" t="n">
        <v>4</v>
      </c>
      <c r="C109" s="11" t="inlineStr">
        <is>
          <t>Sprint 6</t>
        </is>
      </c>
      <c r="D109" s="11" t="inlineStr">
        <is>
          <t>Reportes y administración</t>
        </is>
      </c>
      <c r="E109" s="11" t="inlineStr">
        <is>
          <t>Reportes, notificaciones y administración</t>
        </is>
      </c>
      <c r="F109" s="12" t="inlineStr">
        <is>
          <t>Móvil: Pantalla de historial de recojos y reportes personales</t>
        </is>
      </c>
      <c r="G109" s="11" t="inlineStr">
        <is>
          <t>HISTORIA</t>
        </is>
      </c>
      <c r="H109" s="12" t="inlineStr">
        <is>
          <t>Como acopiador, quiero consultar mi historial de recojos y reportes personales desde la app móvil para llevar un control de mi trabajo diario.</t>
        </is>
      </c>
      <c r="I109" s="13" t="inlineStr">
        <is>
          <t>MOVIDO: estaba en 'Recolección y liquidación de leche'; es un reporte personal, coincide con la épica de Reportes.</t>
        </is>
      </c>
    </row>
    <row r="110" ht="30" customHeight="1">
      <c r="A110" s="8" t="n">
        <v>109</v>
      </c>
      <c r="B110" s="8" t="n">
        <v>4</v>
      </c>
      <c r="C110" s="8" t="inlineStr">
        <is>
          <t>Sprint 6</t>
        </is>
      </c>
      <c r="D110" s="8" t="inlineStr">
        <is>
          <t>Reportes y administración</t>
        </is>
      </c>
      <c r="E110" s="8" t="inlineStr">
        <is>
          <t>Reportes, notificaciones y administración</t>
        </is>
      </c>
      <c r="F110" s="9" t="inlineStr">
        <is>
          <t>Pruebas unitarias módulo de Reportes y Notificaciones</t>
        </is>
      </c>
      <c r="G110" s="8" t="inlineStr">
        <is>
          <t>TAREA</t>
        </is>
      </c>
      <c r="H110" s="9" t="inlineStr"/>
      <c r="I110" s="9" t="inlineStr"/>
    </row>
    <row r="111" ht="30" customHeight="1">
      <c r="A111" s="4" t="n">
        <v>110</v>
      </c>
      <c r="B111" s="4" t="n">
        <v>2</v>
      </c>
      <c r="C111" s="4" t="inlineStr">
        <is>
          <t>Sprint 6</t>
        </is>
      </c>
      <c r="D111" s="4" t="inlineStr">
        <is>
          <t>Experiencia de usuario (UX/UI)</t>
        </is>
      </c>
      <c r="E111" s="4" t="inlineStr"/>
      <c r="F111" s="5" t="inlineStr">
        <is>
          <t>Experiencia de usuario (UX/UI)</t>
        </is>
      </c>
      <c r="G111" s="4" t="inlineStr">
        <is>
          <t>ÉPICA</t>
        </is>
      </c>
      <c r="H111" s="5" t="inlineStr"/>
      <c r="I111" s="5" t="inlineStr"/>
    </row>
    <row r="112" ht="30" customHeight="1">
      <c r="A112" s="6" t="n">
        <v>111</v>
      </c>
      <c r="B112" s="6" t="n">
        <v>3</v>
      </c>
      <c r="C112" s="6" t="inlineStr">
        <is>
          <t>Sprint 6</t>
        </is>
      </c>
      <c r="D112" s="6" t="inlineStr">
        <is>
          <t>Experiencia de usuario (UX/UI)</t>
        </is>
      </c>
      <c r="E112" s="6" t="inlineStr">
        <is>
          <t>Diseño y validación de interfaces</t>
        </is>
      </c>
      <c r="F112" s="7" t="inlineStr">
        <is>
          <t>Grupo: Diseño y validación de interfaces</t>
        </is>
      </c>
      <c r="G112" s="6" t="inlineStr">
        <is>
          <t>GRUPO (agrupador)</t>
        </is>
      </c>
      <c r="H112" s="7" t="inlineStr"/>
      <c r="I112" s="7" t="inlineStr"/>
    </row>
    <row r="113" ht="30" customHeight="1">
      <c r="A113" s="8" t="n">
        <v>112</v>
      </c>
      <c r="B113" s="8" t="n">
        <v>4</v>
      </c>
      <c r="C113" s="8" t="inlineStr">
        <is>
          <t>Sprint 6</t>
        </is>
      </c>
      <c r="D113" s="8" t="inlineStr">
        <is>
          <t>Experiencia de usuario (UX/UI)</t>
        </is>
      </c>
      <c r="E113" s="8" t="inlineStr">
        <is>
          <t>Diseño y validación de interfaces</t>
        </is>
      </c>
      <c r="F113" s="9" t="inlineStr">
        <is>
          <t>Ajustes de UI/UX según pruebas internas</t>
        </is>
      </c>
      <c r="G113" s="8" t="inlineStr">
        <is>
          <t>TAREA</t>
        </is>
      </c>
      <c r="H113" s="9" t="inlineStr"/>
      <c r="I113" s="9" t="inlineStr"/>
    </row>
    <row r="114" ht="30" customHeight="1">
      <c r="A114" s="4" t="n">
        <v>113</v>
      </c>
      <c r="B114" s="4" t="n">
        <v>2</v>
      </c>
      <c r="C114" s="4" t="inlineStr">
        <is>
          <t>Sprint 6</t>
        </is>
      </c>
      <c r="D114" s="4" t="inlineStr">
        <is>
          <t>Gestión del proyecto</t>
        </is>
      </c>
      <c r="E114" s="4" t="inlineStr"/>
      <c r="F114" s="5" t="inlineStr">
        <is>
          <t>Gestión del proyecto</t>
        </is>
      </c>
      <c r="G114" s="4" t="inlineStr">
        <is>
          <t>ÉPICA</t>
        </is>
      </c>
      <c r="H114" s="5" t="inlineStr"/>
      <c r="I114" s="5" t="inlineStr"/>
    </row>
    <row r="115" ht="30" customHeight="1">
      <c r="A115" s="6" t="n">
        <v>114</v>
      </c>
      <c r="B115" s="6" t="n">
        <v>3</v>
      </c>
      <c r="C115" s="6" t="inlineStr">
        <is>
          <t>Sprint 6</t>
        </is>
      </c>
      <c r="D115" s="6" t="inlineStr">
        <is>
          <t>Gestión del proyecto</t>
        </is>
      </c>
      <c r="E115" s="6" t="inlineStr">
        <is>
          <t>Actividad de gestión</t>
        </is>
      </c>
      <c r="F115" s="7" t="inlineStr">
        <is>
          <t>Grupo: Actividad de gestión</t>
        </is>
      </c>
      <c r="G115" s="6" t="inlineStr">
        <is>
          <t>GRUPO (agrupador)</t>
        </is>
      </c>
      <c r="H115" s="7" t="inlineStr"/>
      <c r="I115" s="7" t="inlineStr"/>
    </row>
    <row r="116" ht="30" customHeight="1">
      <c r="A116" s="8" t="n">
        <v>115</v>
      </c>
      <c r="B116" s="8" t="n">
        <v>4</v>
      </c>
      <c r="C116" s="8" t="inlineStr">
        <is>
          <t>Sprint 6</t>
        </is>
      </c>
      <c r="D116" s="8" t="inlineStr">
        <is>
          <t>Gestión del proyecto</t>
        </is>
      </c>
      <c r="E116" s="8" t="inlineStr">
        <is>
          <t>Actividad de gestión</t>
        </is>
      </c>
      <c r="F116" s="9" t="inlineStr">
        <is>
          <t>Congelamiento de funcionalidades (Feature Freeze)</t>
        </is>
      </c>
      <c r="G116" s="8" t="inlineStr">
        <is>
          <t>TAREA</t>
        </is>
      </c>
      <c r="H116" s="9" t="inlineStr"/>
      <c r="I116" s="9" t="inlineStr"/>
    </row>
    <row r="117" ht="30" customHeight="1">
      <c r="A117" s="2" t="n">
        <v>116</v>
      </c>
      <c r="B117" s="2" t="n">
        <v>1</v>
      </c>
      <c r="C117" s="2" t="inlineStr">
        <is>
          <t>Sprint 7</t>
        </is>
      </c>
      <c r="D117" s="2" t="inlineStr"/>
      <c r="E117" s="2" t="inlineStr"/>
      <c r="F117" s="3">
        <f>== Sprint 7 ===</f>
        <v/>
      </c>
      <c r="G117" s="2" t="inlineStr">
        <is>
          <t>SPRINT</t>
        </is>
      </c>
      <c r="H117" s="3" t="inlineStr"/>
      <c r="I117" s="3" t="inlineStr"/>
    </row>
    <row r="118" ht="30" customHeight="1">
      <c r="A118" s="4" t="n">
        <v>117</v>
      </c>
      <c r="B118" s="4" t="n">
        <v>2</v>
      </c>
      <c r="C118" s="4" t="inlineStr">
        <is>
          <t>Sprint 7</t>
        </is>
      </c>
      <c r="D118" s="4" t="inlineStr">
        <is>
          <t>Gestión y definición del producto</t>
        </is>
      </c>
      <c r="E118" s="4" t="inlineStr"/>
      <c r="F118" s="5" t="inlineStr">
        <is>
          <t>Gestión y definición del producto</t>
        </is>
      </c>
      <c r="G118" s="4" t="inlineStr">
        <is>
          <t>ÉPICA</t>
        </is>
      </c>
      <c r="H118" s="5" t="inlineStr"/>
      <c r="I118" s="5" t="inlineStr"/>
    </row>
    <row r="119" ht="30" customHeight="1">
      <c r="A119" s="6" t="n">
        <v>118</v>
      </c>
      <c r="B119" s="6" t="n">
        <v>3</v>
      </c>
      <c r="C119" s="6" t="inlineStr">
        <is>
          <t>Sprint 7</t>
        </is>
      </c>
      <c r="D119" s="6" t="inlineStr">
        <is>
          <t>Gestión y definición del producto</t>
        </is>
      </c>
      <c r="E119" s="6" t="inlineStr">
        <is>
          <t>Gestión del proyecto y requisitos</t>
        </is>
      </c>
      <c r="F119" s="7" t="inlineStr">
        <is>
          <t>Grupo: Gestión del proyecto y requisitos</t>
        </is>
      </c>
      <c r="G119" s="6" t="inlineStr">
        <is>
          <t>GRUPO (agrupador)</t>
        </is>
      </c>
      <c r="H119" s="7" t="inlineStr"/>
      <c r="I119" s="7" t="inlineStr"/>
    </row>
    <row r="120" ht="30" customHeight="1">
      <c r="A120" s="8" t="n">
        <v>119</v>
      </c>
      <c r="B120" s="8" t="n">
        <v>4</v>
      </c>
      <c r="C120" s="8" t="inlineStr">
        <is>
          <t>Sprint 7</t>
        </is>
      </c>
      <c r="D120" s="8" t="inlineStr">
        <is>
          <t>Gestión y definición del producto</t>
        </is>
      </c>
      <c r="E120" s="8" t="inlineStr">
        <is>
          <t>Gestión del proyecto y requisitos</t>
        </is>
      </c>
      <c r="F120" s="9" t="inlineStr">
        <is>
          <t>Sprint Planning Sprint 7</t>
        </is>
      </c>
      <c r="G120" s="8" t="inlineStr">
        <is>
          <t>TAREA</t>
        </is>
      </c>
      <c r="H120" s="9" t="inlineStr"/>
      <c r="I120" s="9" t="inlineStr"/>
    </row>
    <row r="121" ht="30" customHeight="1">
      <c r="A121" s="8" t="n">
        <v>120</v>
      </c>
      <c r="B121" s="8" t="n">
        <v>4</v>
      </c>
      <c r="C121" s="8" t="inlineStr">
        <is>
          <t>Sprint 7</t>
        </is>
      </c>
      <c r="D121" s="8" t="inlineStr">
        <is>
          <t>Gestión y definición del producto</t>
        </is>
      </c>
      <c r="E121" s="8" t="inlineStr">
        <is>
          <t>Gestión del proyecto y requisitos</t>
        </is>
      </c>
      <c r="F121" s="9" t="inlineStr">
        <is>
          <t>Sprint Review + Retrospectiva Sprint 7</t>
        </is>
      </c>
      <c r="G121" s="8" t="inlineStr">
        <is>
          <t>TAREA</t>
        </is>
      </c>
      <c r="H121" s="9" t="inlineStr"/>
      <c r="I121" s="9" t="inlineStr"/>
    </row>
    <row r="122" ht="30" customHeight="1">
      <c r="A122" s="4" t="n">
        <v>121</v>
      </c>
      <c r="B122" s="4" t="n">
        <v>2</v>
      </c>
      <c r="C122" s="4" t="inlineStr">
        <is>
          <t>Sprint 7</t>
        </is>
      </c>
      <c r="D122" s="4" t="inlineStr">
        <is>
          <t>Calidad y estabilización</t>
        </is>
      </c>
      <c r="E122" s="4" t="inlineStr"/>
      <c r="F122" s="5" t="inlineStr">
        <is>
          <t>Calidad y estabilización</t>
        </is>
      </c>
      <c r="G122" s="4" t="inlineStr">
        <is>
          <t>ÉPICA</t>
        </is>
      </c>
      <c r="H122" s="5" t="inlineStr"/>
      <c r="I122" s="5" t="inlineStr"/>
    </row>
    <row r="123" ht="30" customHeight="1">
      <c r="A123" s="6" t="n">
        <v>122</v>
      </c>
      <c r="B123" s="6" t="n">
        <v>3</v>
      </c>
      <c r="C123" s="6" t="inlineStr">
        <is>
          <t>Sprint 7</t>
        </is>
      </c>
      <c r="D123" s="6" t="inlineStr">
        <is>
          <t>Calidad y estabilización</t>
        </is>
      </c>
      <c r="E123" s="6" t="inlineStr">
        <is>
          <t>Pruebas, aceptación y corrección de incidencias</t>
        </is>
      </c>
      <c r="F123" s="7" t="inlineStr">
        <is>
          <t>Grupo: Pruebas, aceptación y corrección de incidencias</t>
        </is>
      </c>
      <c r="G123" s="6" t="inlineStr">
        <is>
          <t>GRUPO (agrupador)</t>
        </is>
      </c>
      <c r="H123" s="7" t="inlineStr"/>
      <c r="I123" s="7" t="inlineStr"/>
    </row>
    <row r="124" ht="30" customHeight="1">
      <c r="A124" s="8" t="n">
        <v>123</v>
      </c>
      <c r="B124" s="8" t="n">
        <v>4</v>
      </c>
      <c r="C124" s="8" t="inlineStr">
        <is>
          <t>Sprint 7</t>
        </is>
      </c>
      <c r="D124" s="8" t="inlineStr">
        <is>
          <t>Calidad y estabilización</t>
        </is>
      </c>
      <c r="E124" s="8" t="inlineStr">
        <is>
          <t>Pruebas, aceptación y corrección de incidencias</t>
        </is>
      </c>
      <c r="F124" s="9" t="inlineStr">
        <is>
          <t>Elaboración del Plan de Pruebas y Casos de Prueba</t>
        </is>
      </c>
      <c r="G124" s="8" t="inlineStr">
        <is>
          <t>TAREA</t>
        </is>
      </c>
      <c r="H124" s="9" t="inlineStr"/>
      <c r="I124" s="9" t="inlineStr"/>
    </row>
    <row r="125" ht="30" customHeight="1">
      <c r="A125" s="8" t="n">
        <v>124</v>
      </c>
      <c r="B125" s="8" t="n">
        <v>4</v>
      </c>
      <c r="C125" s="8" t="inlineStr">
        <is>
          <t>Sprint 7</t>
        </is>
      </c>
      <c r="D125" s="8" t="inlineStr">
        <is>
          <t>Calidad y estabilización</t>
        </is>
      </c>
      <c r="E125" s="8" t="inlineStr">
        <is>
          <t>Pruebas, aceptación y corrección de incidencias</t>
        </is>
      </c>
      <c r="F125" s="9" t="inlineStr">
        <is>
          <t>Pruebas de integración Backend - Web</t>
        </is>
      </c>
      <c r="G125" s="8" t="inlineStr">
        <is>
          <t>TAREA</t>
        </is>
      </c>
      <c r="H125" s="9" t="inlineStr"/>
      <c r="I125" s="9" t="inlineStr"/>
    </row>
    <row r="126" ht="30" customHeight="1">
      <c r="A126" s="8" t="n">
        <v>125</v>
      </c>
      <c r="B126" s="8" t="n">
        <v>4</v>
      </c>
      <c r="C126" s="8" t="inlineStr">
        <is>
          <t>Sprint 7</t>
        </is>
      </c>
      <c r="D126" s="8" t="inlineStr">
        <is>
          <t>Calidad y estabilización</t>
        </is>
      </c>
      <c r="E126" s="8" t="inlineStr">
        <is>
          <t>Pruebas, aceptación y corrección de incidencias</t>
        </is>
      </c>
      <c r="F126" s="9" t="inlineStr">
        <is>
          <t>Pruebas de integración Backend - Móvil</t>
        </is>
      </c>
      <c r="G126" s="8" t="inlineStr">
        <is>
          <t>TAREA</t>
        </is>
      </c>
      <c r="H126" s="9" t="inlineStr"/>
      <c r="I126" s="9" t="inlineStr"/>
    </row>
    <row r="127" ht="30" customHeight="1">
      <c r="A127" s="8" t="n">
        <v>126</v>
      </c>
      <c r="B127" s="8" t="n">
        <v>4</v>
      </c>
      <c r="C127" s="8" t="inlineStr">
        <is>
          <t>Sprint 7</t>
        </is>
      </c>
      <c r="D127" s="8" t="inlineStr">
        <is>
          <t>Calidad y estabilización</t>
        </is>
      </c>
      <c r="E127" s="8" t="inlineStr">
        <is>
          <t>Pruebas, aceptación y corrección de incidencias</t>
        </is>
      </c>
      <c r="F127" s="9" t="inlineStr">
        <is>
          <t>Pruebas funcionales completas</t>
        </is>
      </c>
      <c r="G127" s="8" t="inlineStr">
        <is>
          <t>TAREA</t>
        </is>
      </c>
      <c r="H127" s="9" t="inlineStr"/>
      <c r="I127" s="9" t="inlineStr"/>
    </row>
    <row r="128" ht="30" customHeight="1">
      <c r="A128" s="8" t="n">
        <v>127</v>
      </c>
      <c r="B128" s="8" t="n">
        <v>4</v>
      </c>
      <c r="C128" s="8" t="inlineStr">
        <is>
          <t>Sprint 7</t>
        </is>
      </c>
      <c r="D128" s="8" t="inlineStr">
        <is>
          <t>Calidad y estabilización</t>
        </is>
      </c>
      <c r="E128" s="8" t="inlineStr">
        <is>
          <t>Pruebas, aceptación y corrección de incidencias</t>
        </is>
      </c>
      <c r="F128" s="9" t="inlineStr">
        <is>
          <t>Pruebas de aceptación de usuario (UAT)</t>
        </is>
      </c>
      <c r="G128" s="8" t="inlineStr">
        <is>
          <t>TAREA</t>
        </is>
      </c>
      <c r="H128" s="9" t="inlineStr"/>
      <c r="I128" s="9" t="inlineStr"/>
    </row>
    <row r="129" ht="30" customHeight="1">
      <c r="A129" s="8" t="n">
        <v>128</v>
      </c>
      <c r="B129" s="8" t="n">
        <v>4</v>
      </c>
      <c r="C129" s="8" t="inlineStr">
        <is>
          <t>Sprint 7</t>
        </is>
      </c>
      <c r="D129" s="8" t="inlineStr">
        <is>
          <t>Calidad y estabilización</t>
        </is>
      </c>
      <c r="E129" s="8" t="inlineStr">
        <is>
          <t>Pruebas, aceptación y corrección de incidencias</t>
        </is>
      </c>
      <c r="F129" s="9" t="inlineStr">
        <is>
          <t>Registro y priorización de incidencias/bugs</t>
        </is>
      </c>
      <c r="G129" s="8" t="inlineStr">
        <is>
          <t>TAREA</t>
        </is>
      </c>
      <c r="H129" s="9" t="inlineStr"/>
      <c r="I129" s="10" t="inlineStr">
        <is>
          <t>MOVIDO: estaba en 'Gestión y definición del producto'; es actividad de QA, no de requisitos.</t>
        </is>
      </c>
    </row>
    <row r="130" ht="30" customHeight="1">
      <c r="A130" s="8" t="n">
        <v>129</v>
      </c>
      <c r="B130" s="8" t="n">
        <v>4</v>
      </c>
      <c r="C130" s="8" t="inlineStr">
        <is>
          <t>Sprint 7</t>
        </is>
      </c>
      <c r="D130" s="8" t="inlineStr">
        <is>
          <t>Calidad y estabilización</t>
        </is>
      </c>
      <c r="E130" s="8" t="inlineStr">
        <is>
          <t>Pruebas, aceptación y corrección de incidencias</t>
        </is>
      </c>
      <c r="F130" s="9" t="inlineStr">
        <is>
          <t>Corrección de bugs críticos y altos</t>
        </is>
      </c>
      <c r="G130" s="8" t="inlineStr">
        <is>
          <t>TAREA</t>
        </is>
      </c>
      <c r="H130" s="9" t="inlineStr"/>
      <c r="I130" s="9" t="inlineStr"/>
    </row>
    <row r="131" ht="30" customHeight="1">
      <c r="A131" s="8" t="n">
        <v>130</v>
      </c>
      <c r="B131" s="8" t="n">
        <v>4</v>
      </c>
      <c r="C131" s="8" t="inlineStr">
        <is>
          <t>Sprint 7</t>
        </is>
      </c>
      <c r="D131" s="8" t="inlineStr">
        <is>
          <t>Calidad y estabilización</t>
        </is>
      </c>
      <c r="E131" s="8" t="inlineStr">
        <is>
          <t>Pruebas, aceptación y corrección de incidencias</t>
        </is>
      </c>
      <c r="F131" s="9" t="inlineStr">
        <is>
          <t>Pruebas de regresión</t>
        </is>
      </c>
      <c r="G131" s="8" t="inlineStr">
        <is>
          <t>TAREA</t>
        </is>
      </c>
      <c r="H131" s="9" t="inlineStr"/>
      <c r="I131" s="9" t="inlineStr"/>
    </row>
    <row r="132" ht="30" customHeight="1">
      <c r="A132" s="8" t="n">
        <v>131</v>
      </c>
      <c r="B132" s="8" t="n">
        <v>4</v>
      </c>
      <c r="C132" s="8" t="inlineStr">
        <is>
          <t>Sprint 7</t>
        </is>
      </c>
      <c r="D132" s="8" t="inlineStr">
        <is>
          <t>Calidad y estabilización</t>
        </is>
      </c>
      <c r="E132" s="8" t="inlineStr">
        <is>
          <t>Pruebas, aceptación y corrección de incidencias</t>
        </is>
      </c>
      <c r="F132" s="9" t="inlineStr">
        <is>
          <t>Pruebas no funcionales (rendimiento, seguridad)</t>
        </is>
      </c>
      <c r="G132" s="8" t="inlineStr">
        <is>
          <t>TAREA</t>
        </is>
      </c>
      <c r="H132" s="9" t="inlineStr"/>
      <c r="I132" s="10" t="inlineStr">
        <is>
          <t>MOVIDO: estaba en 'Plataforma y arquitectura técnica'; es una prueba, no configuración de entorno.</t>
        </is>
      </c>
    </row>
    <row r="133" ht="30" customHeight="1">
      <c r="A133" s="4" t="n">
        <v>132</v>
      </c>
      <c r="B133" s="4" t="n">
        <v>2</v>
      </c>
      <c r="C133" s="4" t="inlineStr">
        <is>
          <t>Sprint 7</t>
        </is>
      </c>
      <c r="D133" s="4" t="inlineStr">
        <is>
          <t>Documentación</t>
        </is>
      </c>
      <c r="E133" s="4" t="inlineStr"/>
      <c r="F133" s="5" t="inlineStr">
        <is>
          <t>Documentación</t>
        </is>
      </c>
      <c r="G133" s="4" t="inlineStr">
        <is>
          <t>ÉPICA</t>
        </is>
      </c>
      <c r="H133" s="5" t="inlineStr"/>
      <c r="I133" s="5" t="inlineStr"/>
    </row>
    <row r="134" ht="30" customHeight="1">
      <c r="A134" s="6" t="n">
        <v>133</v>
      </c>
      <c r="B134" s="6" t="n">
        <v>3</v>
      </c>
      <c r="C134" s="6" t="inlineStr">
        <is>
          <t>Sprint 7</t>
        </is>
      </c>
      <c r="D134" s="6" t="inlineStr">
        <is>
          <t>Documentación</t>
        </is>
      </c>
      <c r="E134" s="6" t="inlineStr">
        <is>
          <t>Documentación técnica y de usuario</t>
        </is>
      </c>
      <c r="F134" s="7" t="inlineStr">
        <is>
          <t>Grupo: Documentación técnica y de usuario</t>
        </is>
      </c>
      <c r="G134" s="6" t="inlineStr">
        <is>
          <t>GRUPO (agrupador)</t>
        </is>
      </c>
      <c r="H134" s="7" t="inlineStr"/>
      <c r="I134" s="7" t="inlineStr"/>
    </row>
    <row r="135" ht="30" customHeight="1">
      <c r="A135" s="8" t="n">
        <v>134</v>
      </c>
      <c r="B135" s="8" t="n">
        <v>4</v>
      </c>
      <c r="C135" s="8" t="inlineStr">
        <is>
          <t>Sprint 7</t>
        </is>
      </c>
      <c r="D135" s="8" t="inlineStr">
        <is>
          <t>Documentación</t>
        </is>
      </c>
      <c r="E135" s="8" t="inlineStr">
        <is>
          <t>Documentación técnica y de usuario</t>
        </is>
      </c>
      <c r="F135" s="9" t="inlineStr">
        <is>
          <t>Elaboración del Manual de Usuario (Web y Móvil)</t>
        </is>
      </c>
      <c r="G135" s="8" t="inlineStr">
        <is>
          <t>TAREA</t>
        </is>
      </c>
      <c r="H135" s="9" t="inlineStr"/>
      <c r="I135" s="9" t="inlineStr"/>
    </row>
    <row r="136" ht="30" customHeight="1">
      <c r="A136" s="8" t="n">
        <v>135</v>
      </c>
      <c r="B136" s="8" t="n">
        <v>4</v>
      </c>
      <c r="C136" s="8" t="inlineStr">
        <is>
          <t>Sprint 7</t>
        </is>
      </c>
      <c r="D136" s="8" t="inlineStr">
        <is>
          <t>Documentación</t>
        </is>
      </c>
      <c r="E136" s="8" t="inlineStr">
        <is>
          <t>Documentación técnica y de usuario</t>
        </is>
      </c>
      <c r="F136" s="9" t="inlineStr">
        <is>
          <t>Elaboración del Manual Técnico</t>
        </is>
      </c>
      <c r="G136" s="8" t="inlineStr">
        <is>
          <t>TAREA</t>
        </is>
      </c>
      <c r="H136" s="9" t="inlineStr"/>
      <c r="I136" s="9" t="inlineStr"/>
    </row>
    <row r="137" ht="30" customHeight="1">
      <c r="A137" s="2" t="n">
        <v>136</v>
      </c>
      <c r="B137" s="2" t="n">
        <v>1</v>
      </c>
      <c r="C137" s="2" t="inlineStr">
        <is>
          <t>Sprint 8</t>
        </is>
      </c>
      <c r="D137" s="2" t="inlineStr"/>
      <c r="E137" s="2" t="inlineStr"/>
      <c r="F137" s="3">
        <f>== Sprint 8 ===</f>
        <v/>
      </c>
      <c r="G137" s="2" t="inlineStr">
        <is>
          <t>SPRINT</t>
        </is>
      </c>
      <c r="H137" s="3" t="inlineStr"/>
      <c r="I137" s="3" t="inlineStr"/>
    </row>
    <row r="138" ht="30" customHeight="1">
      <c r="A138" s="4" t="n">
        <v>137</v>
      </c>
      <c r="B138" s="4" t="n">
        <v>2</v>
      </c>
      <c r="C138" s="4" t="inlineStr">
        <is>
          <t>Sprint 8</t>
        </is>
      </c>
      <c r="D138" s="4" t="inlineStr">
        <is>
          <t>Gestión y definición del producto</t>
        </is>
      </c>
      <c r="E138" s="4" t="inlineStr"/>
      <c r="F138" s="5" t="inlineStr">
        <is>
          <t>Gestión y definición del producto</t>
        </is>
      </c>
      <c r="G138" s="4" t="inlineStr">
        <is>
          <t>ÉPICA</t>
        </is>
      </c>
      <c r="H138" s="5" t="inlineStr"/>
      <c r="I138" s="5" t="inlineStr"/>
    </row>
    <row r="139" ht="30" customHeight="1">
      <c r="A139" s="6" t="n">
        <v>138</v>
      </c>
      <c r="B139" s="6" t="n">
        <v>3</v>
      </c>
      <c r="C139" s="6" t="inlineStr">
        <is>
          <t>Sprint 8</t>
        </is>
      </c>
      <c r="D139" s="6" t="inlineStr">
        <is>
          <t>Gestión y definición del producto</t>
        </is>
      </c>
      <c r="E139" s="6" t="inlineStr">
        <is>
          <t>Gestión del proyecto y requisitos</t>
        </is>
      </c>
      <c r="F139" s="7" t="inlineStr">
        <is>
          <t>Grupo: Gestión del proyecto y requisitos</t>
        </is>
      </c>
      <c r="G139" s="6" t="inlineStr">
        <is>
          <t>GRUPO (agrupador)</t>
        </is>
      </c>
      <c r="H139" s="7" t="inlineStr"/>
      <c r="I139" s="7" t="inlineStr"/>
    </row>
    <row r="140" ht="30" customHeight="1">
      <c r="A140" s="8" t="n">
        <v>139</v>
      </c>
      <c r="B140" s="8" t="n">
        <v>4</v>
      </c>
      <c r="C140" s="8" t="inlineStr">
        <is>
          <t>Sprint 8</t>
        </is>
      </c>
      <c r="D140" s="8" t="inlineStr">
        <is>
          <t>Gestión y definición del producto</t>
        </is>
      </c>
      <c r="E140" s="8" t="inlineStr">
        <is>
          <t>Gestión del proyecto y requisitos</t>
        </is>
      </c>
      <c r="F140" s="9" t="inlineStr">
        <is>
          <t>Sprint Planning Sprint 8</t>
        </is>
      </c>
      <c r="G140" s="8" t="inlineStr">
        <is>
          <t>TAREA</t>
        </is>
      </c>
      <c r="H140" s="9" t="inlineStr"/>
      <c r="I140" s="9" t="inlineStr"/>
    </row>
    <row r="141" ht="30" customHeight="1">
      <c r="A141" s="8" t="n">
        <v>140</v>
      </c>
      <c r="B141" s="8" t="n">
        <v>4</v>
      </c>
      <c r="C141" s="8" t="inlineStr">
        <is>
          <t>Sprint 8</t>
        </is>
      </c>
      <c r="D141" s="8" t="inlineStr">
        <is>
          <t>Gestión y definición del producto</t>
        </is>
      </c>
      <c r="E141" s="8" t="inlineStr">
        <is>
          <t>Gestión del proyecto y requisitos</t>
        </is>
      </c>
      <c r="F141" s="9" t="inlineStr">
        <is>
          <t>Sprint Review + Retrospectiva Sprint 8</t>
        </is>
      </c>
      <c r="G141" s="8" t="inlineStr">
        <is>
          <t>TAREA</t>
        </is>
      </c>
      <c r="H141" s="9" t="inlineStr"/>
      <c r="I141" s="9" t="inlineStr"/>
    </row>
    <row r="142" ht="30" customHeight="1">
      <c r="A142" s="4" t="n">
        <v>141</v>
      </c>
      <c r="B142" s="4" t="n">
        <v>2</v>
      </c>
      <c r="C142" s="4" t="inlineStr">
        <is>
          <t>Sprint 8</t>
        </is>
      </c>
      <c r="D142" s="4" t="inlineStr">
        <is>
          <t>Puesta en producción</t>
        </is>
      </c>
      <c r="E142" s="4" t="inlineStr"/>
      <c r="F142" s="5" t="inlineStr">
        <is>
          <t>Puesta en producción</t>
        </is>
      </c>
      <c r="G142" s="4" t="inlineStr">
        <is>
          <t>ÉPICA</t>
        </is>
      </c>
      <c r="H142" s="5" t="inlineStr"/>
      <c r="I142" s="5" t="inlineStr"/>
    </row>
    <row r="143" ht="30" customHeight="1">
      <c r="A143" s="6" t="n">
        <v>142</v>
      </c>
      <c r="B143" s="6" t="n">
        <v>3</v>
      </c>
      <c r="C143" s="6" t="inlineStr">
        <is>
          <t>Sprint 8</t>
        </is>
      </c>
      <c r="D143" s="6" t="inlineStr">
        <is>
          <t>Puesta en producción</t>
        </is>
      </c>
      <c r="E143" s="6" t="inlineStr">
        <is>
          <t>Despliegue y validación en producción</t>
        </is>
      </c>
      <c r="F143" s="7" t="inlineStr">
        <is>
          <t>Grupo: Despliegue y validación en producción</t>
        </is>
      </c>
      <c r="G143" s="6" t="inlineStr">
        <is>
          <t>GRUPO (agrupador)</t>
        </is>
      </c>
      <c r="H143" s="7" t="inlineStr"/>
      <c r="I143" s="7" t="inlineStr"/>
    </row>
    <row r="144" ht="30" customHeight="1">
      <c r="A144" s="8" t="n">
        <v>143</v>
      </c>
      <c r="B144" s="8" t="n">
        <v>4</v>
      </c>
      <c r="C144" s="8" t="inlineStr">
        <is>
          <t>Sprint 8</t>
        </is>
      </c>
      <c r="D144" s="8" t="inlineStr">
        <is>
          <t>Puesta en producción</t>
        </is>
      </c>
      <c r="E144" s="8" t="inlineStr">
        <is>
          <t>Despliegue y validación en producción</t>
        </is>
      </c>
      <c r="F144" s="9" t="inlineStr">
        <is>
          <t>Preparación del entorno de producción</t>
        </is>
      </c>
      <c r="G144" s="8" t="inlineStr">
        <is>
          <t>TAREA</t>
        </is>
      </c>
      <c r="H144" s="9" t="inlineStr"/>
      <c r="I144" s="9" t="inlineStr"/>
    </row>
    <row r="145" ht="30" customHeight="1">
      <c r="A145" s="8" t="n">
        <v>144</v>
      </c>
      <c r="B145" s="8" t="n">
        <v>4</v>
      </c>
      <c r="C145" s="8" t="inlineStr">
        <is>
          <t>Sprint 8</t>
        </is>
      </c>
      <c r="D145" s="8" t="inlineStr">
        <is>
          <t>Puesta en producción</t>
        </is>
      </c>
      <c r="E145" s="8" t="inlineStr">
        <is>
          <t>Despliegue y validación en producción</t>
        </is>
      </c>
      <c r="F145" s="9" t="inlineStr">
        <is>
          <t>Despliegue del Backend en producción</t>
        </is>
      </c>
      <c r="G145" s="8" t="inlineStr">
        <is>
          <t>TAREA</t>
        </is>
      </c>
      <c r="H145" s="9" t="inlineStr"/>
      <c r="I145" s="9" t="inlineStr"/>
    </row>
    <row r="146" ht="30" customHeight="1">
      <c r="A146" s="8" t="n">
        <v>145</v>
      </c>
      <c r="B146" s="8" t="n">
        <v>4</v>
      </c>
      <c r="C146" s="8" t="inlineStr">
        <is>
          <t>Sprint 8</t>
        </is>
      </c>
      <c r="D146" s="8" t="inlineStr">
        <is>
          <t>Puesta en producción</t>
        </is>
      </c>
      <c r="E146" s="8" t="inlineStr">
        <is>
          <t>Despliegue y validación en producción</t>
        </is>
      </c>
      <c r="F146" s="9" t="inlineStr">
        <is>
          <t>Despliegue del Frontend Web en producción</t>
        </is>
      </c>
      <c r="G146" s="8" t="inlineStr">
        <is>
          <t>TAREA</t>
        </is>
      </c>
      <c r="H146" s="9" t="inlineStr"/>
      <c r="I146" s="9" t="inlineStr"/>
    </row>
    <row r="147" ht="30" customHeight="1">
      <c r="A147" s="8" t="n">
        <v>146</v>
      </c>
      <c r="B147" s="8" t="n">
        <v>4</v>
      </c>
      <c r="C147" s="8" t="inlineStr">
        <is>
          <t>Sprint 8</t>
        </is>
      </c>
      <c r="D147" s="8" t="inlineStr">
        <is>
          <t>Puesta en producción</t>
        </is>
      </c>
      <c r="E147" s="8" t="inlineStr">
        <is>
          <t>Despliegue y validación en producción</t>
        </is>
      </c>
      <c r="F147" s="9" t="inlineStr">
        <is>
          <t>Generación y distribución de la app móvil (APK)</t>
        </is>
      </c>
      <c r="G147" s="8" t="inlineStr">
        <is>
          <t>TAREA</t>
        </is>
      </c>
      <c r="H147" s="9" t="inlineStr"/>
      <c r="I147" s="10" t="inlineStr">
        <is>
          <t>MOVIDO: estaba en 'Gestión del proyecto'; es una actividad de despliegue.</t>
        </is>
      </c>
    </row>
    <row r="148" ht="30" customHeight="1">
      <c r="A148" s="4" t="n">
        <v>147</v>
      </c>
      <c r="B148" s="4" t="n">
        <v>2</v>
      </c>
      <c r="C148" s="4" t="inlineStr">
        <is>
          <t>Sprint 8</t>
        </is>
      </c>
      <c r="D148" s="4" t="inlineStr">
        <is>
          <t>Gestión operativa</t>
        </is>
      </c>
      <c r="E148" s="4" t="inlineStr"/>
      <c r="F148" s="5" t="inlineStr">
        <is>
          <t>Gestión operativa</t>
        </is>
      </c>
      <c r="G148" s="4" t="inlineStr">
        <is>
          <t>ÉPICA</t>
        </is>
      </c>
      <c r="H148" s="5" t="inlineStr"/>
      <c r="I148" s="5" t="inlineStr"/>
    </row>
    <row r="149" ht="30" customHeight="1">
      <c r="A149" s="6" t="n">
        <v>148</v>
      </c>
      <c r="B149" s="6" t="n">
        <v>3</v>
      </c>
      <c r="C149" s="6" t="inlineStr">
        <is>
          <t>Sprint 8</t>
        </is>
      </c>
      <c r="D149" s="6" t="inlineStr">
        <is>
          <t>Gestión operativa</t>
        </is>
      </c>
      <c r="E149" s="6" t="inlineStr">
        <is>
          <t>Gestión de productores, acopiadores, rutas y centros</t>
        </is>
      </c>
      <c r="F149" s="7" t="inlineStr">
        <is>
          <t>Grupo: Gestión de productores, acopiadores, rutas y centros</t>
        </is>
      </c>
      <c r="G149" s="6" t="inlineStr">
        <is>
          <t>GRUPO (agrupador)</t>
        </is>
      </c>
      <c r="H149" s="7" t="inlineStr"/>
      <c r="I149" s="7" t="inlineStr"/>
    </row>
    <row r="150" ht="30" customHeight="1">
      <c r="A150" s="8" t="n">
        <v>149</v>
      </c>
      <c r="B150" s="8" t="n">
        <v>4</v>
      </c>
      <c r="C150" s="8" t="inlineStr">
        <is>
          <t>Sprint 8</t>
        </is>
      </c>
      <c r="D150" s="8" t="inlineStr">
        <is>
          <t>Gestión operativa</t>
        </is>
      </c>
      <c r="E150" s="8" t="inlineStr">
        <is>
          <t>Gestión de productores, acopiadores, rutas y centros</t>
        </is>
      </c>
      <c r="F150" s="9" t="inlineStr">
        <is>
          <t>Migración y carga inicial de datos maestros</t>
        </is>
      </c>
      <c r="G150" s="8" t="inlineStr">
        <is>
          <t>TAREA</t>
        </is>
      </c>
      <c r="H150" s="9" t="inlineStr"/>
      <c r="I150" s="9" t="inlineStr"/>
    </row>
    <row r="151" ht="30" customHeight="1">
      <c r="A151" s="4" t="n">
        <v>150</v>
      </c>
      <c r="B151" s="4" t="n">
        <v>2</v>
      </c>
      <c r="C151" s="4" t="inlineStr">
        <is>
          <t>Sprint 8</t>
        </is>
      </c>
      <c r="D151" s="4" t="inlineStr">
        <is>
          <t>Calidad y estabilización</t>
        </is>
      </c>
      <c r="E151" s="4" t="inlineStr"/>
      <c r="F151" s="5" t="inlineStr">
        <is>
          <t>Calidad y estabilización</t>
        </is>
      </c>
      <c r="G151" s="4" t="inlineStr">
        <is>
          <t>ÉPICA</t>
        </is>
      </c>
      <c r="H151" s="5" t="inlineStr"/>
      <c r="I151" s="5" t="inlineStr"/>
    </row>
    <row r="152" ht="30" customHeight="1">
      <c r="A152" s="6" t="n">
        <v>151</v>
      </c>
      <c r="B152" s="6" t="n">
        <v>3</v>
      </c>
      <c r="C152" s="6" t="inlineStr">
        <is>
          <t>Sprint 8</t>
        </is>
      </c>
      <c r="D152" s="6" t="inlineStr">
        <is>
          <t>Calidad y estabilización</t>
        </is>
      </c>
      <c r="E152" s="6" t="inlineStr">
        <is>
          <t>Pruebas, aceptación y corrección de incidencias</t>
        </is>
      </c>
      <c r="F152" s="7" t="inlineStr">
        <is>
          <t>Grupo: Pruebas, aceptación y corrección de incidencias</t>
        </is>
      </c>
      <c r="G152" s="6" t="inlineStr">
        <is>
          <t>GRUPO (agrupador)</t>
        </is>
      </c>
      <c r="H152" s="7" t="inlineStr"/>
      <c r="I152" s="7" t="inlineStr"/>
    </row>
    <row r="153" ht="30" customHeight="1">
      <c r="A153" s="8" t="n">
        <v>152</v>
      </c>
      <c r="B153" s="8" t="n">
        <v>4</v>
      </c>
      <c r="C153" s="8" t="inlineStr">
        <is>
          <t>Sprint 8</t>
        </is>
      </c>
      <c r="D153" s="8" t="inlineStr">
        <is>
          <t>Calidad y estabilización</t>
        </is>
      </c>
      <c r="E153" s="8" t="inlineStr">
        <is>
          <t>Pruebas, aceptación y corrección de incidencias</t>
        </is>
      </c>
      <c r="F153" s="9" t="inlineStr">
        <is>
          <t>Pruebas de humo (smoke testing) en producción</t>
        </is>
      </c>
      <c r="G153" s="8" t="inlineStr">
        <is>
          <t>TAREA</t>
        </is>
      </c>
      <c r="H153" s="9" t="inlineStr"/>
      <c r="I153" s="9" t="inlineStr"/>
    </row>
    <row r="154" ht="30" customHeight="1">
      <c r="A154" s="4" t="n">
        <v>153</v>
      </c>
      <c r="B154" s="4" t="n">
        <v>2</v>
      </c>
      <c r="C154" s="4" t="inlineStr">
        <is>
          <t>Sprint 8</t>
        </is>
      </c>
      <c r="D154" s="4" t="inlineStr">
        <is>
          <t>Adopción y soporte</t>
        </is>
      </c>
      <c r="E154" s="4" t="inlineStr"/>
      <c r="F154" s="5" t="inlineStr">
        <is>
          <t>Adopción y soporte</t>
        </is>
      </c>
      <c r="G154" s="4" t="inlineStr">
        <is>
          <t>ÉPICA</t>
        </is>
      </c>
      <c r="H154" s="5" t="inlineStr"/>
      <c r="I154" s="5" t="inlineStr"/>
    </row>
    <row r="155" ht="30" customHeight="1">
      <c r="A155" s="6" t="n">
        <v>154</v>
      </c>
      <c r="B155" s="6" t="n">
        <v>3</v>
      </c>
      <c r="C155" s="6" t="inlineStr">
        <is>
          <t>Sprint 8</t>
        </is>
      </c>
      <c r="D155" s="6" t="inlineStr">
        <is>
          <t>Adopción y soporte</t>
        </is>
      </c>
      <c r="E155" s="6" t="inlineStr">
        <is>
          <t>Capacitación y soporte inicial</t>
        </is>
      </c>
      <c r="F155" s="7" t="inlineStr">
        <is>
          <t>Grupo: Capacitación y soporte inicial</t>
        </is>
      </c>
      <c r="G155" s="6" t="inlineStr">
        <is>
          <t>GRUPO (agrupador)</t>
        </is>
      </c>
      <c r="H155" s="7" t="inlineStr"/>
      <c r="I155" s="7" t="inlineStr"/>
    </row>
    <row r="156" ht="30" customHeight="1">
      <c r="A156" s="8" t="n">
        <v>155</v>
      </c>
      <c r="B156" s="8" t="n">
        <v>4</v>
      </c>
      <c r="C156" s="8" t="inlineStr">
        <is>
          <t>Sprint 8</t>
        </is>
      </c>
      <c r="D156" s="8" t="inlineStr">
        <is>
          <t>Adopción y soporte</t>
        </is>
      </c>
      <c r="E156" s="8" t="inlineStr">
        <is>
          <t>Capacitación y soporte inicial</t>
        </is>
      </c>
      <c r="F156" s="9" t="inlineStr">
        <is>
          <t>Elaboración de material de capacitación</t>
        </is>
      </c>
      <c r="G156" s="8" t="inlineStr">
        <is>
          <t>TAREA</t>
        </is>
      </c>
      <c r="H156" s="9" t="inlineStr"/>
      <c r="I156" s="9" t="inlineStr"/>
    </row>
    <row r="157" ht="30" customHeight="1">
      <c r="A157" s="11" t="n">
        <v>156</v>
      </c>
      <c r="B157" s="11" t="n">
        <v>4</v>
      </c>
      <c r="C157" s="11" t="inlineStr">
        <is>
          <t>Sprint 8</t>
        </is>
      </c>
      <c r="D157" s="11" t="inlineStr">
        <is>
          <t>Adopción y soporte</t>
        </is>
      </c>
      <c r="E157" s="11" t="inlineStr">
        <is>
          <t>Capacitación y soporte inicial</t>
        </is>
      </c>
      <c r="F157" s="12" t="inlineStr">
        <is>
          <t>Capacitación a administradores del sistema (módulo Web)</t>
        </is>
      </c>
      <c r="G157" s="11" t="inlineStr">
        <is>
          <t>HISTORIA</t>
        </is>
      </c>
      <c r="H157" s="12" t="inlineStr">
        <is>
          <t>Como administrador, quiero recibir capacitación sobre el uso del sistema web para gestionar eficientemente las operaciones.</t>
        </is>
      </c>
      <c r="I157" s="12" t="inlineStr"/>
    </row>
    <row r="158" ht="30" customHeight="1">
      <c r="A158" s="11" t="n">
        <v>157</v>
      </c>
      <c r="B158" s="11" t="n">
        <v>4</v>
      </c>
      <c r="C158" s="11" t="inlineStr">
        <is>
          <t>Sprint 8</t>
        </is>
      </c>
      <c r="D158" s="11" t="inlineStr">
        <is>
          <t>Adopción y soporte</t>
        </is>
      </c>
      <c r="E158" s="11" t="inlineStr">
        <is>
          <t>Capacitación y soporte inicial</t>
        </is>
      </c>
      <c r="F158" s="12" t="inlineStr">
        <is>
          <t>Capacitación a acopiadores / usuarios finales (App Móvil) en Huata</t>
        </is>
      </c>
      <c r="G158" s="11" t="inlineStr">
        <is>
          <t>HISTORIA</t>
        </is>
      </c>
      <c r="H158" s="12" t="inlineStr">
        <is>
          <t>Como acopiador, quiero recibir capacitación sobre el uso de la aplicación móvil en campo para aprender a registrar los recojos de leche correctamente.</t>
        </is>
      </c>
      <c r="I158" s="13" t="inlineStr">
        <is>
          <t>MOVIDO: estaba en 'Gestión operativa'; es capacitación, coincide con la épica de Adopción y soporte.</t>
        </is>
      </c>
    </row>
    <row r="159" ht="30" customHeight="1">
      <c r="A159" s="11" t="n">
        <v>158</v>
      </c>
      <c r="B159" s="11" t="n">
        <v>4</v>
      </c>
      <c r="C159" s="11" t="inlineStr">
        <is>
          <t>Sprint 8</t>
        </is>
      </c>
      <c r="D159" s="11" t="inlineStr">
        <is>
          <t>Adopción y soporte</t>
        </is>
      </c>
      <c r="E159" s="11" t="inlineStr">
        <is>
          <t>Capacitación y soporte inicial</t>
        </is>
      </c>
      <c r="F159" s="12" t="inlineStr">
        <is>
          <t>Soporte post-implementación (hipercare)</t>
        </is>
      </c>
      <c r="G159" s="11" t="inlineStr">
        <is>
          <t>HISTORIA</t>
        </is>
      </c>
      <c r="H159" s="12" t="inlineStr">
        <is>
          <t>Como usuario del sistema, quiero contar con soporte post-implementación para resolver dudas o problemas durante los primeros días de uso.</t>
        </is>
      </c>
      <c r="I159" s="12" t="inlineStr"/>
    </row>
    <row r="160" ht="30" customHeight="1">
      <c r="A160" s="2" t="n">
        <v>159</v>
      </c>
      <c r="B160" s="2" t="n">
        <v>1</v>
      </c>
      <c r="C160" s="2" t="inlineStr">
        <is>
          <t>Cierre</t>
        </is>
      </c>
      <c r="D160" s="2" t="inlineStr"/>
      <c r="E160" s="2" t="inlineStr"/>
      <c r="F160" s="3">
        <f>== Cierre ===</f>
        <v/>
      </c>
      <c r="G160" s="2" t="inlineStr">
        <is>
          <t>SPRINT</t>
        </is>
      </c>
      <c r="H160" s="3" t="inlineStr"/>
      <c r="I160" s="3" t="inlineStr"/>
    </row>
    <row r="161" ht="30" customHeight="1">
      <c r="A161" s="4" t="n">
        <v>160</v>
      </c>
      <c r="B161" s="4" t="n">
        <v>2</v>
      </c>
      <c r="C161" s="4" t="inlineStr">
        <is>
          <t>Cierre</t>
        </is>
      </c>
      <c r="D161" s="4" t="inlineStr">
        <is>
          <t>Cierre del proyecto</t>
        </is>
      </c>
      <c r="E161" s="4" t="inlineStr"/>
      <c r="F161" s="5" t="inlineStr">
        <is>
          <t>Cierre del proyecto</t>
        </is>
      </c>
      <c r="G161" s="4" t="inlineStr">
        <is>
          <t>ÉPICA</t>
        </is>
      </c>
      <c r="H161" s="5" t="inlineStr"/>
      <c r="I161" s="5" t="inlineStr"/>
    </row>
    <row r="162" ht="30" customHeight="1">
      <c r="A162" s="6" t="n">
        <v>161</v>
      </c>
      <c r="B162" s="6" t="n">
        <v>3</v>
      </c>
      <c r="C162" s="6" t="inlineStr">
        <is>
          <t>Cierre</t>
        </is>
      </c>
      <c r="D162" s="6" t="inlineStr">
        <is>
          <t>Cierre del proyecto</t>
        </is>
      </c>
      <c r="E162" s="6" t="inlineStr">
        <is>
          <t>Cierre y conformidad</t>
        </is>
      </c>
      <c r="F162" s="7" t="inlineStr">
        <is>
          <t>Grupo: Cierre y conformidad</t>
        </is>
      </c>
      <c r="G162" s="6" t="inlineStr">
        <is>
          <t>GRUPO (agrupador)</t>
        </is>
      </c>
      <c r="H162" s="7" t="inlineStr"/>
      <c r="I162" s="7" t="inlineStr"/>
    </row>
    <row r="163" ht="30" customHeight="1">
      <c r="A163" s="8" t="n">
        <v>162</v>
      </c>
      <c r="B163" s="8" t="n">
        <v>4</v>
      </c>
      <c r="C163" s="8" t="inlineStr">
        <is>
          <t>Cierre</t>
        </is>
      </c>
      <c r="D163" s="8" t="inlineStr">
        <is>
          <t>Cierre del proyecto</t>
        </is>
      </c>
      <c r="E163" s="8" t="inlineStr">
        <is>
          <t>Cierre y conformidad</t>
        </is>
      </c>
      <c r="F163" s="9" t="inlineStr">
        <is>
          <t>Elaboración del Acta de Cierre del Proyecto</t>
        </is>
      </c>
      <c r="G163" s="8" t="inlineStr">
        <is>
          <t>TAREA</t>
        </is>
      </c>
      <c r="H163" s="9" t="inlineStr"/>
      <c r="I163" s="9" t="inlineStr"/>
    </row>
    <row r="164" ht="30" customHeight="1">
      <c r="A164" s="8" t="n">
        <v>163</v>
      </c>
      <c r="B164" s="8" t="n">
        <v>4</v>
      </c>
      <c r="C164" s="8" t="inlineStr">
        <is>
          <t>Cierre</t>
        </is>
      </c>
      <c r="D164" s="8" t="inlineStr">
        <is>
          <t>Cierre del proyecto</t>
        </is>
      </c>
      <c r="E164" s="8" t="inlineStr">
        <is>
          <t>Cierre y conformidad</t>
        </is>
      </c>
      <c r="F164" s="9" t="inlineStr">
        <is>
          <t>Firma de conformidad final del cliente</t>
        </is>
      </c>
      <c r="G164" s="8" t="inlineStr">
        <is>
          <t>TAREA</t>
        </is>
      </c>
      <c r="H164" s="9" t="inlineStr"/>
      <c r="I164" s="9" t="inlineStr"/>
    </row>
    <row r="165" ht="30" customHeight="1">
      <c r="A165" s="8" t="n">
        <v>164</v>
      </c>
      <c r="B165" s="8" t="n">
        <v>4</v>
      </c>
      <c r="C165" s="8" t="inlineStr">
        <is>
          <t>Cierre</t>
        </is>
      </c>
      <c r="D165" s="8" t="inlineStr">
        <is>
          <t>Cierre del proyecto</t>
        </is>
      </c>
      <c r="E165" s="8" t="inlineStr">
        <is>
          <t>Cierre y conformidad</t>
        </is>
      </c>
      <c r="F165" s="9" t="inlineStr">
        <is>
          <t>Reunión de cierre con stakeholders</t>
        </is>
      </c>
      <c r="G165" s="8" t="inlineStr">
        <is>
          <t>TAREA</t>
        </is>
      </c>
      <c r="H165" s="9" t="inlineStr"/>
      <c r="I165" s="10" t="inlineStr">
        <is>
          <t>MOVIDO: estaba en 'Gestión y definición del producto'; es actividad de cierre.</t>
        </is>
      </c>
    </row>
    <row r="166" ht="30" customHeight="1">
      <c r="A166" s="4" t="n">
        <v>165</v>
      </c>
      <c r="B166" s="4" t="n">
        <v>2</v>
      </c>
      <c r="C166" s="4" t="inlineStr">
        <is>
          <t>Cierre</t>
        </is>
      </c>
      <c r="D166" s="4" t="inlineStr">
        <is>
          <t>Documentación</t>
        </is>
      </c>
      <c r="E166" s="4" t="inlineStr"/>
      <c r="F166" s="5" t="inlineStr">
        <is>
          <t>Documentación</t>
        </is>
      </c>
      <c r="G166" s="4" t="inlineStr">
        <is>
          <t>ÉPICA</t>
        </is>
      </c>
      <c r="H166" s="5" t="inlineStr"/>
      <c r="I166" s="5" t="inlineStr"/>
    </row>
    <row r="167" ht="30" customHeight="1">
      <c r="A167" s="6" t="n">
        <v>166</v>
      </c>
      <c r="B167" s="6" t="n">
        <v>3</v>
      </c>
      <c r="C167" s="6" t="inlineStr">
        <is>
          <t>Cierre</t>
        </is>
      </c>
      <c r="D167" s="6" t="inlineStr">
        <is>
          <t>Documentación</t>
        </is>
      </c>
      <c r="E167" s="6" t="inlineStr">
        <is>
          <t>Documentación técnica y de usuario</t>
        </is>
      </c>
      <c r="F167" s="7" t="inlineStr">
        <is>
          <t>Grupo: Documentación técnica y de usuario</t>
        </is>
      </c>
      <c r="G167" s="6" t="inlineStr">
        <is>
          <t>GRUPO (agrupador)</t>
        </is>
      </c>
      <c r="H167" s="7" t="inlineStr"/>
      <c r="I167" s="7" t="inlineStr"/>
    </row>
    <row r="168" ht="30" customHeight="1">
      <c r="A168" s="8" t="n">
        <v>167</v>
      </c>
      <c r="B168" s="8" t="n">
        <v>4</v>
      </c>
      <c r="C168" s="8" t="inlineStr">
        <is>
          <t>Cierre</t>
        </is>
      </c>
      <c r="D168" s="8" t="inlineStr">
        <is>
          <t>Documentación</t>
        </is>
      </c>
      <c r="E168" s="8" t="inlineStr">
        <is>
          <t>Documentación técnica y de usuario</t>
        </is>
      </c>
      <c r="F168" s="9" t="inlineStr">
        <is>
          <t>Entrega final de documentación</t>
        </is>
      </c>
      <c r="G168" s="8" t="inlineStr">
        <is>
          <t>TAREA</t>
        </is>
      </c>
      <c r="H168" s="9" t="inlineStr"/>
      <c r="I168" s="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30" customWidth="1" min="1" max="1"/>
  </cols>
  <sheetData>
    <row r="1">
      <c r="A1" s="14" t="inlineStr">
        <is>
          <t>CORRECCIONES APLICADAS AL WBS</t>
        </is>
      </c>
    </row>
    <row r="2">
      <c r="A2" s="15" t="inlineStr"/>
    </row>
    <row r="3">
      <c r="A3" s="15" t="inlineStr">
        <is>
          <t>1. Login Web y Móvil (Sprint 3): estaban en 'Plataforma y arquitectura técnica' → movidos a 'Autenticación y usuarios' (la épica correcta ya existía en el mismo sprint). Este fue el caso que reportaste.</t>
        </is>
      </c>
    </row>
    <row r="4">
      <c r="A4" s="15" t="inlineStr">
        <is>
          <t>2. 'Ajustes de prototipos según observaciones' (Sprint 2): estaba en 'Gestión y definición del producto' → movido a 'Experiencia de usuario (UX/UI)'.</t>
        </is>
      </c>
    </row>
    <row r="5">
      <c r="A5" s="15" t="inlineStr">
        <is>
          <t>3. Backend API Registro de Recojo + Web consulta de liquidaciones (Sprint 5): estaban en 'Gestión operativa' → movidos a 'Recolección y liquidación de leche'.</t>
        </is>
      </c>
    </row>
    <row r="6">
      <c r="A6" s="15" t="inlineStr">
        <is>
          <t>4. Móvil Captura de evidencia (Sprint 5): estaba en 'Plataforma y arquitectura técnica' → movido a 'Recolección y liquidación de leche'.</t>
        </is>
      </c>
    </row>
    <row r="7">
      <c r="A7" s="15" t="inlineStr">
        <is>
          <t>5. Backend Módulo de reportes gerenciales (Sprint 6): estaba en 'Gestión operativa' → movido a 'Reportes y administración'.</t>
        </is>
      </c>
    </row>
    <row r="8">
      <c r="A8" s="15" t="inlineStr">
        <is>
          <t>6. Móvil historial de recojos y reportes personales (Sprint 6): estaba en 'Recolección y liquidación de leche' → movido a 'Reportes y administración'.</t>
        </is>
      </c>
    </row>
    <row r="9">
      <c r="A9" s="15" t="inlineStr">
        <is>
          <t>7. Registro y priorización de bugs (Sprint 7): estaba en 'Gestión y definición del producto' → movido a 'Calidad y estabilización'.</t>
        </is>
      </c>
    </row>
    <row r="10">
      <c r="A10" s="15" t="inlineStr">
        <is>
          <t>8. Pruebas no funcionales (Sprint 7): estaban en 'Plataforma y arquitectura técnica' → movidas a 'Calidad y estabilización'.</t>
        </is>
      </c>
    </row>
    <row r="11">
      <c r="A11" s="15" t="inlineStr">
        <is>
          <t>9. Generación y distribución de APK (Sprint 8): estaba en 'Gestión del proyecto' → movido a 'Puesta en producción'.</t>
        </is>
      </c>
    </row>
    <row r="12">
      <c r="A12" s="15" t="inlineStr">
        <is>
          <t>10. Capacitación a acopiadores (Sprint 8): estaba en 'Gestión operativa' → movida a 'Adopción y soporte'.</t>
        </is>
      </c>
    </row>
    <row r="13">
      <c r="A13" s="15" t="inlineStr">
        <is>
          <t>11. Reunión de cierre con stakeholders (Cierre): estaba en 'Gestión y definición del producto' → movida a 'Cierre del proyecto'.</t>
        </is>
      </c>
    </row>
    <row r="14">
      <c r="A14" s="15" t="inlineStr"/>
    </row>
    <row r="15">
      <c r="A15" s="15" t="inlineStr">
        <is>
          <t>CAMBIO DE NOMBRE: el nivel 3 ya no se llama 'Historia: [nombre]' sino 'Grupo: [nombre]', porque no es una Historia de Usuario real — es solo un contenedor para agrupar tareas/historias relacionadas dentro de la épica. Llamarlo 'Historia' generaba confusión con las HU reales de la columna 'Tipo'.</t>
        </is>
      </c>
    </row>
    <row r="16">
      <c r="A16" s="15" t="inlineStr"/>
    </row>
    <row r="17">
      <c r="A17" s="15" t="inlineStr">
        <is>
          <t>REGLA GENERAL usada para decidir dónde va cada ítem: si ya existe en el mismo sprint una épica que describe mejor DE QUÉ TRATA el ítem (no CUÁNDO se hizo cronológicamente), el ítem se reubica ahí. 'Configurar mi entorno' es una épica sobre INFRAESTRUCTURA; un login es una épica sobre AUTENTICACIÓN, aunque ambos ocurran en el mismo sprint.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2026-08-24T23:38:18Z</dcterms:created>
  <dcterms:modified xmlns:dcterms="http://purl.org/dc/terms/" xmlns:xsi="http://www.w3.org/2001/XMLSchema-instance" xsi:type="dcterms:W3CDTF">2026-08-24T23:38:18Z</dcterms:modified>
</cp:coreProperties>
</file>