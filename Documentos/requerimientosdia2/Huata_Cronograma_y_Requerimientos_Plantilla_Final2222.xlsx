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30c225188848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esados" sheetId="2" r:id="R4169befdc3cb4872"/>
    <x:sheet xmlns:r="http://schemas.openxmlformats.org/officeDocument/2006/relationships" name="Reglas de Negocio" sheetId="3" r:id="R83083367ab6545ca"/>
    <x:sheet xmlns:r="http://schemas.openxmlformats.org/officeDocument/2006/relationships" name="Matriz Requerimientos" sheetId="4" r:id="Rab15cfaa629b4c44"/>
    <x:sheet xmlns:r="http://schemas.openxmlformats.org/officeDocument/2006/relationships" name="Casos de Prueba" sheetId="5" r:id="Rc806c02f2fdc4e66"/>
    <x:sheet xmlns:r="http://schemas.openxmlformats.org/officeDocument/2006/relationships" name="Matriz Trazabilidad" sheetId="6" r:id="R55e0584786304d62"/>
    <x:sheet xmlns:r="http://schemas.openxmlformats.org/officeDocument/2006/relationships" name="Cronograma" sheetId="7" r:id="R2a5c05ea7e0649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2">
    <x:font>
      <x:sz val="11"/>
      <x:color theme="1"/>
      <x:name val="Calibri"/>
    </x:font>
    <x:font>
      <x:b/>
      <x:sz val="14"/>
      <x:color rgb="FFFFFFFF"/>
      <x:name val="Arial"/>
    </x:font>
    <x:font>
      <x:i/>
      <x:sz val="9"/>
      <x:color rgb="FF5A6472"/>
      <x:name val="Arial"/>
    </x:font>
    <x:font>
      <x:b/>
      <x:sz val="10"/>
      <x:color rgb="FFFFFFFF"/>
      <x:name val="Arial"/>
    </x:font>
    <x:font>
      <x:sz val="9"/>
      <x:color rgb="FF1C1C1C"/>
      <x:name val="Arial"/>
    </x:font>
    <x:font>
      <x:b/>
      <x:sz val="9"/>
      <x:color rgb="FFFFFFFF"/>
      <x:name val="Arial"/>
    </x:font>
    <x:font>
      <x:b/>
      <x:sz val="18"/>
      <x:color rgb="FFFFFFFF"/>
      <x:name val="Calibri"/>
    </x:font>
    <x:font>
      <x:i/>
      <x:sz val="10"/>
      <x:color rgb="FF5B6573"/>
      <x:name val="Calibri"/>
    </x:font>
    <x:font>
      <x:b/>
      <x:sz val="10"/>
      <x:color rgb="FF17365D"/>
      <x:name val="Calibri"/>
    </x:font>
    <x:font>
      <x:b/>
      <x:sz val="10"/>
      <x:color rgb="FFFFFFFF"/>
      <x:name val="Calibri"/>
    </x:font>
    <x:font>
      <x:b/>
      <x:sz val="9"/>
      <x:color rgb="FFFFFFFF"/>
      <x:name val="Calibri"/>
    </x:font>
    <x:font>
      <x:sz val="9"/>
      <x:color rgb="FF343A40"/>
      <x:name val="Calibri"/>
    </x:font>
    <x:font>
      <x:b/>
      <x:sz val="9"/>
      <x:color rgb="FF17365D"/>
      <x:name val="Calibri"/>
    </x:font>
    <x:font>
      <x:b/>
      <x:sz val="11"/>
      <x:color rgb="FF17365D"/>
      <x:name val="Calibri"/>
    </x:font>
    <x:font>
      <x:i/>
      <x:sz val="9"/>
      <x:color rgb="FF5B6573"/>
      <x:name val="Calibri"/>
    </x:font>
    <x:font>
      <x:b/>
      <x:sz val="8"/>
      <x:color rgb="FFFFFFFF"/>
      <x:name val="Calibri"/>
    </x:font>
    <x:font>
      <x:b/>
      <x:sz val="15"/>
      <x:color rgb="FFFFFFFF"/>
      <x:name val="Calibri"/>
    </x:font>
    <x:font>
      <x:i/>
      <x:sz val="9"/>
      <x:color rgb="FF59636E"/>
      <x:name val="Calibri"/>
    </x:font>
    <x:font>
      <x:sz val="8"/>
      <x:color rgb="FF20354A"/>
      <x:name val="Calibri"/>
    </x:font>
    <x:font>
      <x:b/>
      <x:sz val="8"/>
      <x:color rgb="FF20354A"/>
      <x:name val="Calibri"/>
    </x:font>
    <x:font>
      <x:i/>
      <x:sz val="8"/>
      <x:color rgb="FF5F6B75"/>
      <x:name val="Calibri"/>
    </x:font>
    <x:font>
      <x:b/>
      <x:i/>
      <x:sz val="8"/>
      <x:color rgb="FF5F6B75"/>
      <x:name val="Calibri"/>
    </x:font>
  </x:fonts>
  <x:fills count="37">
    <x:fill>
      <x:patternFill patternType="none"/>
    </x:fill>
    <x:fill>
      <x:patternFill patternType="gray125"/>
    </x:fill>
    <x:fill>
      <x:patternFill patternType="solid">
        <x:fgColor rgb="FF12294D"/>
      </x:patternFill>
    </x:fill>
    <x:fill>
      <x:patternFill patternType="solid">
        <x:fgColor rgb="FFFFF6DC"/>
      </x:patternFill>
    </x:fill>
    <x:fill>
      <x:patternFill patternType="solid">
        <x:fgColor rgb="FFF4F6FA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C55A11"/>
      </x:patternFill>
    </x:fill>
    <x:fill>
      <x:patternFill patternType="solid">
        <x:fgColor rgb="FFFFF7DF"/>
      </x:patternFill>
    </x:fill>
    <x:fill>
      <x:patternFill patternType="solid">
        <x:fgColor rgb="FFD9EAF7"/>
      </x:patternFill>
    </x:fill>
    <x:fill>
      <x:patternFill patternType="solid">
        <x:fgColor rgb="FFBDD7EE"/>
      </x:patternFill>
    </x:fill>
    <x:fill>
      <x:patternFill patternType="solid">
        <x:fgColor rgb="FFC6E0B4"/>
      </x:patternFill>
    </x:fill>
    <x:fill>
      <x:patternFill patternType="solid">
        <x:fgColor rgb="FFF8CBAD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D9E5F2"/>
      </x:patternFill>
    </x:fill>
    <x:fill>
      <x:patternFill patternType="solid">
        <x:fgColor rgb="FFF8E7A2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9D8B4"/>
      </x:patternFill>
    </x:fill>
    <x:fill>
      <x:patternFill patternType="solid">
        <x:fgColor rgb="FFE4DFEC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C55A11"/>
      </x:patternFill>
    </x:fill>
    <x:fill>
      <x:patternFill patternType="solid">
        <x:fgColor rgb="FFBF9000"/>
      </x:patternFill>
    </x:fill>
    <x:fill>
      <x:patternFill patternType="solid">
        <x:fgColor rgb="FFA64B00"/>
      </x:patternFill>
    </x:fill>
    <x:fill>
      <x:patternFill patternType="solid">
        <x:fgColor rgb="FF8064A2"/>
      </x:patternFill>
    </x:fill>
    <x:fill>
      <x:patternFill patternType="solid">
        <x:fgColor rgb="FFFFF5D7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</x:fills>
  <x:borders count="48">
    <x:border/>
    <x:border>
      <x:left style="thin">
        <x:color rgb="FFC9D3E4"/>
      </x:left>
      <x:right style="thin">
        <x:color rgb="FFC9D3E4"/>
      </x:right>
      <x:top style="thin">
        <x:color rgb="FFC9D3E4"/>
      </x:top>
      <x:bottom style="thin">
        <x:color rgb="FFC9D3E4"/>
      </x:bottom>
    </x:border>
    <x:border/>
    <x:border>
      <x:left style="thin">
        <x:color rgb="FFC9D3E4"/>
      </x:left>
      <x:right style="thin">
        <x:color rgb="FFC9D3E4"/>
      </x:right>
      <x:top style="thin">
        <x:color rgb="FFC9D3E4"/>
      </x:top>
      <x:bottom style="thin">
        <x:color rgb="FFC9D3E4"/>
      </x:bottom>
    </x:border>
    <x:border>
      <x:left style="thin">
        <x:color rgb="FFA6B6C8"/>
      </x:left>
      <x:top style="thin">
        <x:color rgb="FFA6B6C8"/>
      </x:top>
      <x:bottom style="thin">
        <x:color rgb="FFA6B6C8"/>
      </x:bottom>
    </x:border>
    <x:border>
      <x:top style="thin">
        <x:color rgb="FFA6B6C8"/>
      </x:top>
      <x:bottom style="thin">
        <x:color rgb="FFA6B6C8"/>
      </x:bottom>
    </x:border>
    <x:border>
      <x:right style="thin">
        <x:color rgb="FFA6B6C8"/>
      </x:right>
      <x:top style="thin">
        <x:color rgb="FFA6B6C8"/>
      </x:top>
      <x:bottom style="thin">
        <x:color rgb="FFA6B6C8"/>
      </x:bottom>
    </x:border>
    <x:border>
      <x:left style="thin">
        <x:color rgb="FFA6B6C8"/>
      </x:left>
      <x:top style="thin">
        <x:color rgb="FFA6B6C8"/>
      </x:top>
      <x:bottom style="thin">
        <x:color rgb="FFA6B6C8"/>
      </x:bottom>
    </x:border>
    <x:border>
      <x:top style="thin">
        <x:color rgb="FFA6B6C8"/>
      </x:top>
      <x:bottom style="thin">
        <x:color rgb="FFA6B6C8"/>
      </x:bottom>
    </x:border>
    <x:border>
      <x:right style="thin">
        <x:color rgb="FFA6B6C8"/>
      </x:right>
      <x:top style="thin">
        <x:color rgb="FFA6B6C8"/>
      </x:top>
      <x:bottom style="thin">
        <x:color rgb="FFA6B6C8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5DEE8"/>
      </x:left>
      <x:top style="thin">
        <x:color rgb="FFD5DEE8"/>
      </x:top>
    </x:border>
    <x:border>
      <x:top style="thin">
        <x:color rgb="FFD5DEE8"/>
      </x:top>
    </x:border>
    <x:border>
      <x:right style="thin">
        <x:color rgb="FFD5DEE8"/>
      </x:right>
      <x:top style="thin">
        <x:color rgb="FFD5DEE8"/>
      </x:top>
    </x:border>
    <x:border>
      <x:left style="thin">
        <x:color rgb="FFD5DEE8"/>
      </x:left>
    </x:border>
    <x:border>
      <x:right style="thin">
        <x:color rgb="FFD5DEE8"/>
      </x:right>
    </x:border>
    <x:border>
      <x:left style="thin">
        <x:color rgb="FFD5DEE8"/>
      </x:left>
      <x:bottom style="thin">
        <x:color rgb="FFD5DEE8"/>
      </x:bottom>
    </x:border>
    <x:border>
      <x:bottom style="thin">
        <x:color rgb="FFD5DEE8"/>
      </x:bottom>
    </x:border>
    <x:border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top style="thin">
        <x:color rgb="FFD5DEE8"/>
      </x:top>
    </x:border>
    <x:border>
      <x:top style="thin">
        <x:color rgb="FFD5DEE8"/>
      </x:top>
    </x:border>
    <x:border>
      <x:right style="thin">
        <x:color rgb="FFD5DEE8"/>
      </x:right>
      <x:top style="thin">
        <x:color rgb="FFD5DEE8"/>
      </x:top>
    </x:border>
    <x:border>
      <x:left style="thin">
        <x:color rgb="FFD5DEE8"/>
      </x:left>
    </x:border>
    <x:border>
      <x:right style="thin">
        <x:color rgb="FFD5DEE8"/>
      </x:right>
    </x:border>
    <x:border>
      <x:left style="thin">
        <x:color rgb="FFD5DEE8"/>
      </x:left>
      <x:bottom style="thin">
        <x:color rgb="FFD5DEE8"/>
      </x:bottom>
    </x:border>
    <x:border>
      <x:bottom style="thin">
        <x:color rgb="FFD5DEE8"/>
      </x:bottom>
    </x:border>
    <x:border>
      <x:right style="thin">
        <x:color rgb="FFD5DEE8"/>
      </x:right>
      <x:bottom style="thin">
        <x:color rgb="FFD5DEE8"/>
      </x:bottom>
    </x:border>
    <x:border>
      <x:left style="thin">
        <x:color rgb="FFA6B6C8"/>
      </x:left>
      <x:right style="thin">
        <x:color rgb="FFA6B6C8"/>
      </x:right>
      <x:top style="thin">
        <x:color rgb="FFA6B6C8"/>
      </x:top>
      <x:bottom style="thin">
        <x:color rgb="FFA6B6C8"/>
      </x:bottom>
    </x:border>
    <x:border>
      <x:left style="thin">
        <x:color rgb="FFA6B6C8"/>
      </x:left>
      <x:right style="thin">
        <x:color rgb="FFA6B6C8"/>
      </x:right>
      <x:top style="thin">
        <x:color rgb="FFA6B6C8"/>
      </x:top>
      <x:bottom style="thin">
        <x:color rgb="FFA6B6C8"/>
      </x:bottom>
    </x:border>
    <x:border>
      <x:left style="hair">
        <x:color rgb="FFD4DCE5"/>
      </x:left>
      <x:top style="hair">
        <x:color rgb="FFC8D1DC"/>
      </x:top>
      <x:bottom style="thin">
        <x:color rgb="FFFFFFFF"/>
      </x:bottom>
    </x:border>
    <x:border>
      <x:top style="hair">
        <x:color rgb="FFC8D1DC"/>
      </x:top>
      <x:bottom style="thin">
        <x:color rgb="FFFFFFFF"/>
      </x:bottom>
    </x:border>
    <x:border>
      <x:right style="hair">
        <x:color rgb="FFD4DCE5"/>
      </x:right>
      <x:top style="hair">
        <x:color rgb="FFC8D1DC"/>
      </x:top>
      <x:bottom style="thin">
        <x:color rgb="FFFFFFFF"/>
      </x:bottom>
    </x:border>
    <x:border>
      <x:left style="hair">
        <x:color rgb="FFD4DCE5"/>
      </x:left>
      <x:top style="thin">
        <x:color rgb="FFD5DEE8"/>
      </x:top>
    </x:border>
    <x:border>
      <x:right style="hair">
        <x:color rgb="FFD4DCE5"/>
      </x:right>
      <x:top style="thin">
        <x:color rgb="FFD5DEE8"/>
      </x:top>
    </x:border>
    <x:border>
      <x:left style="hair">
        <x:color rgb="FFD4DCE5"/>
      </x:left>
    </x:border>
    <x:border>
      <x:right style="hair">
        <x:color rgb="FFD4DCE5"/>
      </x:right>
    </x:border>
    <x:border>
      <x:left style="hair">
        <x:color rgb="FFD4DCE5"/>
      </x:left>
      <x:bottom style="hair">
        <x:color rgb="FFC8D1DC"/>
      </x:bottom>
    </x:border>
    <x:border>
      <x:bottom style="hair">
        <x:color rgb="FFC8D1DC"/>
      </x:bottom>
    </x:border>
    <x:border>
      <x:left style="thin">
        <x:color rgb="FFA6B6C8"/>
      </x:left>
      <x:right style="thin">
        <x:color rgb="FFA6B6C8"/>
      </x:right>
      <x:top style="thin">
        <x:color rgb="FFA6B6C8"/>
      </x:top>
      <x:bottom style="hair">
        <x:color rgb="FFC8D1DC"/>
      </x:bottom>
    </x:border>
    <x:border>
      <x:right style="hair">
        <x:color rgb="FFD4DCE5"/>
      </x:right>
      <x:bottom style="hair">
        <x:color rgb="FFC8D1DC"/>
      </x:bottom>
    </x:border>
    <x:border>
      <x:left style="hair">
        <x:color rgb="FFD4DCE5"/>
      </x:left>
      <x:top style="hair">
        <x:color rgb="FFC8D1DC"/>
      </x:top>
    </x:border>
    <x:border>
      <x:top style="hair">
        <x:color rgb="FFC8D1DC"/>
      </x:top>
    </x:border>
    <x:border>
      <x:right style="hair">
        <x:color rgb="FFD4DCE5"/>
      </x:right>
      <x:top style="hair">
        <x:color rgb="FFC8D1DC"/>
      </x:top>
    </x:border>
  </x:borders>
  <x:cellStyleXfs count="1">
    <x:xf numFmtId="0" fontId="0" fillId="0" borderId="0"/>
  </x:cellStyleXfs>
  <x:cellXfs count="641">
    <x:xf numFmtId="0" fontId="0" fillId="0" borderId="0" xfId="0"/>
    <x:xf numFmtId="0" fontId="3" fillId="2" borderId="1" xfId="0" applyFont="1" applyFill="1" applyBorder="1" applyAlignment="1">
      <x:alignment horizontal="center" vertical="center" wrapText="1"/>
    </x:xf>
    <x:xf numFmtId="0" fontId="4" fillId="3" borderId="1" xfId="0" applyFont="1" applyFill="1" applyBorder="1" applyAlignment="1">
      <x:alignment horizontal="center" vertical="center" wrapText="1"/>
    </x:xf>
    <x:xf numFmtId="0" fontId="4" fillId="3" borderId="1" xfId="0" applyFont="1" applyFill="1" applyBorder="1" applyAlignment="1">
      <x:alignment horizontal="left" vertical="center" wrapText="1"/>
    </x:xf>
    <x:xf numFmtId="0" fontId="4" fillId="3" borderId="1" xfId="0" applyFont="1" applyFill="1" applyBorder="1" applyAlignment="1">
      <x:alignment horizontal="left" vertical="top" wrapText="1"/>
    </x:xf>
    <x:xf numFmtId="0" fontId="5" fillId="2" borderId="1" xfId="0" applyFont="1" applyFill="1" applyBorder="1" applyAlignment="1">
      <x:alignment horizontal="center" vertical="center" wrapText="1"/>
    </x:xf>
    <x:xf numFmtId="0" fontId="4" fillId="4" borderId="1" xfId="0" applyFont="1" applyFill="1" applyBorder="1" applyAlignment="1">
      <x:alignment horizontal="center" vertical="center" wrapText="1"/>
    </x:xf>
    <x:xf numFmtId="0" fontId="4" fillId="4" borderId="1" xfId="0" applyFont="1" applyFill="1" applyBorder="1" applyAlignment="1">
      <x:alignment horizontal="left" vertical="center" wrapText="1"/>
    </x:xf>
    <x:xf numFmtId="0" fontId="1" fillId="2" borderId="0" xfId="0" applyFont="1" applyFill="1" applyAlignment="1">
      <x:alignment horizontal="left" vertical="center"/>
    </x:xf>
    <x:xf numFmtId="0" fontId="2" fillId="0" borderId="0" xfId="0" applyFont="1" applyAlignment="1">
      <x:alignment horizontal="left" vertical="center"/>
    </x:xf>
    <x:xf numFmtId="0" fontId="0" fillId="0" borderId="2" xfId="0" applyNumberFormat="1" applyFont="1" applyFill="1" applyBorder="1"/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left" vertical="center" wrapText="1"/>
    </x:xf>
    <x:xf numFmtId="0" fontId="4" fillId="3" borderId="3" xfId="0" applyNumberFormat="1" applyFont="1" applyFill="1" applyBorder="1" applyAlignment="1">
      <x:alignment horizontal="left" vertical="top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left" vertical="center"/>
    </x:xf>
    <x:xf numFmtId="0" fontId="2" fillId="0" borderId="2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0" fillId="5" borderId="2" xfId="0" applyNumberFormat="1" applyFont="1" applyFill="1" applyBorder="1"/>
    <x:xf numFmtId="0" fontId="6" fillId="5" borderId="2" xfId="0" applyNumberFormat="1" applyFont="1" applyFill="1" applyBorder="1"/>
    <x:xf numFmtId="0" fontId="6" fillId="5" borderId="2" xfId="0" applyNumberFormat="1" applyFont="1" applyFill="1" applyBorder="1" applyAlignment="1">
      <x:alignment horizontal="left"/>
    </x:xf>
    <x:xf numFmtId="0" fontId="6" fillId="5" borderId="2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4" xfId="0" applyNumberFormat="1" applyFont="1" applyFill="1" applyBorder="1"/>
    <x:xf numFmtId="0" fontId="8" fillId="6" borderId="5" xfId="0" applyNumberFormat="1" applyFont="1" applyFill="1" applyBorder="1"/>
    <x:xf numFmtId="0" fontId="8" fillId="6" borderId="6" xfId="0" applyNumberFormat="1" applyFont="1" applyFill="1" applyBorder="1"/>
    <x:xf numFmtId="0" fontId="8" fillId="6" borderId="4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wrapText="1"/>
    </x:xf>
    <x:xf numFmtId="0" fontId="8" fillId="6" borderId="6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horizontal="center" wrapText="1"/>
    </x:xf>
    <x:xf numFmtId="0" fontId="8" fillId="6" borderId="5" xfId="0" applyNumberFormat="1" applyFont="1" applyFill="1" applyBorder="1" applyAlignment="1">
      <x:alignment horizontal="center" wrapText="1"/>
    </x:xf>
    <x:xf numFmtId="0" fontId="8" fillId="6" borderId="6" xfId="0" applyNumberFormat="1" applyFont="1" applyFill="1" applyBorder="1" applyAlignment="1">
      <x:alignment horizontal="center" wrapText="1"/>
    </x:xf>
    <x:xf numFmtId="0" fontId="8" fillId="6" borderId="4" xfId="0" applyNumberFormat="1" applyFont="1" applyFill="1" applyBorder="1" applyAlignment="1">
      <x:alignment horizontal="center" vertical="center" wrapText="1"/>
    </x:xf>
    <x:xf numFmtId="0" fontId="8" fillId="6" borderId="5" xfId="0" applyNumberFormat="1" applyFont="1" applyFill="1" applyBorder="1" applyAlignment="1">
      <x:alignment horizontal="center" vertical="center" wrapText="1"/>
    </x:xf>
    <x:xf numFmtId="0" fontId="8" fillId="6" borderId="6" xfId="0" applyNumberFormat="1" applyFont="1" applyFill="1" applyBorder="1" applyAlignment="1">
      <x:alignment horizontal="center" vertical="center" wrapText="1"/>
    </x:xf>
    <x:xf numFmtId="0" fontId="0" fillId="6" borderId="2" xfId="0" applyNumberFormat="1" applyFont="1" applyFill="1" applyBorder="1"/>
    <x:xf numFmtId="0" fontId="8" fillId="6" borderId="2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8" fillId="6" borderId="7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wrapText="1"/>
    </x:xf>
    <x:xf numFmtId="0" fontId="8" fillId="6" borderId="9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horizontal="center" wrapText="1"/>
    </x:xf>
    <x:xf numFmtId="0" fontId="8" fillId="6" borderId="8" xfId="0" applyNumberFormat="1" applyFont="1" applyFill="1" applyBorder="1" applyAlignment="1">
      <x:alignment horizontal="center" wrapText="1"/>
    </x:xf>
    <x:xf numFmtId="0" fontId="8" fillId="6" borderId="9" xfId="0" applyNumberFormat="1" applyFont="1" applyFill="1" applyBorder="1" applyAlignment="1">
      <x:alignment horizontal="center" wrapText="1"/>
    </x:xf>
    <x:xf numFmtId="0" fontId="8" fillId="6" borderId="7" xfId="0" applyNumberFormat="1" applyFont="1" applyFill="1" applyBorder="1" applyAlignment="1">
      <x:alignment horizontal="center" vertical="center" wrapText="1"/>
    </x:xf>
    <x:xf numFmtId="0" fontId="8" fillId="6" borderId="8" xfId="0" applyNumberFormat="1" applyFont="1" applyFill="1" applyBorder="1" applyAlignment="1">
      <x:alignment horizontal="center" vertical="center" wrapText="1"/>
    </x:xf>
    <x:xf numFmtId="0" fontId="8" fillId="6" borderId="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5" xfId="0" applyNumberFormat="1" applyFont="1" applyFill="1" applyBorder="1"/>
    <x:xf numFmtId="0" fontId="8" fillId="7" borderId="6" xfId="0" applyNumberFormat="1" applyFont="1" applyFill="1" applyBorder="1"/>
    <x:xf numFmtId="0" fontId="8" fillId="7" borderId="4" xfId="0" applyNumberFormat="1" applyFont="1" applyFill="1" applyBorder="1" applyAlignment="1">
      <x:alignment wrapText="1"/>
    </x:xf>
    <x:xf numFmtId="0" fontId="8" fillId="7" borderId="5" xfId="0" applyNumberFormat="1" applyFont="1" applyFill="1" applyBorder="1" applyAlignment="1">
      <x:alignment wrapText="1"/>
    </x:xf>
    <x:xf numFmtId="0" fontId="8" fillId="7" borderId="6" xfId="0" applyNumberFormat="1" applyFont="1" applyFill="1" applyBorder="1" applyAlignment="1">
      <x:alignment wrapText="1"/>
    </x:xf>
    <x:xf numFmtId="0" fontId="8" fillId="7" borderId="4" xfId="0" applyNumberFormat="1" applyFont="1" applyFill="1" applyBorder="1" applyAlignment="1">
      <x:alignment horizontal="center" wrapText="1"/>
    </x:xf>
    <x:xf numFmtId="0" fontId="8" fillId="7" borderId="5" xfId="0" applyNumberFormat="1" applyFont="1" applyFill="1" applyBorder="1" applyAlignment="1">
      <x:alignment horizontal="center" wrapText="1"/>
    </x:xf>
    <x:xf numFmtId="0" fontId="8" fillId="7" borderId="6" xfId="0" applyNumberFormat="1" applyFont="1" applyFill="1" applyBorder="1" applyAlignment="1">
      <x:alignment horizontal="center" wrapText="1"/>
    </x:xf>
    <x:xf numFmtId="0" fontId="8" fillId="7" borderId="4" xfId="0" applyNumberFormat="1" applyFont="1" applyFill="1" applyBorder="1" applyAlignment="1">
      <x:alignment horizontal="center" vertical="center" wrapText="1"/>
    </x:xf>
    <x:xf numFmtId="0" fontId="8" fillId="7" borderId="5" xfId="0" applyNumberFormat="1" applyFont="1" applyFill="1" applyBorder="1" applyAlignment="1">
      <x:alignment horizontal="center" vertical="center" wrapText="1"/>
    </x:xf>
    <x:xf numFmtId="0" fontId="8" fillId="7" borderId="6" xfId="0" applyNumberFormat="1" applyFont="1" applyFill="1" applyBorder="1" applyAlignment="1">
      <x:alignment horizontal="center" vertical="center" wrapText="1"/>
    </x:xf>
    <x:xf numFmtId="0" fontId="0" fillId="7" borderId="2" xfId="0" applyNumberFormat="1" applyFont="1" applyFill="1" applyBorder="1"/>
    <x:xf numFmtId="0" fontId="8" fillId="7" borderId="2" xfId="0" applyNumberFormat="1" applyFont="1" applyFill="1" applyBorder="1"/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9" xfId="0" applyNumberFormat="1" applyFont="1" applyFill="1" applyBorder="1"/>
    <x:xf numFmtId="0" fontId="8" fillId="7" borderId="7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wrapText="1"/>
    </x:xf>
    <x:xf numFmtId="0" fontId="8" fillId="7" borderId="9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horizontal="center" wrapText="1"/>
    </x:xf>
    <x:xf numFmtId="0" fontId="8" fillId="7" borderId="8" xfId="0" applyNumberFormat="1" applyFont="1" applyFill="1" applyBorder="1" applyAlignment="1">
      <x:alignment horizontal="center" wrapText="1"/>
    </x:xf>
    <x:xf numFmtId="0" fontId="8" fillId="7" borderId="9" xfId="0" applyNumberFormat="1" applyFont="1" applyFill="1" applyBorder="1" applyAlignment="1">
      <x:alignment horizontal="center" wrapText="1"/>
    </x:xf>
    <x:xf numFmtId="0" fontId="8" fillId="7" borderId="7" xfId="0" applyNumberFormat="1" applyFont="1" applyFill="1" applyBorder="1" applyAlignment="1">
      <x:alignment horizontal="center" vertical="center" wrapText="1"/>
    </x:xf>
    <x:xf numFmtId="0" fontId="8" fillId="7" borderId="8" xfId="0" applyNumberFormat="1" applyFont="1" applyFill="1" applyBorder="1" applyAlignment="1">
      <x:alignment horizontal="center" vertical="center" wrapText="1"/>
    </x:xf>
    <x:xf numFmtId="0" fontId="8" fillId="7" borderId="9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4" xfId="0" applyNumberFormat="1" applyFont="1" applyFill="1" applyBorder="1"/>
    <x:xf numFmtId="0" fontId="8" fillId="8" borderId="5" xfId="0" applyNumberFormat="1" applyFont="1" applyFill="1" applyBorder="1"/>
    <x:xf numFmtId="0" fontId="8" fillId="8" borderId="6" xfId="0" applyNumberFormat="1" applyFont="1" applyFill="1" applyBorder="1"/>
    <x:xf numFmtId="0" fontId="8" fillId="8" borderId="4" xfId="0" applyNumberFormat="1" applyFont="1" applyFill="1" applyBorder="1" applyAlignment="1">
      <x:alignment wrapText="1"/>
    </x:xf>
    <x:xf numFmtId="0" fontId="8" fillId="8" borderId="5" xfId="0" applyNumberFormat="1" applyFont="1" applyFill="1" applyBorder="1" applyAlignment="1">
      <x:alignment wrapText="1"/>
    </x:xf>
    <x:xf numFmtId="0" fontId="8" fillId="8" borderId="6" xfId="0" applyNumberFormat="1" applyFont="1" applyFill="1" applyBorder="1" applyAlignment="1">
      <x:alignment wrapText="1"/>
    </x:xf>
    <x:xf numFmtId="0" fontId="8" fillId="8" borderId="4" xfId="0" applyNumberFormat="1" applyFont="1" applyFill="1" applyBorder="1" applyAlignment="1">
      <x:alignment horizontal="center" wrapText="1"/>
    </x:xf>
    <x:xf numFmtId="0" fontId="8" fillId="8" borderId="5" xfId="0" applyNumberFormat="1" applyFont="1" applyFill="1" applyBorder="1" applyAlignment="1">
      <x:alignment horizontal="center" wrapText="1"/>
    </x:xf>
    <x:xf numFmtId="0" fontId="8" fillId="8" borderId="6" xfId="0" applyNumberFormat="1" applyFont="1" applyFill="1" applyBorder="1" applyAlignment="1">
      <x:alignment horizontal="center" wrapText="1"/>
    </x:xf>
    <x:xf numFmtId="0" fontId="8" fillId="8" borderId="4" xfId="0" applyNumberFormat="1" applyFont="1" applyFill="1" applyBorder="1" applyAlignment="1">
      <x:alignment horizontal="center" vertical="center" wrapText="1"/>
    </x:xf>
    <x:xf numFmtId="0" fontId="8" fillId="8" borderId="5" xfId="0" applyNumberFormat="1" applyFont="1" applyFill="1" applyBorder="1" applyAlignment="1">
      <x:alignment horizontal="center" vertical="center" wrapText="1"/>
    </x:xf>
    <x:xf numFmtId="0" fontId="8" fillId="8" borderId="6" xfId="0" applyNumberFormat="1" applyFont="1" applyFill="1" applyBorder="1" applyAlignment="1">
      <x:alignment horizontal="center" vertical="center" wrapText="1"/>
    </x:xf>
    <x:xf numFmtId="0" fontId="0" fillId="8" borderId="2" xfId="0" applyNumberFormat="1" applyFont="1" applyFill="1" applyBorder="1"/>
    <x:xf numFmtId="0" fontId="8" fillId="8" borderId="2" xfId="0" applyNumberFormat="1" applyFont="1" applyFill="1" applyBorder="1"/>
    <x:xf numFmtId="0" fontId="8" fillId="8" borderId="7" xfId="0" applyNumberFormat="1" applyFont="1" applyFill="1" applyBorder="1"/>
    <x:xf numFmtId="0" fontId="8" fillId="8" borderId="8" xfId="0" applyNumberFormat="1" applyFont="1" applyFill="1" applyBorder="1"/>
    <x:xf numFmtId="0" fontId="8" fillId="8" borderId="9" xfId="0" applyNumberFormat="1" applyFont="1" applyFill="1" applyBorder="1"/>
    <x:xf numFmtId="0" fontId="8" fillId="8" borderId="7" xfId="0" applyNumberFormat="1" applyFont="1" applyFill="1" applyBorder="1" applyAlignment="1">
      <x:alignment wrapText="1"/>
    </x:xf>
    <x:xf numFmtId="0" fontId="8" fillId="8" borderId="8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wrapText="1"/>
    </x:xf>
    <x:xf numFmtId="0" fontId="8" fillId="8" borderId="7" xfId="0" applyNumberFormat="1" applyFont="1" applyFill="1" applyBorder="1" applyAlignment="1">
      <x:alignment horizontal="center" wrapText="1"/>
    </x:xf>
    <x:xf numFmtId="0" fontId="8" fillId="8" borderId="8" xfId="0" applyNumberFormat="1" applyFont="1" applyFill="1" applyBorder="1" applyAlignment="1">
      <x:alignment horizontal="center" wrapText="1"/>
    </x:xf>
    <x:xf numFmtId="0" fontId="8" fillId="8" borderId="9" xfId="0" applyNumberFormat="1" applyFont="1" applyFill="1" applyBorder="1" applyAlignment="1">
      <x:alignment horizontal="center" wrapText="1"/>
    </x:xf>
    <x:xf numFmtId="0" fontId="8" fillId="8" borderId="7" xfId="0" applyNumberFormat="1" applyFont="1" applyFill="1" applyBorder="1" applyAlignment="1">
      <x:alignment horizontal="center" vertical="center" wrapText="1"/>
    </x:xf>
    <x:xf numFmtId="0" fontId="8" fillId="8" borderId="8" xfId="0" applyNumberFormat="1" applyFont="1" applyFill="1" applyBorder="1" applyAlignment="1">
      <x:alignment horizontal="center" vertical="center" wrapText="1"/>
    </x:xf>
    <x:xf numFmtId="0" fontId="8" fillId="8" borderId="9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4" xfId="0" applyNumberFormat="1" applyFont="1" applyFill="1" applyBorder="1"/>
    <x:xf numFmtId="0" fontId="8" fillId="9" borderId="5" xfId="0" applyNumberFormat="1" applyFont="1" applyFill="1" applyBorder="1"/>
    <x:xf numFmtId="0" fontId="8" fillId="9" borderId="6" xfId="0" applyNumberFormat="1" applyFont="1" applyFill="1" applyBorder="1"/>
    <x:xf numFmtId="0" fontId="8" fillId="9" borderId="4" xfId="0" applyNumberFormat="1" applyFont="1" applyFill="1" applyBorder="1" applyAlignment="1">
      <x:alignment wrapText="1"/>
    </x:xf>
    <x:xf numFmtId="0" fontId="8" fillId="9" borderId="5" xfId="0" applyNumberFormat="1" applyFont="1" applyFill="1" applyBorder="1" applyAlignment="1">
      <x:alignment wrapText="1"/>
    </x:xf>
    <x:xf numFmtId="0" fontId="8" fillId="9" borderId="6" xfId="0" applyNumberFormat="1" applyFont="1" applyFill="1" applyBorder="1" applyAlignment="1">
      <x:alignment wrapText="1"/>
    </x:xf>
    <x:xf numFmtId="0" fontId="8" fillId="9" borderId="4" xfId="0" applyNumberFormat="1" applyFont="1" applyFill="1" applyBorder="1" applyAlignment="1">
      <x:alignment horizontal="center" wrapText="1"/>
    </x:xf>
    <x:xf numFmtId="0" fontId="8" fillId="9" borderId="5" xfId="0" applyNumberFormat="1" applyFont="1" applyFill="1" applyBorder="1" applyAlignment="1">
      <x:alignment horizontal="center" wrapText="1"/>
    </x:xf>
    <x:xf numFmtId="0" fontId="8" fillId="9" borderId="6" xfId="0" applyNumberFormat="1" applyFont="1" applyFill="1" applyBorder="1" applyAlignment="1">
      <x:alignment horizontal="center" wrapText="1"/>
    </x:xf>
    <x:xf numFmtId="0" fontId="8" fillId="9" borderId="4" xfId="0" applyNumberFormat="1" applyFont="1" applyFill="1" applyBorder="1" applyAlignment="1">
      <x:alignment horizontal="center" vertical="center" wrapText="1"/>
    </x:xf>
    <x:xf numFmtId="0" fontId="8" fillId="9" borderId="5" xfId="0" applyNumberFormat="1" applyFont="1" applyFill="1" applyBorder="1" applyAlignment="1">
      <x:alignment horizontal="center" vertical="center" wrapText="1"/>
    </x:xf>
    <x:xf numFmtId="0" fontId="8" fillId="9" borderId="6" xfId="0" applyNumberFormat="1" applyFont="1" applyFill="1" applyBorder="1" applyAlignment="1">
      <x:alignment horizontal="center" vertical="center" wrapText="1"/>
    </x:xf>
    <x:xf numFmtId="0" fontId="0" fillId="9" borderId="2" xfId="0" applyNumberFormat="1" applyFont="1" applyFill="1" applyBorder="1"/>
    <x:xf numFmtId="0" fontId="8" fillId="9" borderId="2" xfId="0" applyNumberFormat="1" applyFont="1" applyFill="1" applyBorder="1"/>
    <x:xf numFmtId="0" fontId="8" fillId="9" borderId="7" xfId="0" applyNumberFormat="1" applyFont="1" applyFill="1" applyBorder="1"/>
    <x:xf numFmtId="0" fontId="8" fillId="9" borderId="8" xfId="0" applyNumberFormat="1" applyFont="1" applyFill="1" applyBorder="1"/>
    <x:xf numFmtId="0" fontId="8" fillId="9" borderId="9" xfId="0" applyNumberFormat="1" applyFont="1" applyFill="1" applyBorder="1"/>
    <x:xf numFmtId="0" fontId="8" fillId="9" borderId="7" xfId="0" applyNumberFormat="1" applyFont="1" applyFill="1" applyBorder="1" applyAlignment="1">
      <x:alignment wrapText="1"/>
    </x:xf>
    <x:xf numFmtId="0" fontId="8" fillId="9" borderId="8" xfId="0" applyNumberFormat="1" applyFont="1" applyFill="1" applyBorder="1" applyAlignment="1">
      <x:alignment wrapText="1"/>
    </x:xf>
    <x:xf numFmtId="0" fontId="8" fillId="9" borderId="9" xfId="0" applyNumberFormat="1" applyFont="1" applyFill="1" applyBorder="1" applyAlignment="1">
      <x:alignment wrapText="1"/>
    </x:xf>
    <x:xf numFmtId="0" fontId="8" fillId="9" borderId="7" xfId="0" applyNumberFormat="1" applyFont="1" applyFill="1" applyBorder="1" applyAlignment="1">
      <x:alignment horizontal="center" wrapText="1"/>
    </x:xf>
    <x:xf numFmtId="0" fontId="8" fillId="9" borderId="8" xfId="0" applyNumberFormat="1" applyFont="1" applyFill="1" applyBorder="1" applyAlignment="1">
      <x:alignment horizontal="center" wrapText="1"/>
    </x:xf>
    <x:xf numFmtId="0" fontId="8" fillId="9" borderId="9" xfId="0" applyNumberFormat="1" applyFont="1" applyFill="1" applyBorder="1" applyAlignment="1">
      <x:alignment horizontal="center" wrapText="1"/>
    </x:xf>
    <x:xf numFmtId="0" fontId="8" fillId="9" borderId="7" xfId="0" applyNumberFormat="1" applyFont="1" applyFill="1" applyBorder="1" applyAlignment="1">
      <x:alignment horizontal="center" vertical="center" wrapText="1"/>
    </x:xf>
    <x:xf numFmtId="0" fontId="8" fillId="9" borderId="8" xfId="0" applyNumberFormat="1" applyFont="1" applyFill="1" applyBorder="1" applyAlignment="1">
      <x:alignment horizontal="center" vertical="center" wrapText="1"/>
    </x:xf>
    <x:xf numFmtId="0" fontId="8" fillId="9" borderId="9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4" xfId="0" applyNumberFormat="1" applyFont="1" applyFill="1" applyBorder="1"/>
    <x:xf numFmtId="0" fontId="8" fillId="10" borderId="5" xfId="0" applyNumberFormat="1" applyFont="1" applyFill="1" applyBorder="1"/>
    <x:xf numFmtId="0" fontId="8" fillId="10" borderId="6" xfId="0" applyNumberFormat="1" applyFont="1" applyFill="1" applyBorder="1"/>
    <x:xf numFmtId="0" fontId="8" fillId="10" borderId="4" xfId="0" applyNumberFormat="1" applyFont="1" applyFill="1" applyBorder="1" applyAlignment="1">
      <x:alignment wrapText="1"/>
    </x:xf>
    <x:xf numFmtId="0" fontId="8" fillId="10" borderId="5" xfId="0" applyNumberFormat="1" applyFont="1" applyFill="1" applyBorder="1" applyAlignment="1">
      <x:alignment wrapText="1"/>
    </x:xf>
    <x:xf numFmtId="0" fontId="8" fillId="10" borderId="6" xfId="0" applyNumberFormat="1" applyFont="1" applyFill="1" applyBorder="1" applyAlignment="1">
      <x:alignment wrapText="1"/>
    </x:xf>
    <x:xf numFmtId="0" fontId="8" fillId="10" borderId="4" xfId="0" applyNumberFormat="1" applyFont="1" applyFill="1" applyBorder="1" applyAlignment="1">
      <x:alignment horizontal="center" wrapText="1"/>
    </x:xf>
    <x:xf numFmtId="0" fontId="8" fillId="10" borderId="5" xfId="0" applyNumberFormat="1" applyFont="1" applyFill="1" applyBorder="1" applyAlignment="1">
      <x:alignment horizontal="center" wrapText="1"/>
    </x:xf>
    <x:xf numFmtId="0" fontId="8" fillId="10" borderId="6" xfId="0" applyNumberFormat="1" applyFont="1" applyFill="1" applyBorder="1" applyAlignment="1">
      <x:alignment horizontal="center" wrapText="1"/>
    </x:xf>
    <x:xf numFmtId="0" fontId="8" fillId="10" borderId="4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  <x:xf numFmtId="0" fontId="8" fillId="10" borderId="6" xfId="0" applyNumberFormat="1" applyFont="1" applyFill="1" applyBorder="1" applyAlignment="1">
      <x:alignment horizontal="center" vertical="center" wrapText="1"/>
    </x:xf>
    <x:xf numFmtId="0" fontId="0" fillId="10" borderId="2" xfId="0" applyNumberFormat="1" applyFont="1" applyFill="1" applyBorder="1"/>
    <x:xf numFmtId="0" fontId="8" fillId="10" borderId="2" xfId="0" applyNumberFormat="1" applyFont="1" applyFill="1" applyBorder="1"/>
    <x:xf numFmtId="0" fontId="8" fillId="10" borderId="7" xfId="0" applyNumberFormat="1" applyFont="1" applyFill="1" applyBorder="1"/>
    <x:xf numFmtId="0" fontId="8" fillId="10" borderId="8" xfId="0" applyNumberFormat="1" applyFont="1" applyFill="1" applyBorder="1"/>
    <x:xf numFmtId="0" fontId="8" fillId="10" borderId="9" xfId="0" applyNumberFormat="1" applyFont="1" applyFill="1" applyBorder="1"/>
    <x:xf numFmtId="0" fontId="8" fillId="10" borderId="7" xfId="0" applyNumberFormat="1" applyFont="1" applyFill="1" applyBorder="1" applyAlignment="1">
      <x:alignment wrapText="1"/>
    </x:xf>
    <x:xf numFmtId="0" fontId="8" fillId="10" borderId="8" xfId="0" applyNumberFormat="1" applyFont="1" applyFill="1" applyBorder="1" applyAlignment="1">
      <x:alignment wrapText="1"/>
    </x:xf>
    <x:xf numFmtId="0" fontId="8" fillId="10" borderId="9" xfId="0" applyNumberFormat="1" applyFont="1" applyFill="1" applyBorder="1" applyAlignment="1">
      <x:alignment wrapText="1"/>
    </x:xf>
    <x:xf numFmtId="0" fontId="8" fillId="10" borderId="7" xfId="0" applyNumberFormat="1" applyFont="1" applyFill="1" applyBorder="1" applyAlignment="1">
      <x:alignment horizontal="center" wrapText="1"/>
    </x:xf>
    <x:xf numFmtId="0" fontId="8" fillId="10" borderId="8" xfId="0" applyNumberFormat="1" applyFont="1" applyFill="1" applyBorder="1" applyAlignment="1">
      <x:alignment horizontal="center" wrapText="1"/>
    </x:xf>
    <x:xf numFmtId="0" fontId="8" fillId="10" borderId="9" xfId="0" applyNumberFormat="1" applyFont="1" applyFill="1" applyBorder="1" applyAlignment="1">
      <x:alignment horizontal="center" wrapText="1"/>
    </x:xf>
    <x:xf numFmtId="0" fontId="8" fillId="10" borderId="7" xfId="0" applyNumberFormat="1" applyFont="1" applyFill="1" applyBorder="1" applyAlignment="1">
      <x:alignment horizontal="center" vertical="center" wrapText="1"/>
    </x:xf>
    <x:xf numFmtId="0" fontId="8" fillId="10" borderId="8" xfId="0" applyNumberFormat="1" applyFont="1" applyFill="1" applyBorder="1" applyAlignment="1">
      <x:alignment horizontal="center" vertical="center" wrapText="1"/>
    </x:xf>
    <x:xf numFmtId="0" fontId="8" fillId="10" borderId="9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10" xfId="0" applyNumberFormat="1" applyFont="1" applyFill="1" applyBorder="1"/>
    <x:xf numFmtId="0" fontId="9" fillId="11" borderId="11" xfId="0" applyNumberFormat="1" applyFont="1" applyFill="1" applyBorder="1"/>
    <x:xf numFmtId="0" fontId="9" fillId="11" borderId="12" xfId="0" applyNumberFormat="1" applyFont="1" applyFill="1" applyBorder="1"/>
    <x:xf numFmtId="0" fontId="9" fillId="11" borderId="10" xfId="0" applyNumberFormat="1" applyFont="1" applyFill="1" applyBorder="1" applyAlignment="1">
      <x:alignment horizontal="center"/>
    </x:xf>
    <x:xf numFmtId="0" fontId="9" fillId="11" borderId="11" xfId="0" applyNumberFormat="1" applyFont="1" applyFill="1" applyBorder="1" applyAlignment="1">
      <x:alignment horizontal="center"/>
    </x:xf>
    <x:xf numFmtId="0" fontId="9" fillId="11" borderId="12" xfId="0" applyNumberFormat="1" applyFont="1" applyFill="1" applyBorder="1" applyAlignment="1">
      <x:alignment horizontal="center"/>
    </x:xf>
    <x:xf numFmtId="0" fontId="9" fillId="11" borderId="10" xfId="0" applyNumberFormat="1" applyFont="1" applyFill="1" applyBorder="1" applyAlignment="1">
      <x:alignment horizontal="center" vertical="center"/>
    </x:xf>
    <x:xf numFmtId="0" fontId="9" fillId="11" borderId="11" xfId="0" applyNumberFormat="1" applyFont="1" applyFill="1" applyBorder="1" applyAlignment="1">
      <x:alignment horizontal="center" vertical="center"/>
    </x:xf>
    <x:xf numFmtId="0" fontId="9" fillId="11" borderId="12" xfId="0" applyNumberFormat="1" applyFont="1" applyFill="1" applyBorder="1" applyAlignment="1">
      <x:alignment horizontal="center" vertical="center"/>
    </x:xf>
    <x:xf numFmtId="0" fontId="0" fillId="11" borderId="2" xfId="0" applyNumberFormat="1" applyFont="1" applyFill="1" applyBorder="1"/>
    <x:xf numFmtId="0" fontId="9" fillId="11" borderId="2" xfId="0" applyNumberFormat="1" applyFont="1" applyFill="1" applyBorder="1"/>
    <x:xf numFmtId="0" fontId="9" fillId="11" borderId="13" xfId="0" applyNumberFormat="1" applyFont="1" applyFill="1" applyBorder="1"/>
    <x:xf numFmtId="0" fontId="9" fillId="11" borderId="14" xfId="0" applyNumberFormat="1" applyFont="1" applyFill="1" applyBorder="1"/>
    <x:xf numFmtId="0" fontId="9" fillId="11" borderId="15" xfId="0" applyNumberFormat="1" applyFont="1" applyFill="1" applyBorder="1"/>
    <x:xf numFmtId="0" fontId="9" fillId="11" borderId="13" xfId="0" applyNumberFormat="1" applyFont="1" applyFill="1" applyBorder="1" applyAlignment="1">
      <x:alignment horizontal="center"/>
    </x:xf>
    <x:xf numFmtId="0" fontId="9" fillId="11" borderId="14" xfId="0" applyNumberFormat="1" applyFont="1" applyFill="1" applyBorder="1" applyAlignment="1">
      <x:alignment horizontal="center"/>
    </x:xf>
    <x:xf numFmtId="0" fontId="9" fillId="11" borderId="15" xfId="0" applyNumberFormat="1" applyFont="1" applyFill="1" applyBorder="1" applyAlignment="1">
      <x:alignment horizontal="center"/>
    </x:xf>
    <x:xf numFmtId="0" fontId="9" fillId="11" borderId="13" xfId="0" applyNumberFormat="1" applyFont="1" applyFill="1" applyBorder="1" applyAlignment="1">
      <x:alignment horizontal="center" vertical="center"/>
    </x:xf>
    <x:xf numFmtId="0" fontId="9" fillId="11" borderId="14" xfId="0" applyNumberFormat="1" applyFont="1" applyFill="1" applyBorder="1" applyAlignment="1">
      <x:alignment horizontal="center" vertical="center"/>
    </x:xf>
    <x:xf numFmtId="0" fontId="9" fillId="11" borderId="15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10" xfId="0" applyNumberFormat="1" applyFont="1" applyFill="1" applyBorder="1"/>
    <x:xf numFmtId="0" fontId="9" fillId="12" borderId="11" xfId="0" applyNumberFormat="1" applyFont="1" applyFill="1" applyBorder="1"/>
    <x:xf numFmtId="0" fontId="9" fillId="12" borderId="12" xfId="0" applyNumberFormat="1" applyFont="1" applyFill="1" applyBorder="1"/>
    <x:xf numFmtId="0" fontId="9" fillId="12" borderId="10" xfId="0" applyNumberFormat="1" applyFont="1" applyFill="1" applyBorder="1" applyAlignment="1">
      <x:alignment horizontal="center"/>
    </x:xf>
    <x:xf numFmtId="0" fontId="9" fillId="12" borderId="11" xfId="0" applyNumberFormat="1" applyFont="1" applyFill="1" applyBorder="1" applyAlignment="1">
      <x:alignment horizontal="center"/>
    </x:xf>
    <x:xf numFmtId="0" fontId="9" fillId="12" borderId="12" xfId="0" applyNumberFormat="1" applyFont="1" applyFill="1" applyBorder="1" applyAlignment="1">
      <x:alignment horizontal="center"/>
    </x:xf>
    <x:xf numFmtId="0" fontId="9" fillId="12" borderId="10" xfId="0" applyNumberFormat="1" applyFont="1" applyFill="1" applyBorder="1" applyAlignment="1">
      <x:alignment horizontal="center" vertical="center"/>
    </x:xf>
    <x:xf numFmtId="0" fontId="9" fillId="12" borderId="11" xfId="0" applyNumberFormat="1" applyFont="1" applyFill="1" applyBorder="1" applyAlignment="1">
      <x:alignment horizontal="center" vertical="center"/>
    </x:xf>
    <x:xf numFmtId="0" fontId="9" fillId="12" borderId="12" xfId="0" applyNumberFormat="1" applyFont="1" applyFill="1" applyBorder="1" applyAlignment="1">
      <x:alignment horizontal="center" vertical="center"/>
    </x:xf>
    <x:xf numFmtId="0" fontId="0" fillId="12" borderId="2" xfId="0" applyNumberFormat="1" applyFont="1" applyFill="1" applyBorder="1"/>
    <x:xf numFmtId="0" fontId="9" fillId="12" borderId="2" xfId="0" applyNumberFormat="1" applyFont="1" applyFill="1" applyBorder="1"/>
    <x:xf numFmtId="0" fontId="9" fillId="12" borderId="13" xfId="0" applyNumberFormat="1" applyFont="1" applyFill="1" applyBorder="1"/>
    <x:xf numFmtId="0" fontId="9" fillId="12" borderId="14" xfId="0" applyNumberFormat="1" applyFont="1" applyFill="1" applyBorder="1"/>
    <x:xf numFmtId="0" fontId="9" fillId="12" borderId="15" xfId="0" applyNumberFormat="1" applyFont="1" applyFill="1" applyBorder="1"/>
    <x:xf numFmtId="0" fontId="9" fillId="12" borderId="13" xfId="0" applyNumberFormat="1" applyFont="1" applyFill="1" applyBorder="1" applyAlignment="1">
      <x:alignment horizontal="center"/>
    </x:xf>
    <x:xf numFmtId="0" fontId="9" fillId="12" borderId="14" xfId="0" applyNumberFormat="1" applyFont="1" applyFill="1" applyBorder="1" applyAlignment="1">
      <x:alignment horizontal="center"/>
    </x:xf>
    <x:xf numFmtId="0" fontId="9" fillId="12" borderId="15" xfId="0" applyNumberFormat="1" applyFont="1" applyFill="1" applyBorder="1" applyAlignment="1">
      <x:alignment horizontal="center"/>
    </x:xf>
    <x:xf numFmtId="0" fontId="9" fillId="12" borderId="13" xfId="0" applyNumberFormat="1" applyFont="1" applyFill="1" applyBorder="1" applyAlignment="1">
      <x:alignment horizontal="center" vertical="center"/>
    </x:xf>
    <x:xf numFmtId="0" fontId="9" fillId="12" borderId="14" xfId="0" applyNumberFormat="1" applyFont="1" applyFill="1" applyBorder="1" applyAlignment="1">
      <x:alignment horizontal="center" vertical="center"/>
    </x:xf>
    <x:xf numFmtId="0" fontId="9" fillId="12" borderId="15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10" xfId="0" applyNumberFormat="1" applyFont="1" applyFill="1" applyBorder="1"/>
    <x:xf numFmtId="0" fontId="9" fillId="13" borderId="11" xfId="0" applyNumberFormat="1" applyFont="1" applyFill="1" applyBorder="1"/>
    <x:xf numFmtId="0" fontId="9" fillId="13" borderId="12" xfId="0" applyNumberFormat="1" applyFont="1" applyFill="1" applyBorder="1"/>
    <x:xf numFmtId="0" fontId="9" fillId="13" borderId="10" xfId="0" applyNumberFormat="1" applyFont="1" applyFill="1" applyBorder="1" applyAlignment="1">
      <x:alignment horizontal="center"/>
    </x:xf>
    <x:xf numFmtId="0" fontId="9" fillId="13" borderId="11" xfId="0" applyNumberFormat="1" applyFont="1" applyFill="1" applyBorder="1" applyAlignment="1">
      <x:alignment horizontal="center"/>
    </x:xf>
    <x:xf numFmtId="0" fontId="9" fillId="13" borderId="12" xfId="0" applyNumberFormat="1" applyFont="1" applyFill="1" applyBorder="1" applyAlignment="1">
      <x:alignment horizontal="center"/>
    </x:xf>
    <x:xf numFmtId="0" fontId="9" fillId="13" borderId="10" xfId="0" applyNumberFormat="1" applyFont="1" applyFill="1" applyBorder="1" applyAlignment="1">
      <x:alignment horizontal="center" vertical="center"/>
    </x:xf>
    <x:xf numFmtId="0" fontId="9" fillId="13" borderId="11" xfId="0" applyNumberFormat="1" applyFont="1" applyFill="1" applyBorder="1" applyAlignment="1">
      <x:alignment horizontal="center" vertical="center"/>
    </x:xf>
    <x:xf numFmtId="0" fontId="9" fillId="13" borderId="12" xfId="0" applyNumberFormat="1" applyFont="1" applyFill="1" applyBorder="1" applyAlignment="1">
      <x:alignment horizontal="center" vertical="center"/>
    </x:xf>
    <x:xf numFmtId="0" fontId="0" fillId="13" borderId="2" xfId="0" applyNumberFormat="1" applyFont="1" applyFill="1" applyBorder="1"/>
    <x:xf numFmtId="0" fontId="9" fillId="13" borderId="2" xfId="0" applyNumberFormat="1" applyFont="1" applyFill="1" applyBorder="1"/>
    <x:xf numFmtId="0" fontId="9" fillId="13" borderId="13" xfId="0" applyNumberFormat="1" applyFont="1" applyFill="1" applyBorder="1"/>
    <x:xf numFmtId="0" fontId="9" fillId="13" borderId="14" xfId="0" applyNumberFormat="1" applyFont="1" applyFill="1" applyBorder="1"/>
    <x:xf numFmtId="0" fontId="9" fillId="13" borderId="15" xfId="0" applyNumberFormat="1" applyFont="1" applyFill="1" applyBorder="1"/>
    <x:xf numFmtId="0" fontId="9" fillId="13" borderId="13" xfId="0" applyNumberFormat="1" applyFont="1" applyFill="1" applyBorder="1" applyAlignment="1">
      <x:alignment horizontal="center"/>
    </x:xf>
    <x:xf numFmtId="0" fontId="9" fillId="13" borderId="14" xfId="0" applyNumberFormat="1" applyFont="1" applyFill="1" applyBorder="1" applyAlignment="1">
      <x:alignment horizontal="center"/>
    </x:xf>
    <x:xf numFmtId="0" fontId="9" fillId="13" borderId="15" xfId="0" applyNumberFormat="1" applyFont="1" applyFill="1" applyBorder="1" applyAlignment="1">
      <x:alignment horizontal="center"/>
    </x:xf>
    <x:xf numFmtId="0" fontId="9" fillId="13" borderId="13" xfId="0" applyNumberFormat="1" applyFont="1" applyFill="1" applyBorder="1" applyAlignment="1">
      <x:alignment horizontal="center" vertical="center"/>
    </x:xf>
    <x:xf numFmtId="0" fontId="9" fillId="13" borderId="14" xfId="0" applyNumberFormat="1" applyFont="1" applyFill="1" applyBorder="1" applyAlignment="1">
      <x:alignment horizontal="center" vertical="center"/>
    </x:xf>
    <x:xf numFmtId="0" fontId="9" fillId="13" borderId="15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/>
    <x:xf numFmtId="0" fontId="10" fillId="5" borderId="10" xfId="0" applyNumberFormat="1" applyFont="1" applyFill="1" applyBorder="1"/>
    <x:xf numFmtId="0" fontId="10" fillId="5" borderId="11" xfId="0" applyNumberFormat="1" applyFont="1" applyFill="1" applyBorder="1"/>
    <x:xf numFmtId="0" fontId="10" fillId="5" borderId="12" xfId="0" applyNumberFormat="1" applyFont="1" applyFill="1" applyBorder="1"/>
    <x:xf numFmtId="0" fontId="10" fillId="5" borderId="10" xfId="0" applyNumberFormat="1" applyFont="1" applyFill="1" applyBorder="1" applyAlignment="1">
      <x:alignment wrapText="1"/>
    </x:xf>
    <x:xf numFmtId="0" fontId="10" fillId="5" borderId="11" xfId="0" applyNumberFormat="1" applyFont="1" applyFill="1" applyBorder="1" applyAlignment="1">
      <x:alignment wrapText="1"/>
    </x:xf>
    <x:xf numFmtId="0" fontId="10" fillId="5" borderId="12" xfId="0" applyNumberFormat="1" applyFont="1" applyFill="1" applyBorder="1" applyAlignment="1">
      <x:alignment wrapText="1"/>
    </x:xf>
    <x:xf numFmtId="0" fontId="10" fillId="5" borderId="10" xfId="0" applyNumberFormat="1" applyFont="1" applyFill="1" applyBorder="1" applyAlignment="1">
      <x:alignment horizontal="center" wrapText="1"/>
    </x:xf>
    <x:xf numFmtId="0" fontId="10" fillId="5" borderId="11" xfId="0" applyNumberFormat="1" applyFont="1" applyFill="1" applyBorder="1" applyAlignment="1">
      <x:alignment horizontal="center" wrapText="1"/>
    </x:xf>
    <x:xf numFmtId="0" fontId="10" fillId="5" borderId="12" xfId="0" applyNumberFormat="1" applyFont="1" applyFill="1" applyBorder="1" applyAlignment="1">
      <x:alignment horizontal="center" wrapText="1"/>
    </x:xf>
    <x:xf numFmtId="0" fontId="10" fillId="5" borderId="10" xfId="0" applyNumberFormat="1" applyFont="1" applyFill="1" applyBorder="1" applyAlignment="1">
      <x:alignment horizontal="center" vertical="center" wrapText="1"/>
    </x:xf>
    <x:xf numFmtId="0" fontId="10" fillId="5" borderId="11" xfId="0" applyNumberFormat="1" applyFont="1" applyFill="1" applyBorder="1" applyAlignment="1">
      <x:alignment horizontal="center" vertical="center" wrapText="1"/>
    </x:xf>
    <x:xf numFmtId="0" fontId="10" fillId="5" borderId="12" xfId="0" applyNumberFormat="1" applyFont="1" applyFill="1" applyBorder="1" applyAlignment="1">
      <x:alignment horizontal="center" vertical="center" wrapText="1"/>
    </x:xf>
    <x:xf numFmtId="0" fontId="10" fillId="5" borderId="2" xfId="0" applyNumberFormat="1" applyFont="1" applyFill="1" applyBorder="1"/>
    <x:xf numFmtId="0" fontId="10" fillId="5" borderId="13" xfId="0" applyNumberFormat="1" applyFont="1" applyFill="1" applyBorder="1"/>
    <x:xf numFmtId="0" fontId="10" fillId="5" borderId="14" xfId="0" applyNumberFormat="1" applyFont="1" applyFill="1" applyBorder="1"/>
    <x:xf numFmtId="0" fontId="10" fillId="5" borderId="15" xfId="0" applyNumberFormat="1" applyFont="1" applyFill="1" applyBorder="1"/>
    <x:xf numFmtId="0" fontId="10" fillId="5" borderId="13" xfId="0" applyNumberFormat="1" applyFont="1" applyFill="1" applyBorder="1" applyAlignment="1">
      <x:alignment wrapText="1"/>
    </x:xf>
    <x:xf numFmtId="0" fontId="10" fillId="5" borderId="14" xfId="0" applyNumberFormat="1" applyFont="1" applyFill="1" applyBorder="1" applyAlignment="1">
      <x:alignment wrapText="1"/>
    </x:xf>
    <x:xf numFmtId="0" fontId="10" fillId="5" borderId="15" xfId="0" applyNumberFormat="1" applyFont="1" applyFill="1" applyBorder="1" applyAlignment="1">
      <x:alignment wrapText="1"/>
    </x:xf>
    <x:xf numFmtId="0" fontId="10" fillId="5" borderId="13" xfId="0" applyNumberFormat="1" applyFont="1" applyFill="1" applyBorder="1" applyAlignment="1">
      <x:alignment horizontal="center" wrapText="1"/>
    </x:xf>
    <x:xf numFmtId="0" fontId="10" fillId="5" borderId="14" xfId="0" applyNumberFormat="1" applyFont="1" applyFill="1" applyBorder="1" applyAlignment="1">
      <x:alignment horizontal="center" wrapText="1"/>
    </x:xf>
    <x:xf numFmtId="0" fontId="10" fillId="5" borderId="15" xfId="0" applyNumberFormat="1" applyFont="1" applyFill="1" applyBorder="1" applyAlignment="1">
      <x:alignment horizontal="center" wrapText="1"/>
    </x:xf>
    <x:xf numFmtId="0" fontId="10" fillId="5" borderId="13" xfId="0" applyNumberFormat="1" applyFont="1" applyFill="1" applyBorder="1" applyAlignment="1">
      <x:alignment horizontal="center" vertical="center" wrapText="1"/>
    </x:xf>
    <x:xf numFmtId="0" fontId="10" fillId="5" borderId="14" xfId="0" applyNumberFormat="1" applyFont="1" applyFill="1" applyBorder="1" applyAlignment="1">
      <x:alignment horizontal="center" vertical="center" wrapText="1"/>
    </x:xf>
    <x:xf numFmtId="0" fontId="10" fillId="5" borderId="15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11" fillId="14" borderId="0" xfId="0" applyNumberFormat="1" applyFont="1" applyFill="1" applyBorder="1"/>
    <x:xf numFmtId="0" fontId="11" fillId="14" borderId="16" xfId="0" applyNumberFormat="1" applyFont="1" applyFill="1" applyBorder="1"/>
    <x:xf numFmtId="0" fontId="11" fillId="14" borderId="17" xfId="0" applyNumberFormat="1" applyFont="1" applyFill="1" applyBorder="1"/>
    <x:xf numFmtId="0" fontId="11" fillId="14" borderId="18" xfId="0" applyNumberFormat="1" applyFont="1" applyFill="1" applyBorder="1"/>
    <x:xf numFmtId="0" fontId="11" fillId="14" borderId="19" xfId="0" applyNumberFormat="1" applyFont="1" applyFill="1" applyBorder="1"/>
    <x:xf numFmtId="0" fontId="11" fillId="14" borderId="20" xfId="0" applyNumberFormat="1" applyFont="1" applyFill="1" applyBorder="1"/>
    <x:xf numFmtId="0" fontId="11" fillId="14" borderId="21" xfId="0" applyNumberFormat="1" applyFont="1" applyFill="1" applyBorder="1"/>
    <x:xf numFmtId="0" fontId="11" fillId="14" borderId="22" xfId="0" applyNumberFormat="1" applyFont="1" applyFill="1" applyBorder="1"/>
    <x:xf numFmtId="0" fontId="11" fillId="14" borderId="23" xfId="0" applyNumberFormat="1" applyFont="1" applyFill="1" applyBorder="1"/>
    <x:xf numFmtId="0" fontId="11" fillId="14" borderId="16" xfId="0" applyNumberFormat="1" applyFont="1" applyFill="1" applyBorder="1" applyAlignment="1">
      <x:alignment wrapText="1"/>
    </x:xf>
    <x:xf numFmtId="0" fontId="11" fillId="14" borderId="17" xfId="0" applyNumberFormat="1" applyFont="1" applyFill="1" applyBorder="1" applyAlignment="1">
      <x:alignment wrapText="1"/>
    </x:xf>
    <x:xf numFmtId="0" fontId="11" fillId="14" borderId="18" xfId="0" applyNumberFormat="1" applyFont="1" applyFill="1" applyBorder="1" applyAlignment="1">
      <x:alignment wrapText="1"/>
    </x:xf>
    <x:xf numFmtId="0" fontId="11" fillId="14" borderId="19" xfId="0" applyNumberFormat="1" applyFont="1" applyFill="1" applyBorder="1" applyAlignment="1">
      <x:alignment wrapText="1"/>
    </x:xf>
    <x:xf numFmtId="0" fontId="11" fillId="14" borderId="0" xfId="0" applyNumberFormat="1" applyFont="1" applyFill="1" applyBorder="1" applyAlignment="1">
      <x:alignment wrapText="1"/>
    </x:xf>
    <x:xf numFmtId="0" fontId="11" fillId="14" borderId="20" xfId="0" applyNumberFormat="1" applyFont="1" applyFill="1" applyBorder="1" applyAlignment="1">
      <x:alignment wrapText="1"/>
    </x:xf>
    <x:xf numFmtId="0" fontId="11" fillId="14" borderId="21" xfId="0" applyNumberFormat="1" applyFont="1" applyFill="1" applyBorder="1" applyAlignment="1">
      <x:alignment wrapText="1"/>
    </x:xf>
    <x:xf numFmtId="0" fontId="11" fillId="14" borderId="22" xfId="0" applyNumberFormat="1" applyFont="1" applyFill="1" applyBorder="1" applyAlignment="1">
      <x:alignment wrapText="1"/>
    </x:xf>
    <x:xf numFmtId="0" fontId="11" fillId="14" borderId="23" xfId="0" applyNumberFormat="1" applyFont="1" applyFill="1" applyBorder="1" applyAlignment="1">
      <x:alignment wrapText="1"/>
    </x:xf>
    <x:xf numFmtId="0" fontId="11" fillId="14" borderId="16" xfId="0" applyNumberFormat="1" applyFont="1" applyFill="1" applyBorder="1" applyAlignment="1">
      <x:alignment vertical="center" wrapText="1"/>
    </x:xf>
    <x:xf numFmtId="0" fontId="11" fillId="14" borderId="17" xfId="0" applyNumberFormat="1" applyFont="1" applyFill="1" applyBorder="1" applyAlignment="1">
      <x:alignment vertical="center" wrapText="1"/>
    </x:xf>
    <x:xf numFmtId="0" fontId="11" fillId="14" borderId="18" xfId="0" applyNumberFormat="1" applyFont="1" applyFill="1" applyBorder="1" applyAlignment="1">
      <x:alignment vertical="center" wrapText="1"/>
    </x:xf>
    <x:xf numFmtId="0" fontId="11" fillId="14" borderId="19" xfId="0" applyNumberFormat="1" applyFont="1" applyFill="1" applyBorder="1" applyAlignment="1">
      <x:alignment vertical="center" wrapText="1"/>
    </x:xf>
    <x:xf numFmtId="0" fontId="11" fillId="14" borderId="0" xfId="0" applyNumberFormat="1" applyFont="1" applyFill="1" applyBorder="1" applyAlignment="1">
      <x:alignment vertical="center" wrapText="1"/>
    </x:xf>
    <x:xf numFmtId="0" fontId="11" fillId="14" borderId="20" xfId="0" applyNumberFormat="1" applyFont="1" applyFill="1" applyBorder="1" applyAlignment="1">
      <x:alignment vertical="center" wrapText="1"/>
    </x:xf>
    <x:xf numFmtId="0" fontId="11" fillId="14" borderId="21" xfId="0" applyNumberFormat="1" applyFont="1" applyFill="1" applyBorder="1" applyAlignment="1">
      <x:alignment vertical="center" wrapText="1"/>
    </x:xf>
    <x:xf numFmtId="0" fontId="11" fillId="14" borderId="22" xfId="0" applyNumberFormat="1" applyFont="1" applyFill="1" applyBorder="1" applyAlignment="1">
      <x:alignment vertical="center" wrapText="1"/>
    </x:xf>
    <x:xf numFmtId="0" fontId="11" fillId="14" borderId="23" xfId="0" applyNumberFormat="1" applyFont="1" applyFill="1" applyBorder="1" applyAlignment="1">
      <x:alignment vertical="center" wrapText="1"/>
    </x:xf>
    <x:xf numFmtId="0" fontId="0" fillId="14" borderId="2" xfId="0" applyNumberFormat="1" applyFont="1" applyFill="1" applyBorder="1"/>
    <x:xf numFmtId="0" fontId="11" fillId="14" borderId="2" xfId="0" applyNumberFormat="1" applyFont="1" applyFill="1" applyBorder="1"/>
    <x:xf numFmtId="0" fontId="11" fillId="14" borderId="24" xfId="0" applyNumberFormat="1" applyFont="1" applyFill="1" applyBorder="1"/>
    <x:xf numFmtId="0" fontId="11" fillId="14" borderId="25" xfId="0" applyNumberFormat="1" applyFont="1" applyFill="1" applyBorder="1"/>
    <x:xf numFmtId="0" fontId="11" fillId="14" borderId="26" xfId="0" applyNumberFormat="1" applyFont="1" applyFill="1" applyBorder="1"/>
    <x:xf numFmtId="0" fontId="11" fillId="14" borderId="27" xfId="0" applyNumberFormat="1" applyFont="1" applyFill="1" applyBorder="1"/>
    <x:xf numFmtId="0" fontId="11" fillId="14" borderId="28" xfId="0" applyNumberFormat="1" applyFont="1" applyFill="1" applyBorder="1"/>
    <x:xf numFmtId="0" fontId="11" fillId="14" borderId="29" xfId="0" applyNumberFormat="1" applyFont="1" applyFill="1" applyBorder="1"/>
    <x:xf numFmtId="0" fontId="11" fillId="14" borderId="30" xfId="0" applyNumberFormat="1" applyFont="1" applyFill="1" applyBorder="1"/>
    <x:xf numFmtId="0" fontId="11" fillId="14" borderId="31" xfId="0" applyNumberFormat="1" applyFont="1" applyFill="1" applyBorder="1"/>
    <x:xf numFmtId="0" fontId="11" fillId="14" borderId="24" xfId="0" applyNumberFormat="1" applyFont="1" applyFill="1" applyBorder="1" applyAlignment="1">
      <x:alignment wrapText="1"/>
    </x:xf>
    <x:xf numFmtId="0" fontId="11" fillId="14" borderId="25" xfId="0" applyNumberFormat="1" applyFont="1" applyFill="1" applyBorder="1" applyAlignment="1">
      <x:alignment wrapText="1"/>
    </x:xf>
    <x:xf numFmtId="0" fontId="11" fillId="14" borderId="26" xfId="0" applyNumberFormat="1" applyFont="1" applyFill="1" applyBorder="1" applyAlignment="1">
      <x:alignment wrapText="1"/>
    </x:xf>
    <x:xf numFmtId="0" fontId="11" fillId="14" borderId="27" xfId="0" applyNumberFormat="1" applyFont="1" applyFill="1" applyBorder="1" applyAlignment="1">
      <x:alignment wrapText="1"/>
    </x:xf>
    <x:xf numFmtId="0" fontId="11" fillId="14" borderId="2" xfId="0" applyNumberFormat="1" applyFont="1" applyFill="1" applyBorder="1" applyAlignment="1">
      <x:alignment wrapText="1"/>
    </x:xf>
    <x:xf numFmtId="0" fontId="11" fillId="14" borderId="28" xfId="0" applyNumberFormat="1" applyFont="1" applyFill="1" applyBorder="1" applyAlignment="1">
      <x:alignment wrapText="1"/>
    </x:xf>
    <x:xf numFmtId="0" fontId="11" fillId="14" borderId="29" xfId="0" applyNumberFormat="1" applyFont="1" applyFill="1" applyBorder="1" applyAlignment="1">
      <x:alignment wrapText="1"/>
    </x:xf>
    <x:xf numFmtId="0" fontId="11" fillId="14" borderId="30" xfId="0" applyNumberFormat="1" applyFont="1" applyFill="1" applyBorder="1" applyAlignment="1">
      <x:alignment wrapText="1"/>
    </x:xf>
    <x:xf numFmtId="0" fontId="11" fillId="14" borderId="31" xfId="0" applyNumberFormat="1" applyFont="1" applyFill="1" applyBorder="1" applyAlignment="1">
      <x:alignment wrapText="1"/>
    </x:xf>
    <x:xf numFmtId="0" fontId="11" fillId="14" borderId="24" xfId="0" applyNumberFormat="1" applyFont="1" applyFill="1" applyBorder="1" applyAlignment="1">
      <x:alignment vertical="center" wrapText="1"/>
    </x:xf>
    <x:xf numFmtId="0" fontId="11" fillId="14" borderId="25" xfId="0" applyNumberFormat="1" applyFont="1" applyFill="1" applyBorder="1" applyAlignment="1">
      <x:alignment vertical="center" wrapText="1"/>
    </x:xf>
    <x:xf numFmtId="0" fontId="11" fillId="14" borderId="26" xfId="0" applyNumberFormat="1" applyFont="1" applyFill="1" applyBorder="1" applyAlignment="1">
      <x:alignment vertical="center" wrapText="1"/>
    </x:xf>
    <x:xf numFmtId="0" fontId="11" fillId="14" borderId="27" xfId="0" applyNumberFormat="1" applyFont="1" applyFill="1" applyBorder="1" applyAlignment="1">
      <x:alignment vertical="center" wrapText="1"/>
    </x:xf>
    <x:xf numFmtId="0" fontId="11" fillId="14" borderId="2" xfId="0" applyNumberFormat="1" applyFont="1" applyFill="1" applyBorder="1" applyAlignment="1">
      <x:alignment vertical="center" wrapText="1"/>
    </x:xf>
    <x:xf numFmtId="0" fontId="11" fillId="14" borderId="28" xfId="0" applyNumberFormat="1" applyFont="1" applyFill="1" applyBorder="1" applyAlignment="1">
      <x:alignment vertical="center" wrapText="1"/>
    </x:xf>
    <x:xf numFmtId="0" fontId="11" fillId="14" borderId="29" xfId="0" applyNumberFormat="1" applyFont="1" applyFill="1" applyBorder="1" applyAlignment="1">
      <x:alignment vertical="center" wrapText="1"/>
    </x:xf>
    <x:xf numFmtId="0" fontId="11" fillId="14" borderId="30" xfId="0" applyNumberFormat="1" applyFont="1" applyFill="1" applyBorder="1" applyAlignment="1">
      <x:alignment vertical="center" wrapText="1"/>
    </x:xf>
    <x:xf numFmtId="0" fontId="11" fillId="14" borderId="31" xfId="0" applyNumberFormat="1" applyFont="1" applyFill="1" applyBorder="1" applyAlignment="1">
      <x:alignment vertical="center" wrapText="1"/>
    </x:xf>
    <x:xf numFmtId="0" fontId="11" fillId="15" borderId="17" xfId="0" applyNumberFormat="1" applyFont="1" applyFill="1" applyBorder="1" applyAlignment="1">
      <x:alignment vertical="center" wrapText="1"/>
    </x:xf>
    <x:xf numFmtId="0" fontId="11" fillId="15" borderId="25" xfId="0" applyNumberFormat="1" applyFont="1" applyFill="1" applyBorder="1" applyAlignment="1">
      <x:alignment vertical="center" wrapText="1"/>
    </x:xf>
    <x:xf numFmtId="0" fontId="12" fillId="15" borderId="17" xfId="0" applyNumberFormat="1" applyFont="1" applyFill="1" applyBorder="1" applyAlignment="1">
      <x:alignment vertical="center" wrapText="1"/>
    </x:xf>
    <x:xf numFmtId="0" fontId="12" fillId="15" borderId="25" xfId="0" applyNumberFormat="1" applyFont="1" applyFill="1" applyBorder="1" applyAlignment="1">
      <x:alignment vertical="center" wrapText="1"/>
    </x:xf>
    <x:xf numFmtId="0" fontId="11" fillId="16" borderId="17" xfId="0" applyNumberFormat="1" applyFont="1" applyFill="1" applyBorder="1" applyAlignment="1">
      <x:alignment vertical="center" wrapText="1"/>
    </x:xf>
    <x:xf numFmtId="0" fontId="13" fillId="16" borderId="17" xfId="0" applyNumberFormat="1" applyFont="1" applyFill="1" applyBorder="1" applyAlignment="1">
      <x:alignment vertical="center" wrapText="1"/>
    </x:xf>
    <x:xf numFmtId="0" fontId="13" fillId="16" borderId="32" xfId="0" applyNumberFormat="1" applyFont="1" applyFill="1" applyBorder="1" applyAlignment="1">
      <x:alignment vertical="center" wrapText="1"/>
    </x:xf>
    <x:xf numFmtId="0" fontId="13" fillId="16" borderId="32" xfId="0" applyNumberFormat="1" applyFont="1" applyFill="1" applyBorder="1" applyAlignment="1">
      <x:alignment horizontal="center" vertical="center" wrapText="1"/>
    </x:xf>
    <x:xf numFmtId="0" fontId="11" fillId="16" borderId="25" xfId="0" applyNumberFormat="1" applyFont="1" applyFill="1" applyBorder="1" applyAlignment="1">
      <x:alignment vertical="center" wrapText="1"/>
    </x:xf>
    <x:xf numFmtId="0" fontId="13" fillId="16" borderId="25" xfId="0" applyNumberFormat="1" applyFont="1" applyFill="1" applyBorder="1" applyAlignment="1">
      <x:alignment vertical="center" wrapText="1"/>
    </x:xf>
    <x:xf numFmtId="0" fontId="13" fillId="16" borderId="33" xfId="0" applyNumberFormat="1" applyFont="1" applyFill="1" applyBorder="1" applyAlignment="1">
      <x:alignment vertical="center" wrapText="1"/>
    </x:xf>
    <x:xf numFmtId="0" fontId="13" fillId="16" borderId="33" xfId="0" applyNumberFormat="1" applyFont="1" applyFill="1" applyBorder="1" applyAlignment="1">
      <x:alignment horizontal="center" vertical="center" wrapText="1"/>
    </x:xf>
    <x:xf numFmtId="0" fontId="11" fillId="15" borderId="0" xfId="0" applyNumberFormat="1" applyFont="1" applyFill="1" applyBorder="1" applyAlignment="1">
      <x:alignment vertical="center" wrapText="1"/>
    </x:xf>
    <x:xf numFmtId="0" fontId="11" fillId="15" borderId="2" xfId="0" applyNumberFormat="1" applyFont="1" applyFill="1" applyBorder="1" applyAlignment="1">
      <x:alignment vertical="center" wrapText="1"/>
    </x:xf>
    <x:xf numFmtId="0" fontId="12" fillId="15" borderId="0" xfId="0" applyNumberFormat="1" applyFont="1" applyFill="1" applyBorder="1" applyAlignment="1">
      <x:alignment vertical="center" wrapText="1"/>
    </x:xf>
    <x:xf numFmtId="0" fontId="12" fillId="15" borderId="2" xfId="0" applyNumberFormat="1" applyFont="1" applyFill="1" applyBorder="1" applyAlignment="1">
      <x:alignment vertical="center" wrapText="1"/>
    </x:xf>
    <x:xf numFmtId="0" fontId="11" fillId="16" borderId="0" xfId="0" applyNumberFormat="1" applyFont="1" applyFill="1" applyBorder="1" applyAlignment="1">
      <x:alignment vertical="center" wrapText="1"/>
    </x:xf>
    <x:xf numFmtId="0" fontId="13" fillId="16" borderId="0" xfId="0" applyNumberFormat="1" applyFont="1" applyFill="1" applyBorder="1" applyAlignment="1">
      <x:alignment vertical="center" wrapText="1"/>
    </x:xf>
    <x:xf numFmtId="0" fontId="11" fillId="16" borderId="2" xfId="0" applyNumberFormat="1" applyFont="1" applyFill="1" applyBorder="1" applyAlignment="1">
      <x:alignment vertical="center" wrapText="1"/>
    </x:xf>
    <x:xf numFmtId="0" fontId="13" fillId="16" borderId="2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vertical="center" wrapText="1"/>
    </x:xf>
    <x:xf numFmtId="0" fontId="11" fillId="7" borderId="2" xfId="0" applyNumberFormat="1" applyFont="1" applyFill="1" applyBorder="1" applyAlignment="1">
      <x:alignment vertical="center" wrapText="1"/>
    </x:xf>
    <x:xf numFmtId="0" fontId="12" fillId="7" borderId="0" xfId="0" applyNumberFormat="1" applyFont="1" applyFill="1" applyBorder="1" applyAlignment="1">
      <x:alignment vertical="center" wrapText="1"/>
    </x:xf>
    <x:xf numFmtId="0" fontId="12" fillId="7" borderId="2" xfId="0" applyNumberFormat="1" applyFont="1" applyFill="1" applyBorder="1" applyAlignment="1">
      <x:alignment vertical="center" wrapText="1"/>
    </x:xf>
    <x:xf numFmtId="0" fontId="11" fillId="17" borderId="0" xfId="0" applyNumberFormat="1" applyFont="1" applyFill="1" applyBorder="1" applyAlignment="1">
      <x:alignment vertical="center" wrapText="1"/>
    </x:xf>
    <x:xf numFmtId="0" fontId="13" fillId="17" borderId="0" xfId="0" applyNumberFormat="1" applyFont="1" applyFill="1" applyBorder="1" applyAlignment="1">
      <x:alignment vertical="center" wrapText="1"/>
    </x:xf>
    <x:xf numFmtId="0" fontId="13" fillId="17" borderId="32" xfId="0" applyNumberFormat="1" applyFont="1" applyFill="1" applyBorder="1" applyAlignment="1">
      <x:alignment vertical="center" wrapText="1"/>
    </x:xf>
    <x:xf numFmtId="0" fontId="13" fillId="17" borderId="32" xfId="0" applyNumberFormat="1" applyFont="1" applyFill="1" applyBorder="1" applyAlignment="1">
      <x:alignment horizontal="center" vertical="center" wrapText="1"/>
    </x:xf>
    <x:xf numFmtId="0" fontId="11" fillId="17" borderId="2" xfId="0" applyNumberFormat="1" applyFont="1" applyFill="1" applyBorder="1" applyAlignment="1">
      <x:alignment vertical="center" wrapText="1"/>
    </x:xf>
    <x:xf numFmtId="0" fontId="13" fillId="17" borderId="2" xfId="0" applyNumberFormat="1" applyFont="1" applyFill="1" applyBorder="1" applyAlignment="1">
      <x:alignment vertical="center" wrapText="1"/>
    </x:xf>
    <x:xf numFmtId="0" fontId="13" fillId="17" borderId="33" xfId="0" applyNumberFormat="1" applyFont="1" applyFill="1" applyBorder="1" applyAlignment="1">
      <x:alignment vertical="center" wrapText="1"/>
    </x:xf>
    <x:xf numFmtId="0" fontId="13" fillId="17" borderId="33" xfId="0" applyNumberFormat="1" applyFont="1" applyFill="1" applyBorder="1" applyAlignment="1">
      <x:alignment horizontal="center" vertical="center" wrapText="1"/>
    </x:xf>
    <x:xf numFmtId="0" fontId="11" fillId="9" borderId="0" xfId="0" applyNumberFormat="1" applyFont="1" applyFill="1" applyBorder="1" applyAlignment="1">
      <x:alignment vertical="center" wrapText="1"/>
    </x:xf>
    <x:xf numFmtId="0" fontId="11" fillId="9" borderId="2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 applyAlignment="1">
      <x:alignment vertical="center" wrapText="1"/>
    </x:xf>
    <x:xf numFmtId="0" fontId="12" fillId="9" borderId="2" xfId="0" applyNumberFormat="1" applyFont="1" applyFill="1" applyBorder="1" applyAlignment="1">
      <x:alignment vertical="center" wrapText="1"/>
    </x:xf>
    <x:xf numFmtId="0" fontId="11" fillId="18" borderId="0" xfId="0" applyNumberFormat="1" applyFont="1" applyFill="1" applyBorder="1" applyAlignment="1">
      <x:alignment vertical="center" wrapText="1"/>
    </x:xf>
    <x:xf numFmtId="0" fontId="13" fillId="18" borderId="0" xfId="0" applyNumberFormat="1" applyFont="1" applyFill="1" applyBorder="1" applyAlignment="1">
      <x:alignment vertical="center" wrapText="1"/>
    </x:xf>
    <x:xf numFmtId="0" fontId="13" fillId="18" borderId="32" xfId="0" applyNumberFormat="1" applyFont="1" applyFill="1" applyBorder="1" applyAlignment="1">
      <x:alignment vertical="center" wrapText="1"/>
    </x:xf>
    <x:xf numFmtId="0" fontId="13" fillId="18" borderId="32" xfId="0" applyNumberFormat="1" applyFont="1" applyFill="1" applyBorder="1" applyAlignment="1">
      <x:alignment horizontal="center" vertical="center" wrapText="1"/>
    </x:xf>
    <x:xf numFmtId="0" fontId="11" fillId="18" borderId="2" xfId="0" applyNumberFormat="1" applyFont="1" applyFill="1" applyBorder="1" applyAlignment="1">
      <x:alignment vertical="center" wrapText="1"/>
    </x:xf>
    <x:xf numFmtId="0" fontId="13" fillId="18" borderId="2" xfId="0" applyNumberFormat="1" applyFont="1" applyFill="1" applyBorder="1" applyAlignment="1">
      <x:alignment vertical="center" wrapText="1"/>
    </x:xf>
    <x:xf numFmtId="0" fontId="13" fillId="18" borderId="33" xfId="0" applyNumberFormat="1" applyFont="1" applyFill="1" applyBorder="1" applyAlignment="1">
      <x:alignment vertical="center" wrapText="1"/>
    </x:xf>
    <x:xf numFmtId="0" fontId="13" fillId="18" borderId="33" xfId="0" applyNumberFormat="1" applyFont="1" applyFill="1" applyBorder="1" applyAlignment="1">
      <x:alignment horizontal="center" vertical="center" wrapText="1"/>
    </x:xf>
    <x:xf numFmtId="0" fontId="11" fillId="18" borderId="20" xfId="0" applyNumberFormat="1" applyFont="1" applyFill="1" applyBorder="1" applyAlignment="1">
      <x:alignment vertical="center" wrapText="1"/>
    </x:xf>
    <x:xf numFmtId="0" fontId="13" fillId="18" borderId="20" xfId="0" applyNumberFormat="1" applyFont="1" applyFill="1" applyBorder="1" applyAlignment="1">
      <x:alignment vertical="center" wrapText="1"/>
    </x:xf>
    <x:xf numFmtId="0" fontId="11" fillId="18" borderId="28" xfId="0" applyNumberFormat="1" applyFont="1" applyFill="1" applyBorder="1" applyAlignment="1">
      <x:alignment vertical="center" wrapText="1"/>
    </x:xf>
    <x:xf numFmtId="0" fontId="13" fillId="18" borderId="28" xfId="0" applyNumberFormat="1" applyFont="1" applyFill="1" applyBorder="1" applyAlignment="1">
      <x:alignment vertical="center" wrapText="1"/>
    </x:xf>
    <x:xf numFmtId="0" fontId="11" fillId="9" borderId="22" xfId="0" applyNumberFormat="1" applyFont="1" applyFill="1" applyBorder="1" applyAlignment="1">
      <x:alignment vertical="center" wrapText="1"/>
    </x:xf>
    <x:xf numFmtId="0" fontId="11" fillId="9" borderId="30" xfId="0" applyNumberFormat="1" applyFont="1" applyFill="1" applyBorder="1" applyAlignment="1">
      <x:alignment vertical="center" wrapText="1"/>
    </x:xf>
    <x:xf numFmtId="0" fontId="12" fillId="9" borderId="22" xfId="0" applyNumberFormat="1" applyFont="1" applyFill="1" applyBorder="1" applyAlignment="1">
      <x:alignment vertical="center" wrapText="1"/>
    </x:xf>
    <x:xf numFmtId="0" fontId="12" fillId="9" borderId="30" xfId="0" applyNumberFormat="1" applyFont="1" applyFill="1" applyBorder="1" applyAlignment="1">
      <x:alignment vertical="center" wrapText="1"/>
    </x:xf>
    <x:xf numFmtId="0" fontId="11" fillId="18" borderId="23" xfId="0" applyNumberFormat="1" applyFont="1" applyFill="1" applyBorder="1" applyAlignment="1">
      <x:alignment vertical="center" wrapText="1"/>
    </x:xf>
    <x:xf numFmtId="0" fontId="13" fillId="18" borderId="23" xfId="0" applyNumberFormat="1" applyFont="1" applyFill="1" applyBorder="1" applyAlignment="1">
      <x:alignment vertical="center" wrapText="1"/>
    </x:xf>
    <x:xf numFmtId="0" fontId="11" fillId="18" borderId="31" xfId="0" applyNumberFormat="1" applyFont="1" applyFill="1" applyBorder="1" applyAlignment="1">
      <x:alignment vertical="center" wrapText="1"/>
    </x:xf>
    <x:xf numFmtId="0" fontId="13" fillId="18" borderId="31" xfId="0" applyNumberFormat="1" applyFont="1" applyFill="1" applyBorder="1" applyAlignment="1">
      <x:alignment vertical="center" wrapText="1"/>
    </x:xf>
    <x:xf numFmtId="0" fontId="11" fillId="14" borderId="16" xfId="0" applyNumberFormat="1" applyFont="1" applyFill="1" applyBorder="1" applyAlignment="1">
      <x:alignment horizontal="center" vertical="center" wrapText="1"/>
    </x:xf>
    <x:xf numFmtId="0" fontId="12" fillId="15" borderId="17" xfId="0" applyNumberFormat="1" applyFont="1" applyFill="1" applyBorder="1" applyAlignment="1">
      <x:alignment horizontal="center" vertical="center" wrapText="1"/>
    </x:xf>
    <x:xf numFmtId="0" fontId="11" fillId="14" borderId="19" xfId="0" applyNumberFormat="1" applyFont="1" applyFill="1" applyBorder="1" applyAlignment="1">
      <x:alignment horizontal="center" vertical="center" wrapText="1"/>
    </x:xf>
    <x:xf numFmtId="0" fontId="12" fillId="15" borderId="0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Border="1" applyAlignment="1">
      <x:alignment horizontal="center" vertical="center" wrapText="1"/>
    </x:xf>
    <x:xf numFmtId="0" fontId="12" fillId="9" borderId="0" xfId="0" applyNumberFormat="1" applyFont="1" applyFill="1" applyBorder="1" applyAlignment="1">
      <x:alignment horizontal="center" vertical="center" wrapText="1"/>
    </x:xf>
    <x:xf numFmtId="0" fontId="11" fillId="14" borderId="21" xfId="0" applyNumberFormat="1" applyFont="1" applyFill="1" applyBorder="1" applyAlignment="1">
      <x:alignment horizontal="center" vertical="center" wrapText="1"/>
    </x:xf>
    <x:xf numFmtId="0" fontId="12" fillId="9" borderId="22" xfId="0" applyNumberFormat="1" applyFont="1" applyFill="1" applyBorder="1" applyAlignment="1">
      <x:alignment horizontal="center" vertical="center" wrapText="1"/>
    </x:xf>
    <x:xf numFmtId="0" fontId="11" fillId="14" borderId="24" xfId="0" applyNumberFormat="1" applyFont="1" applyFill="1" applyBorder="1" applyAlignment="1">
      <x:alignment horizontal="center" vertical="center" wrapText="1"/>
    </x:xf>
    <x:xf numFmtId="0" fontId="12" fillId="15" borderId="25" xfId="0" applyNumberFormat="1" applyFont="1" applyFill="1" applyBorder="1" applyAlignment="1">
      <x:alignment horizontal="center" vertical="center" wrapText="1"/>
    </x:xf>
    <x:xf numFmtId="0" fontId="11" fillId="14" borderId="27" xfId="0" applyNumberFormat="1" applyFont="1" applyFill="1" applyBorder="1" applyAlignment="1">
      <x:alignment horizontal="center" vertical="center" wrapText="1"/>
    </x:xf>
    <x:xf numFmtId="0" fontId="12" fillId="15" borderId="2" xfId="0" applyNumberFormat="1" applyFont="1" applyFill="1" applyBorder="1" applyAlignment="1">
      <x:alignment horizontal="center" vertical="center" wrapText="1"/>
    </x:xf>
    <x:xf numFmtId="0" fontId="12" fillId="7" borderId="2" xfId="0" applyNumberFormat="1" applyFont="1" applyFill="1" applyBorder="1" applyAlignment="1">
      <x:alignment horizontal="center" vertical="center" wrapText="1"/>
    </x:xf>
    <x:xf numFmtId="0" fontId="12" fillId="9" borderId="2" xfId="0" applyNumberFormat="1" applyFont="1" applyFill="1" applyBorder="1" applyAlignment="1">
      <x:alignment horizontal="center" vertical="center" wrapText="1"/>
    </x:xf>
    <x:xf numFmtId="0" fontId="11" fillId="14" borderId="29" xfId="0" applyNumberFormat="1" applyFont="1" applyFill="1" applyBorder="1" applyAlignment="1">
      <x:alignment horizontal="center" vertical="center" wrapText="1"/>
    </x:xf>
    <x:xf numFmtId="0" fontId="12" fillId="9" borderId="30" xfId="0" applyNumberFormat="1" applyFont="1" applyFill="1" applyBorder="1" applyAlignment="1">
      <x:alignment horizontal="center" vertical="center" wrapText="1"/>
    </x:xf>
    <x:xf numFmtId="0" fontId="11" fillId="14" borderId="17" xfId="0" applyNumberFormat="1" applyFont="1" applyFill="1" applyBorder="1" applyAlignment="1">
      <x:alignment horizontal="center" vertical="center" wrapText="1"/>
    </x:xf>
    <x:xf numFmtId="0" fontId="11" fillId="14" borderId="18" xfId="0" applyNumberFormat="1" applyFont="1" applyFill="1" applyBorder="1" applyAlignment="1">
      <x:alignment horizontal="center" vertical="center" wrapText="1"/>
    </x:xf>
    <x:xf numFmtId="0" fontId="11" fillId="14" borderId="0" xfId="0" applyNumberFormat="1" applyFont="1" applyFill="1" applyBorder="1" applyAlignment="1">
      <x:alignment horizontal="center" vertical="center" wrapText="1"/>
    </x:xf>
    <x:xf numFmtId="0" fontId="11" fillId="14" borderId="20" xfId="0" applyNumberFormat="1" applyFont="1" applyFill="1" applyBorder="1" applyAlignment="1">
      <x:alignment horizontal="center" vertical="center" wrapText="1"/>
    </x:xf>
    <x:xf numFmtId="0" fontId="11" fillId="14" borderId="22" xfId="0" applyNumberFormat="1" applyFont="1" applyFill="1" applyBorder="1" applyAlignment="1">
      <x:alignment horizontal="center" vertical="center" wrapText="1"/>
    </x:xf>
    <x:xf numFmtId="0" fontId="11" fillId="14" borderId="25" xfId="0" applyNumberFormat="1" applyFont="1" applyFill="1" applyBorder="1" applyAlignment="1">
      <x:alignment horizontal="center" vertical="center" wrapText="1"/>
    </x:xf>
    <x:xf numFmtId="0" fontId="11" fillId="14" borderId="26" xfId="0" applyNumberFormat="1" applyFont="1" applyFill="1" applyBorder="1" applyAlignment="1">
      <x:alignment horizontal="center" vertical="center" wrapText="1"/>
    </x:xf>
    <x:xf numFmtId="0" fontId="11" fillId="14" borderId="2" xfId="0" applyNumberFormat="1" applyFont="1" applyFill="1" applyBorder="1" applyAlignment="1">
      <x:alignment horizontal="center" vertical="center" wrapText="1"/>
    </x:xf>
    <x:xf numFmtId="0" fontId="11" fillId="14" borderId="28" xfId="0" applyNumberFormat="1" applyFont="1" applyFill="1" applyBorder="1" applyAlignment="1">
      <x:alignment horizontal="center" vertical="center" wrapText="1"/>
    </x:xf>
    <x:xf numFmtId="0" fontId="11" fillId="14" borderId="3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14" fillId="19" borderId="0" xfId="0" applyNumberFormat="1" applyFont="1" applyFill="1" applyBorder="1"/>
    <x:xf numFmtId="0" fontId="14" fillId="19" borderId="0" xfId="0" applyNumberFormat="1" applyFont="1" applyFill="1" applyBorder="1" applyAlignment="1">
      <x:alignment wrapText="1"/>
    </x:xf>
    <x:xf numFmtId="0" fontId="14" fillId="19" borderId="0" xfId="0" applyNumberFormat="1" applyFont="1" applyFill="1" applyBorder="1" applyAlignment="1">
      <x:alignment vertical="center" wrapText="1"/>
    </x:xf>
    <x:xf numFmtId="0" fontId="0" fillId="19" borderId="2" xfId="0" applyNumberFormat="1" applyFont="1" applyFill="1" applyBorder="1"/>
    <x:xf numFmtId="0" fontId="14" fillId="19" borderId="2" xfId="0" applyNumberFormat="1" applyFont="1" applyFill="1" applyBorder="1"/>
    <x:xf numFmtId="0" fontId="14" fillId="19" borderId="2" xfId="0" applyNumberFormat="1" applyFont="1" applyFill="1" applyBorder="1" applyAlignment="1">
      <x:alignment wrapText="1"/>
    </x:xf>
    <x:xf numFmtId="0" fontId="14" fillId="19" borderId="2" xfId="0" applyNumberFormat="1" applyFont="1" applyFill="1" applyBorder="1" applyAlignment="1">
      <x:alignment vertical="center" wrapText="1"/>
    </x:xf>
    <x:xf numFmtId="0" fontId="9" fillId="11" borderId="10" xfId="0" applyNumberFormat="1" applyFont="1" applyFill="1" applyBorder="1" applyAlignment="1">
      <x:alignment horizontal="center" vertical="center" wrapText="1"/>
    </x:xf>
    <x:xf numFmtId="0" fontId="9" fillId="11" borderId="11" xfId="0" applyNumberFormat="1" applyFont="1" applyFill="1" applyBorder="1" applyAlignment="1">
      <x:alignment horizontal="center" vertical="center" wrapText="1"/>
    </x:xf>
    <x:xf numFmtId="0" fontId="9" fillId="11" borderId="12" xfId="0" applyNumberFormat="1" applyFont="1" applyFill="1" applyBorder="1" applyAlignment="1">
      <x:alignment horizontal="center" vertical="center" wrapText="1"/>
    </x:xf>
    <x:xf numFmtId="0" fontId="9" fillId="11" borderId="13" xfId="0" applyNumberFormat="1" applyFont="1" applyFill="1" applyBorder="1" applyAlignment="1">
      <x:alignment horizontal="center" vertical="center" wrapText="1"/>
    </x:xf>
    <x:xf numFmtId="0" fontId="9" fillId="11" borderId="14" xfId="0" applyNumberFormat="1" applyFont="1" applyFill="1" applyBorder="1" applyAlignment="1">
      <x:alignment horizontal="center" vertical="center" wrapText="1"/>
    </x:xf>
    <x:xf numFmtId="0" fontId="9" fillId="11" borderId="15" xfId="0" applyNumberFormat="1" applyFont="1" applyFill="1" applyBorder="1" applyAlignment="1">
      <x:alignment horizontal="center" vertical="center" wrapText="1"/>
    </x:xf>
    <x:xf numFmtId="0" fontId="15" fillId="11" borderId="10" xfId="0" applyNumberFormat="1" applyFont="1" applyFill="1" applyBorder="1" applyAlignment="1">
      <x:alignment horizontal="center" vertical="center" wrapText="1"/>
    </x:xf>
    <x:xf numFmtId="0" fontId="15" fillId="11" borderId="11" xfId="0" applyNumberFormat="1" applyFont="1" applyFill="1" applyBorder="1" applyAlignment="1">
      <x:alignment horizontal="center" vertical="center" wrapText="1"/>
    </x:xf>
    <x:xf numFmtId="0" fontId="15" fillId="11" borderId="12" xfId="0" applyNumberFormat="1" applyFont="1" applyFill="1" applyBorder="1" applyAlignment="1">
      <x:alignment horizontal="center" vertical="center" wrapText="1"/>
    </x:xf>
    <x:xf numFmtId="0" fontId="15" fillId="11" borderId="13" xfId="0" applyNumberFormat="1" applyFont="1" applyFill="1" applyBorder="1" applyAlignment="1">
      <x:alignment horizontal="center" vertical="center" wrapText="1"/>
    </x:xf>
    <x:xf numFmtId="0" fontId="15" fillId="11" borderId="14" xfId="0" applyNumberFormat="1" applyFont="1" applyFill="1" applyBorder="1" applyAlignment="1">
      <x:alignment horizontal="center" vertical="center" wrapText="1"/>
    </x:xf>
    <x:xf numFmtId="0" fontId="15" fillId="11" borderId="15" xfId="0" applyNumberFormat="1" applyFont="1" applyFill="1" applyBorder="1" applyAlignment="1">
      <x:alignment horizontal="center" vertical="center" wrapText="1"/>
    </x:xf>
    <x:xf numFmtId="0" fontId="9" fillId="12" borderId="10" xfId="0" applyNumberFormat="1" applyFont="1" applyFill="1" applyBorder="1" applyAlignment="1">
      <x:alignment horizontal="center" vertical="center" wrapText="1"/>
    </x:xf>
    <x:xf numFmtId="0" fontId="9" fillId="12" borderId="11" xfId="0" applyNumberFormat="1" applyFont="1" applyFill="1" applyBorder="1" applyAlignment="1">
      <x:alignment horizontal="center" vertical="center" wrapText="1"/>
    </x:xf>
    <x:xf numFmtId="0" fontId="9" fillId="12" borderId="12" xfId="0" applyNumberFormat="1" applyFont="1" applyFill="1" applyBorder="1" applyAlignment="1">
      <x:alignment horizontal="center" vertical="center" wrapText="1"/>
    </x:xf>
    <x:xf numFmtId="0" fontId="9" fillId="12" borderId="13" xfId="0" applyNumberFormat="1" applyFont="1" applyFill="1" applyBorder="1" applyAlignment="1">
      <x:alignment horizontal="center" vertical="center" wrapText="1"/>
    </x:xf>
    <x:xf numFmtId="0" fontId="9" fillId="12" borderId="14" xfId="0" applyNumberFormat="1" applyFont="1" applyFill="1" applyBorder="1" applyAlignment="1">
      <x:alignment horizontal="center" vertical="center" wrapText="1"/>
    </x:xf>
    <x:xf numFmtId="0" fontId="9" fillId="12" borderId="15" xfId="0" applyNumberFormat="1" applyFont="1" applyFill="1" applyBorder="1" applyAlignment="1">
      <x:alignment horizontal="center" vertical="center" wrapText="1"/>
    </x:xf>
    <x:xf numFmtId="0" fontId="15" fillId="12" borderId="10" xfId="0" applyNumberFormat="1" applyFont="1" applyFill="1" applyBorder="1" applyAlignment="1">
      <x:alignment horizontal="center" vertical="center" wrapText="1"/>
    </x:xf>
    <x:xf numFmtId="0" fontId="15" fillId="12" borderId="11" xfId="0" applyNumberFormat="1" applyFont="1" applyFill="1" applyBorder="1" applyAlignment="1">
      <x:alignment horizontal="center" vertical="center" wrapText="1"/>
    </x:xf>
    <x:xf numFmtId="0" fontId="15" fillId="12" borderId="12" xfId="0" applyNumberFormat="1" applyFont="1" applyFill="1" applyBorder="1" applyAlignment="1">
      <x:alignment horizontal="center" vertical="center" wrapText="1"/>
    </x:xf>
    <x:xf numFmtId="0" fontId="15" fillId="12" borderId="13" xfId="0" applyNumberFormat="1" applyFont="1" applyFill="1" applyBorder="1" applyAlignment="1">
      <x:alignment horizontal="center" vertical="center" wrapText="1"/>
    </x:xf>
    <x:xf numFmtId="0" fontId="15" fillId="12" borderId="14" xfId="0" applyNumberFormat="1" applyFont="1" applyFill="1" applyBorder="1" applyAlignment="1">
      <x:alignment horizontal="center" vertical="center" wrapText="1"/>
    </x:xf>
    <x:xf numFmtId="0" fontId="15" fillId="12" borderId="15" xfId="0" applyNumberFormat="1" applyFont="1" applyFill="1" applyBorder="1" applyAlignment="1">
      <x:alignment horizontal="center" vertical="center" wrapText="1"/>
    </x:xf>
    <x:xf numFmtId="0" fontId="9" fillId="13" borderId="10" xfId="0" applyNumberFormat="1" applyFont="1" applyFill="1" applyBorder="1" applyAlignment="1">
      <x:alignment horizontal="center" vertical="center" wrapText="1"/>
    </x:xf>
    <x:xf numFmtId="0" fontId="9" fillId="13" borderId="11" xfId="0" applyNumberFormat="1" applyFont="1" applyFill="1" applyBorder="1" applyAlignment="1">
      <x:alignment horizontal="center" vertical="center" wrapText="1"/>
    </x:xf>
    <x:xf numFmtId="0" fontId="9" fillId="13" borderId="12" xfId="0" applyNumberFormat="1" applyFont="1" applyFill="1" applyBorder="1" applyAlignment="1">
      <x:alignment horizontal="center" vertical="center" wrapText="1"/>
    </x:xf>
    <x:xf numFmtId="0" fontId="9" fillId="13" borderId="13" xfId="0" applyNumberFormat="1" applyFont="1" applyFill="1" applyBorder="1" applyAlignment="1">
      <x:alignment horizontal="center" vertical="center" wrapText="1"/>
    </x:xf>
    <x:xf numFmtId="0" fontId="9" fillId="13" borderId="14" xfId="0" applyNumberFormat="1" applyFont="1" applyFill="1" applyBorder="1" applyAlignment="1">
      <x:alignment horizontal="center" vertical="center" wrapText="1"/>
    </x:xf>
    <x:xf numFmtId="0" fontId="9" fillId="13" borderId="15" xfId="0" applyNumberFormat="1" applyFont="1" applyFill="1" applyBorder="1" applyAlignment="1">
      <x:alignment horizontal="center" vertical="center" wrapText="1"/>
    </x:xf>
    <x:xf numFmtId="0" fontId="15" fillId="13" borderId="10" xfId="0" applyNumberFormat="1" applyFont="1" applyFill="1" applyBorder="1" applyAlignment="1">
      <x:alignment horizontal="center" vertical="center" wrapText="1"/>
    </x:xf>
    <x:xf numFmtId="0" fontId="15" fillId="13" borderId="11" xfId="0" applyNumberFormat="1" applyFont="1" applyFill="1" applyBorder="1" applyAlignment="1">
      <x:alignment horizontal="center" vertical="center" wrapText="1"/>
    </x:xf>
    <x:xf numFmtId="0" fontId="15" fillId="13" borderId="12" xfId="0" applyNumberFormat="1" applyFont="1" applyFill="1" applyBorder="1" applyAlignment="1">
      <x:alignment horizontal="center" vertical="center" wrapText="1"/>
    </x:xf>
    <x:xf numFmtId="0" fontId="15" fillId="13" borderId="13" xfId="0" applyNumberFormat="1" applyFont="1" applyFill="1" applyBorder="1" applyAlignment="1">
      <x:alignment horizontal="center" vertical="center" wrapText="1"/>
    </x:xf>
    <x:xf numFmtId="0" fontId="15" fillId="13" borderId="14" xfId="0" applyNumberFormat="1" applyFont="1" applyFill="1" applyBorder="1" applyAlignment="1">
      <x:alignment horizontal="center" vertical="center" wrapText="1"/>
    </x:xf>
    <x:xf numFmtId="0" fontId="15" fillId="13" borderId="1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left" vertical="center" wrapText="1"/>
    </x:xf>
    <x:xf numFmtId="0" fontId="4" fillId="3" borderId="1" xfId="0" applyNumberFormat="1" applyFont="1" applyFill="1" applyBorder="1" applyAlignment="1">
      <x:alignment horizontal="left" vertical="top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0" fontId="6" fillId="20" borderId="0" xfId="0" applyNumberFormat="1" applyFont="1" applyFill="1" applyBorder="1" applyAlignment="1">
      <x:alignment horizontal="left" vertical="center"/>
    </x:xf>
    <x:xf numFmtId="0" fontId="16" fillId="20" borderId="0" xfId="0" applyNumberFormat="1" applyFont="1" applyFill="1" applyBorder="1" applyAlignment="1">
      <x:alignment horizontal="left" vertical="center"/>
    </x:xf>
    <x:xf numFmtId="0" fontId="17" fillId="0" borderId="0" xfId="0" applyNumberFormat="1" applyFont="1" applyFill="1" applyBorder="1" applyAlignment="1">
      <x:alignment vertical="center" wrapText="1"/>
    </x:xf>
    <x:xf numFmtId="0" fontId="8" fillId="21" borderId="4" xfId="0" applyNumberFormat="1" applyFont="1" applyFill="1" applyBorder="1" applyAlignment="1">
      <x:alignment horizontal="center" vertical="center" wrapText="1"/>
    </x:xf>
    <x:xf numFmtId="0" fontId="8" fillId="21" borderId="5" xfId="0" applyNumberFormat="1" applyFont="1" applyFill="1" applyBorder="1" applyAlignment="1">
      <x:alignment horizontal="center" vertical="center" wrapText="1"/>
    </x:xf>
    <x:xf numFmtId="0" fontId="8" fillId="21" borderId="6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12" fillId="21" borderId="4" xfId="0" applyNumberFormat="1" applyFont="1" applyFill="1" applyBorder="1" applyAlignment="1">
      <x:alignment horizontal="center" vertical="center" wrapText="1"/>
    </x:xf>
    <x:xf numFmtId="0" fontId="12" fillId="21" borderId="5" xfId="0" applyNumberFormat="1" applyFont="1" applyFill="1" applyBorder="1" applyAlignment="1">
      <x:alignment horizontal="center" vertical="center" wrapText="1"/>
    </x:xf>
    <x:xf numFmtId="0" fontId="12" fillId="21" borderId="6" xfId="0" applyNumberFormat="1" applyFont="1" applyFill="1" applyBorder="1" applyAlignment="1">
      <x:alignment horizontal="center" vertical="center" wrapText="1"/>
    </x:xf>
    <x:xf numFmtId="0" fontId="12" fillId="21" borderId="0" xfId="0" applyNumberFormat="1" applyFont="1" applyFill="1" applyBorder="1"/>
    <x:xf numFmtId="0" fontId="12" fillId="21" borderId="0" xfId="0" applyNumberFormat="1" applyFont="1" applyFill="1" applyBorder="1" applyAlignment="1">
      <x:alignment horizontal="center"/>
    </x:xf>
    <x:xf numFmtId="0" fontId="12" fillId="21" borderId="0" xfId="0" applyNumberFormat="1" applyFont="1" applyFill="1" applyBorder="1" applyAlignment="1">
      <x:alignment horizontal="center" vertical="center"/>
    </x:xf>
    <x:xf numFmtId="0" fontId="12" fillId="21" borderId="0" xfId="0" applyNumberFormat="1" applyFont="1" applyFill="1" applyBorder="1" applyAlignment="1">
      <x:alignment horizontal="center" vertical="center" wrapText="1"/>
    </x:xf>
    <x:xf numFmtId="0" fontId="8" fillId="22" borderId="4" xfId="0" applyNumberFormat="1" applyFont="1" applyFill="1" applyBorder="1" applyAlignment="1">
      <x:alignment horizontal="center" vertical="center" wrapText="1"/>
    </x:xf>
    <x:xf numFmtId="0" fontId="8" fillId="22" borderId="5" xfId="0" applyNumberFormat="1" applyFont="1" applyFill="1" applyBorder="1" applyAlignment="1">
      <x:alignment horizontal="center" vertical="center" wrapText="1"/>
    </x:xf>
    <x:xf numFmtId="0" fontId="8" fillId="22" borderId="6" xfId="0" applyNumberFormat="1" applyFont="1" applyFill="1" applyBorder="1" applyAlignment="1">
      <x:alignment horizontal="center" vertical="center" wrapText="1"/>
    </x:xf>
    <x:xf numFmtId="0" fontId="12" fillId="22" borderId="4" xfId="0" applyNumberFormat="1" applyFont="1" applyFill="1" applyBorder="1" applyAlignment="1">
      <x:alignment horizontal="center" vertical="center" wrapText="1"/>
    </x:xf>
    <x:xf numFmtId="0" fontId="12" fillId="22" borderId="5" xfId="0" applyNumberFormat="1" applyFont="1" applyFill="1" applyBorder="1" applyAlignment="1">
      <x:alignment horizontal="center" vertical="center" wrapText="1"/>
    </x:xf>
    <x:xf numFmtId="0" fontId="12" fillId="22" borderId="6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8" fillId="23" borderId="4" xfId="0" applyNumberFormat="1" applyFont="1" applyFill="1" applyBorder="1" applyAlignment="1">
      <x:alignment horizontal="center" vertical="center" wrapText="1"/>
    </x:xf>
    <x:xf numFmtId="0" fontId="8" fillId="23" borderId="5" xfId="0" applyNumberFormat="1" applyFont="1" applyFill="1" applyBorder="1" applyAlignment="1">
      <x:alignment horizontal="center" vertical="center" wrapText="1"/>
    </x:xf>
    <x:xf numFmtId="0" fontId="12" fillId="23" borderId="0" xfId="0" applyNumberFormat="1" applyFont="1" applyFill="1" applyBorder="1"/>
    <x:xf numFmtId="0" fontId="12" fillId="23" borderId="4" xfId="0" applyNumberFormat="1" applyFont="1" applyFill="1" applyBorder="1" applyAlignment="1">
      <x:alignment horizontal="center" vertical="center" wrapText="1"/>
    </x:xf>
    <x:xf numFmtId="0" fontId="12" fillId="23" borderId="5" xfId="0" applyNumberFormat="1" applyFont="1" applyFill="1" applyBorder="1" applyAlignment="1">
      <x:alignment horizontal="center" vertical="center" wrapText="1"/>
    </x:xf>
    <x:xf numFmtId="0" fontId="12" fillId="23" borderId="0" xfId="0" applyNumberFormat="1" applyFont="1" applyFill="1" applyBorder="1" applyAlignment="1">
      <x:alignment horizontal="center"/>
    </x:xf>
    <x:xf numFmtId="0" fontId="12" fillId="23" borderId="0" xfId="0" applyNumberFormat="1" applyFont="1" applyFill="1" applyBorder="1" applyAlignment="1">
      <x:alignment horizontal="center" vertical="center"/>
    </x:xf>
    <x:xf numFmtId="0" fontId="12" fillId="23" borderId="0" xfId="0" applyNumberFormat="1" applyFont="1" applyFill="1" applyBorder="1" applyAlignment="1">
      <x:alignment horizontal="center" vertical="center" wrapText="1"/>
    </x:xf>
    <x:xf numFmtId="0" fontId="8" fillId="24" borderId="6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8" fillId="24" borderId="4" xfId="0" applyNumberFormat="1" applyFont="1" applyFill="1" applyBorder="1" applyAlignment="1">
      <x:alignment horizontal="center" vertical="center" wrapText="1"/>
    </x:xf>
    <x:xf numFmtId="0" fontId="12" fillId="24" borderId="6" xfId="0" applyNumberFormat="1" applyFont="1" applyFill="1" applyBorder="1" applyAlignment="1">
      <x:alignment horizontal="center" vertical="center" wrapText="1"/>
    </x:xf>
    <x:xf numFmtId="0" fontId="12" fillId="24" borderId="0" xfId="0" applyNumberFormat="1" applyFont="1" applyFill="1" applyBorder="1"/>
    <x:xf numFmtId="0" fontId="12" fillId="24" borderId="4" xfId="0" applyNumberFormat="1" applyFont="1" applyFill="1" applyBorder="1" applyAlignment="1">
      <x:alignment horizontal="center" vertical="center" wrapText="1"/>
    </x:xf>
    <x:xf numFmtId="0" fontId="12" fillId="24" borderId="0" xfId="0" applyNumberFormat="1" applyFont="1" applyFill="1" applyBorder="1" applyAlignment="1">
      <x:alignment horizontal="center"/>
    </x:xf>
    <x:xf numFmtId="0" fontId="12" fillId="24" borderId="0" xfId="0" applyNumberFormat="1" applyFont="1" applyFill="1" applyBorder="1" applyAlignment="1">
      <x:alignment horizontal="center" vertical="center"/>
    </x:xf>
    <x:xf numFmtId="0" fontId="12" fillId="24" borderId="0" xfId="0" applyNumberFormat="1" applyFont="1" applyFill="1" applyBorder="1" applyAlignment="1">
      <x:alignment horizontal="center" vertical="center" wrapText="1"/>
    </x:xf>
    <x:xf numFmtId="0" fontId="8" fillId="25" borderId="5" xfId="0" applyNumberFormat="1" applyFont="1" applyFill="1" applyBorder="1" applyAlignment="1">
      <x:alignment horizontal="center" vertical="center" wrapText="1"/>
    </x:xf>
    <x:xf numFmtId="0" fontId="8" fillId="25" borderId="6" xfId="0" applyNumberFormat="1" applyFont="1" applyFill="1" applyBorder="1" applyAlignment="1">
      <x:alignment horizontal="center" vertical="center" wrapText="1"/>
    </x:xf>
    <x:xf numFmtId="0" fontId="12" fillId="25" borderId="5" xfId="0" applyNumberFormat="1" applyFont="1" applyFill="1" applyBorder="1" applyAlignment="1">
      <x:alignment horizontal="center" vertical="center" wrapText="1"/>
    </x:xf>
    <x:xf numFmtId="0" fontId="12" fillId="25" borderId="6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/>
    <x:xf numFmtId="0" fontId="8" fillId="26" borderId="4" xfId="0" applyNumberFormat="1" applyFont="1" applyFill="1" applyBorder="1" applyAlignment="1">
      <x:alignment horizontal="center" vertical="center" wrapText="1"/>
    </x:xf>
    <x:xf numFmtId="0" fontId="12" fillId="26" borderId="0" xfId="0" applyNumberFormat="1" applyFont="1" applyFill="1" applyBorder="1"/>
    <x:xf numFmtId="0" fontId="12" fillId="26" borderId="4" xfId="0" applyNumberFormat="1" applyFont="1" applyFill="1" applyBorder="1" applyAlignment="1">
      <x:alignment horizontal="center" vertical="center" wrapText="1"/>
    </x:xf>
    <x:xf numFmtId="0" fontId="12" fillId="26" borderId="0" xfId="0" applyNumberFormat="1" applyFont="1" applyFill="1" applyBorder="1" applyAlignment="1">
      <x:alignment horizontal="center"/>
    </x:xf>
    <x:xf numFmtId="0" fontId="12" fillId="26" borderId="0" xfId="0" applyNumberFormat="1" applyFont="1" applyFill="1" applyBorder="1" applyAlignment="1">
      <x:alignment horizontal="center" vertical="center"/>
    </x:xf>
    <x:xf numFmtId="0" fontId="12" fillId="26" borderId="0" xfId="0" applyNumberFormat="1" applyFont="1" applyFill="1" applyBorder="1" applyAlignment="1">
      <x:alignment horizontal="center" vertical="center" wrapText="1"/>
    </x:xf>
    <x:xf numFmtId="0" fontId="8" fillId="27" borderId="5" xfId="0" applyNumberFormat="1" applyFont="1" applyFill="1" applyBorder="1" applyAlignment="1">
      <x:alignment horizontal="center" vertical="center" wrapText="1"/>
    </x:xf>
    <x:xf numFmtId="0" fontId="8" fillId="27" borderId="6" xfId="0" applyNumberFormat="1" applyFont="1" applyFill="1" applyBorder="1" applyAlignment="1">
      <x:alignment horizontal="center" vertical="center" wrapText="1"/>
    </x:xf>
    <x:xf numFmtId="0" fontId="12" fillId="27" borderId="5" xfId="0" applyNumberFormat="1" applyFont="1" applyFill="1" applyBorder="1" applyAlignment="1">
      <x:alignment horizontal="center" vertical="center" wrapText="1"/>
    </x:xf>
    <x:xf numFmtId="0" fontId="12" fillId="27" borderId="6" xfId="0" applyNumberFormat="1" applyFont="1" applyFill="1" applyBorder="1" applyAlignment="1">
      <x:alignment horizontal="center" vertical="center" wrapText="1"/>
    </x:xf>
    <x:xf numFmtId="0" fontId="15" fillId="28" borderId="10" xfId="0" applyNumberFormat="1" applyFont="1" applyFill="1" applyBorder="1" applyAlignment="1">
      <x:alignment horizontal="center" vertical="center" wrapText="1"/>
    </x:xf>
    <x:xf numFmtId="0" fontId="15" fillId="28" borderId="11" xfId="0" applyNumberFormat="1" applyFont="1" applyFill="1" applyBorder="1" applyAlignment="1">
      <x:alignment horizontal="center" vertical="center" wrapText="1"/>
    </x:xf>
    <x:xf numFmtId="0" fontId="15" fillId="29" borderId="12" xfId="0" applyNumberFormat="1" applyFont="1" applyFill="1" applyBorder="1" applyAlignment="1">
      <x:alignment horizontal="center" vertical="center" wrapText="1"/>
    </x:xf>
    <x:xf numFmtId="0" fontId="15" fillId="29" borderId="10" xfId="0" applyNumberFormat="1" applyFont="1" applyFill="1" applyBorder="1" applyAlignment="1">
      <x:alignment horizontal="center" vertical="center" wrapText="1"/>
    </x:xf>
    <x:xf numFmtId="0" fontId="15" fillId="29" borderId="11" xfId="0" applyNumberFormat="1" applyFont="1" applyFill="1" applyBorder="1" applyAlignment="1">
      <x:alignment horizontal="center" vertical="center" wrapText="1"/>
    </x:xf>
    <x:xf numFmtId="0" fontId="15" fillId="30" borderId="11" xfId="0" applyNumberFormat="1" applyFont="1" applyFill="1" applyBorder="1" applyAlignment="1">
      <x:alignment horizontal="center" vertical="center" wrapText="1"/>
    </x:xf>
    <x:xf numFmtId="0" fontId="15" fillId="31" borderId="12" xfId="0" applyNumberFormat="1" applyFont="1" applyFill="1" applyBorder="1" applyAlignment="1">
      <x:alignment horizontal="center" vertical="center" wrapText="1"/>
    </x:xf>
    <x:xf numFmtId="0" fontId="15" fillId="32" borderId="10" xfId="0" applyNumberFormat="1" applyFont="1" applyFill="1" applyBorder="1" applyAlignment="1">
      <x:alignment horizontal="center" vertical="center" wrapText="1"/>
    </x:xf>
    <x:xf numFmtId="0" fontId="15" fillId="32" borderId="11" xfId="0" applyNumberFormat="1" applyFont="1" applyFill="1" applyBorder="1" applyAlignment="1">
      <x:alignment horizontal="center" vertical="center" wrapText="1"/>
    </x:xf>
    <x:xf numFmtId="0" fontId="15" fillId="33" borderId="11" xfId="0" applyNumberFormat="1" applyFont="1" applyFill="1" applyBorder="1" applyAlignment="1">
      <x:alignment horizontal="center" vertical="center" wrapText="1"/>
    </x:xf>
    <x:xf numFmtId="0" fontId="15" fillId="33" borderId="12" xfId="0" applyNumberFormat="1" applyFont="1" applyFill="1" applyBorder="1" applyAlignment="1">
      <x:alignment horizontal="center" vertical="center" wrapText="1"/>
    </x:xf>
    <x:xf numFmtId="0" fontId="10" fillId="20" borderId="10" xfId="0" applyNumberFormat="1" applyFont="1" applyFill="1" applyBorder="1" applyAlignment="1">
      <x:alignment horizontal="center" vertical="center" wrapText="1"/>
    </x:xf>
    <x:xf numFmtId="0" fontId="10" fillId="20" borderId="11" xfId="0" applyNumberFormat="1" applyFont="1" applyFill="1" applyBorder="1" applyAlignment="1">
      <x:alignment horizontal="center" vertical="center" wrapText="1"/>
    </x:xf>
    <x:xf numFmtId="0" fontId="10" fillId="20" borderId="12" xfId="0" applyNumberFormat="1" applyFont="1" applyFill="1" applyBorder="1" applyAlignment="1">
      <x:alignment horizontal="center" vertical="center" wrapText="1"/>
    </x:xf>
    <x:xf numFmtId="0" fontId="15" fillId="20" borderId="10" xfId="0" applyNumberFormat="1" applyFont="1" applyFill="1" applyBorder="1" applyAlignment="1">
      <x:alignment horizontal="center" vertical="center" wrapText="1"/>
    </x:xf>
    <x:xf numFmtId="0" fontId="15" fillId="20" borderId="11" xfId="0" applyNumberFormat="1" applyFont="1" applyFill="1" applyBorder="1" applyAlignment="1">
      <x:alignment horizontal="center" vertical="center" wrapText="1"/>
    </x:xf>
    <x:xf numFmtId="0" fontId="15" fillId="20" borderId="12" xfId="0" applyNumberFormat="1" applyFont="1" applyFill="1" applyBorder="1" applyAlignment="1">
      <x:alignment horizontal="center" vertical="center" wrapText="1"/>
    </x:xf>
    <x:xf numFmtId="0" fontId="11" fillId="34" borderId="16" xfId="0" applyNumberFormat="1" applyFont="1" applyFill="1" applyBorder="1" applyAlignment="1">
      <x:alignment horizontal="center" vertical="center" wrapText="1"/>
    </x:xf>
    <x:xf numFmtId="0" fontId="12" fillId="34" borderId="17" xfId="0" applyNumberFormat="1" applyFont="1" applyFill="1" applyBorder="1" applyAlignment="1">
      <x:alignment horizontal="center" vertical="center" wrapText="1"/>
    </x:xf>
    <x:xf numFmtId="0" fontId="11" fillId="34" borderId="17" xfId="0" applyNumberFormat="1" applyFont="1" applyFill="1" applyBorder="1" applyAlignment="1">
      <x:alignment vertical="center" wrapText="1"/>
    </x:xf>
    <x:xf numFmtId="0" fontId="11" fillId="34" borderId="17" xfId="0" applyNumberFormat="1" applyFont="1" applyFill="1" applyBorder="1" applyAlignment="1">
      <x:alignment horizontal="center" vertical="center" wrapText="1"/>
    </x:xf>
    <x:xf numFmtId="0" fontId="13" fillId="34" borderId="32" xfId="0" applyNumberFormat="1" applyFont="1" applyFill="1" applyBorder="1" applyAlignment="1">
      <x:alignment horizontal="center" vertical="center" wrapText="1"/>
    </x:xf>
    <x:xf numFmtId="0" fontId="11" fillId="34" borderId="19" xfId="0" applyNumberFormat="1" applyFont="1" applyFill="1" applyBorder="1" applyAlignment="1">
      <x:alignment horizontal="center" vertical="center" wrapText="1"/>
    </x:xf>
    <x:xf numFmtId="0" fontId="12" fillId="34" borderId="0" xfId="0" applyNumberFormat="1" applyFont="1" applyFill="1" applyBorder="1" applyAlignment="1">
      <x:alignment horizontal="center" vertical="center" wrapText="1"/>
    </x:xf>
    <x:xf numFmtId="0" fontId="11" fillId="34" borderId="0" xfId="0" applyNumberFormat="1" applyFont="1" applyFill="1" applyBorder="1" applyAlignment="1">
      <x:alignment vertical="center" wrapText="1"/>
    </x:xf>
    <x:xf numFmtId="0" fontId="11" fillId="34" borderId="0" xfId="0" applyNumberFormat="1" applyFont="1" applyFill="1" applyBorder="1" applyAlignment="1">
      <x:alignment horizontal="center" vertical="center" wrapText="1"/>
    </x:xf>
    <x:xf numFmtId="0" fontId="18" fillId="34" borderId="16" xfId="0" applyNumberFormat="1" applyFont="1" applyFill="1" applyBorder="1" applyAlignment="1">
      <x:alignment horizontal="center" vertical="center" wrapText="1"/>
    </x:xf>
    <x:xf numFmtId="0" fontId="19" fillId="34" borderId="17" xfId="0" applyNumberFormat="1" applyFont="1" applyFill="1" applyBorder="1" applyAlignment="1">
      <x:alignment horizontal="center" vertical="center" wrapText="1"/>
    </x:xf>
    <x:xf numFmtId="0" fontId="18" fillId="34" borderId="17" xfId="0" applyNumberFormat="1" applyFont="1" applyFill="1" applyBorder="1" applyAlignment="1">
      <x:alignment vertical="center" wrapText="1"/>
    </x:xf>
    <x:xf numFmtId="0" fontId="18" fillId="34" borderId="17" xfId="0" applyNumberFormat="1" applyFont="1" applyFill="1" applyBorder="1" applyAlignment="1">
      <x:alignment horizontal="center" vertical="center" wrapText="1"/>
    </x:xf>
    <x:xf numFmtId="0" fontId="19" fillId="34" borderId="32" xfId="0" applyNumberFormat="1" applyFont="1" applyFill="1" applyBorder="1" applyAlignment="1">
      <x:alignment horizontal="center" vertical="center" wrapText="1"/>
    </x:xf>
    <x:xf numFmtId="0" fontId="18" fillId="34" borderId="19" xfId="0" applyNumberFormat="1" applyFont="1" applyFill="1" applyBorder="1" applyAlignment="1">
      <x:alignment horizontal="center" vertical="center" wrapText="1"/>
    </x:xf>
    <x:xf numFmtId="0" fontId="19" fillId="34" borderId="0" xfId="0" applyNumberFormat="1" applyFont="1" applyFill="1" applyBorder="1" applyAlignment="1">
      <x:alignment horizontal="center" vertical="center" wrapText="1"/>
    </x:xf>
    <x:xf numFmtId="0" fontId="18" fillId="34" borderId="0" xfId="0" applyNumberFormat="1" applyFont="1" applyFill="1" applyBorder="1" applyAlignment="1">
      <x:alignment vertical="center" wrapText="1"/>
    </x:xf>
    <x:xf numFmtId="0" fontId="18" fillId="34" borderId="0" xfId="0" applyNumberFormat="1" applyFont="1" applyFill="1" applyBorder="1" applyAlignment="1">
      <x:alignment horizontal="center" vertical="center" wrapText="1"/>
    </x:xf>
    <x:xf numFmtId="0" fontId="19" fillId="23" borderId="17" xfId="0" applyNumberFormat="1" applyFont="1" applyFill="1" applyBorder="1" applyAlignment="1">
      <x:alignment horizontal="center" vertical="center" wrapText="1"/>
    </x:xf>
    <x:xf numFmtId="0" fontId="19" fillId="23" borderId="32" xfId="0" applyNumberFormat="1" applyFont="1" applyFill="1" applyBorder="1" applyAlignment="1">
      <x:alignment horizontal="center" vertical="center" wrapText="1"/>
    </x:xf>
    <x:xf numFmtId="0" fontId="18" fillId="23" borderId="17" xfId="0" applyNumberFormat="1" applyFont="1" applyFill="1" applyBorder="1" applyAlignment="1">
      <x:alignment horizontal="center" vertical="center" wrapText="1"/>
    </x:xf>
    <x:xf numFmtId="0" fontId="19" fillId="23" borderId="0" xfId="0" applyNumberFormat="1" applyFont="1" applyFill="1" applyBorder="1" applyAlignment="1">
      <x:alignment horizontal="center" vertical="center" wrapText="1"/>
    </x:xf>
    <x:xf numFmtId="0" fontId="18" fillId="23" borderId="0" xfId="0" applyNumberFormat="1" applyFont="1" applyFill="1" applyBorder="1" applyAlignment="1">
      <x:alignment horizontal="center" vertical="center" wrapText="1"/>
    </x:xf>
    <x:xf numFmtId="0" fontId="19" fillId="24" borderId="0" xfId="0" applyNumberFormat="1" applyFont="1" applyFill="1" applyBorder="1" applyAlignment="1">
      <x:alignment horizontal="center" vertical="center" wrapText="1"/>
    </x:xf>
    <x:xf numFmtId="0" fontId="18" fillId="24" borderId="0" xfId="0" applyNumberFormat="1" applyFont="1" applyFill="1" applyBorder="1" applyAlignment="1">
      <x:alignment horizontal="center" vertical="center" wrapText="1"/>
    </x:xf>
    <x:xf numFmtId="0" fontId="19" fillId="24" borderId="32" xfId="0" applyNumberFormat="1" applyFont="1" applyFill="1" applyBorder="1" applyAlignment="1">
      <x:alignment horizontal="center" vertical="center" wrapText="1"/>
    </x:xf>
    <x:xf numFmtId="0" fontId="19" fillId="25" borderId="0" xfId="0" applyNumberFormat="1" applyFont="1" applyFill="1" applyBorder="1" applyAlignment="1">
      <x:alignment horizontal="center" vertical="center" wrapText="1"/>
    </x:xf>
    <x:xf numFmtId="0" fontId="18" fillId="25" borderId="0" xfId="0" applyNumberFormat="1" applyFont="1" applyFill="1" applyBorder="1" applyAlignment="1">
      <x:alignment horizontal="center" vertical="center" wrapText="1"/>
    </x:xf>
    <x:xf numFmtId="0" fontId="19" fillId="22" borderId="0" xfId="0" applyNumberFormat="1" applyFont="1" applyFill="1" applyBorder="1" applyAlignment="1">
      <x:alignment horizontal="center" vertical="center" wrapText="1"/>
    </x:xf>
    <x:xf numFmtId="0" fontId="18" fillId="22" borderId="0" xfId="0" applyNumberFormat="1" applyFont="1" applyFill="1" applyBorder="1" applyAlignment="1">
      <x:alignment horizontal="center" vertical="center" wrapText="1"/>
    </x:xf>
    <x:xf numFmtId="0" fontId="19" fillId="26" borderId="0" xfId="0" applyNumberFormat="1" applyFont="1" applyFill="1" applyBorder="1" applyAlignment="1">
      <x:alignment horizontal="center" vertical="center" wrapText="1"/>
    </x:xf>
    <x:xf numFmtId="0" fontId="18" fillId="26" borderId="0" xfId="0" applyNumberFormat="1" applyFont="1" applyFill="1" applyBorder="1" applyAlignment="1">
      <x:alignment horizontal="center" vertical="center" wrapText="1"/>
    </x:xf>
    <x:xf numFmtId="0" fontId="13" fillId="23" borderId="32" xfId="0" applyNumberFormat="1" applyFont="1" applyFill="1" applyBorder="1" applyAlignment="1">
      <x:alignment horizontal="center" vertical="center" wrapText="1"/>
    </x:xf>
    <x:xf numFmtId="0" fontId="13" fillId="23" borderId="17" xfId="0" applyNumberFormat="1" applyFont="1" applyFill="1" applyBorder="1" applyAlignment="1">
      <x:alignment horizontal="center" vertical="center" wrapText="1"/>
    </x:xf>
    <x:xf numFmtId="0" fontId="13" fillId="34" borderId="17" xfId="0" applyNumberFormat="1" applyFont="1" applyFill="1" applyBorder="1" applyAlignment="1">
      <x:alignment horizontal="center" vertical="center" wrapText="1"/>
    </x:xf>
    <x:xf numFmtId="0" fontId="13" fillId="23" borderId="0" xfId="0" applyNumberFormat="1" applyFont="1" applyFill="1" applyBorder="1" applyAlignment="1">
      <x:alignment horizontal="center" vertical="center" wrapText="1"/>
    </x:xf>
    <x:xf numFmtId="0" fontId="13" fillId="34" borderId="0" xfId="0" applyNumberFormat="1" applyFont="1" applyFill="1" applyBorder="1" applyAlignment="1">
      <x:alignment horizontal="center" vertical="center" wrapText="1"/>
    </x:xf>
    <x:xf numFmtId="0" fontId="13" fillId="24" borderId="0" xfId="0" applyNumberFormat="1" applyFont="1" applyFill="1" applyBorder="1" applyAlignment="1">
      <x:alignment horizontal="center" vertical="center" wrapText="1"/>
    </x:xf>
    <x:xf numFmtId="0" fontId="13" fillId="24" borderId="32" xfId="0" applyNumberFormat="1" applyFont="1" applyFill="1" applyBorder="1" applyAlignment="1">
      <x:alignment horizontal="center" vertical="center" wrapText="1"/>
    </x:xf>
    <x:xf numFmtId="0" fontId="13" fillId="25" borderId="0" xfId="0" applyNumberFormat="1" applyFont="1" applyFill="1" applyBorder="1" applyAlignment="1">
      <x:alignment horizontal="center" vertical="center" wrapText="1"/>
    </x:xf>
    <x:xf numFmtId="0" fontId="13" fillId="22" borderId="0" xfId="0" applyNumberFormat="1" applyFont="1" applyFill="1" applyBorder="1" applyAlignment="1">
      <x:alignment horizontal="center" vertical="center" wrapText="1"/>
    </x:xf>
    <x:xf numFmtId="0" fontId="13" fillId="26" borderId="0" xfId="0" applyNumberFormat="1" applyFont="1" applyFill="1" applyBorder="1" applyAlignment="1">
      <x:alignment horizontal="center" vertical="center" wrapText="1"/>
    </x:xf>
    <x:xf numFmtId="0" fontId="15" fillId="20" borderId="34" xfId="0" applyNumberFormat="1" applyFont="1" applyFill="1" applyBorder="1" applyAlignment="1">
      <x:alignment horizontal="center" vertical="center" wrapText="1"/>
    </x:xf>
    <x:xf numFmtId="0" fontId="15" fillId="20" borderId="35" xfId="0" applyNumberFormat="1" applyFont="1" applyFill="1" applyBorder="1" applyAlignment="1">
      <x:alignment horizontal="center" vertical="center" wrapText="1"/>
    </x:xf>
    <x:xf numFmtId="0" fontId="15" fillId="20" borderId="36" xfId="0" applyNumberFormat="1" applyFont="1" applyFill="1" applyBorder="1" applyAlignment="1">
      <x:alignment horizontal="center" vertical="center" wrapText="1"/>
    </x:xf>
    <x:xf numFmtId="0" fontId="18" fillId="34" borderId="37" xfId="0" applyNumberFormat="1" applyFont="1" applyFill="1" applyBorder="1" applyAlignment="1">
      <x:alignment horizontal="center" vertical="center" wrapText="1"/>
    </x:xf>
    <x:xf numFmtId="0" fontId="13" fillId="34" borderId="38" xfId="0" applyNumberFormat="1" applyFont="1" applyFill="1" applyBorder="1" applyAlignment="1">
      <x:alignment horizontal="center" vertical="center" wrapText="1"/>
    </x:xf>
    <x:xf numFmtId="0" fontId="18" fillId="34" borderId="39" xfId="0" applyNumberFormat="1" applyFont="1" applyFill="1" applyBorder="1" applyAlignment="1">
      <x:alignment horizontal="center" vertical="center" wrapText="1"/>
    </x:xf>
    <x:xf numFmtId="0" fontId="19" fillId="23" xfId="0" applyNumberFormat="1" applyFont="1" applyFill="1" applyBorder="0" applyAlignment="1">
      <x:alignment horizontal="center" vertical="center" wrapText="1"/>
    </x:xf>
    <x:xf numFmtId="0" fontId="18" fillId="34" xfId="0" applyNumberFormat="1" applyFont="1" applyFill="1" applyBorder="0" applyAlignment="1">
      <x:alignment vertical="center" wrapText="1"/>
    </x:xf>
    <x:xf numFmtId="0" fontId="18" fillId="34" xfId="0" applyNumberFormat="1" applyFont="1" applyFill="1" applyBorder="0" applyAlignment="1">
      <x:alignment horizontal="center" vertical="center" wrapText="1"/>
    </x:xf>
    <x:xf numFmtId="0" fontId="13" fillId="23" xfId="0" applyNumberFormat="1" applyFont="1" applyFill="1" applyBorder="0" applyAlignment="1">
      <x:alignment horizontal="center" vertical="center" wrapText="1"/>
    </x:xf>
    <x:xf numFmtId="0" fontId="13" fillId="34" xfId="0" applyNumberFormat="1" applyFont="1" applyFill="1" applyBorder="0" applyAlignment="1">
      <x:alignment horizontal="center" vertical="center" wrapText="1"/>
    </x:xf>
    <x:xf numFmtId="0" fontId="13" fillId="34" borderId="40" xfId="0" applyNumberFormat="1" applyFont="1" applyFill="1" applyBorder="1" applyAlignment="1">
      <x:alignment horizontal="center" vertical="center" wrapText="1"/>
    </x:xf>
    <x:xf numFmtId="0" fontId="19" fillId="24" xfId="0" applyNumberFormat="1" applyFont="1" applyFill="1" applyBorder="0" applyAlignment="1">
      <x:alignment horizontal="center" vertical="center" wrapText="1"/>
    </x:xf>
    <x:xf numFmtId="0" fontId="13" fillId="24" xfId="0" applyNumberFormat="1" applyFont="1" applyFill="1" applyBorder="0" applyAlignment="1">
      <x:alignment horizontal="center" vertical="center" wrapText="1"/>
    </x:xf>
    <x:xf numFmtId="0" fontId="19" fillId="25" xfId="0" applyNumberFormat="1" applyFont="1" applyFill="1" applyBorder="0" applyAlignment="1">
      <x:alignment horizontal="center" vertical="center" wrapText="1"/>
    </x:xf>
    <x:xf numFmtId="0" fontId="13" fillId="25" xfId="0" applyNumberFormat="1" applyFont="1" applyFill="1" applyBorder="0" applyAlignment="1">
      <x:alignment horizontal="center" vertical="center" wrapText="1"/>
    </x:xf>
    <x:xf numFmtId="0" fontId="19" fillId="22" xfId="0" applyNumberFormat="1" applyFont="1" applyFill="1" applyBorder="0" applyAlignment="1">
      <x:alignment horizontal="center" vertical="center" wrapText="1"/>
    </x:xf>
    <x:xf numFmtId="0" fontId="13" fillId="22" xfId="0" applyNumberFormat="1" applyFont="1" applyFill="1" applyBorder="0" applyAlignment="1">
      <x:alignment horizontal="center" vertical="center" wrapText="1"/>
    </x:xf>
    <x:xf numFmtId="0" fontId="19" fillId="26" xfId="0" applyNumberFormat="1" applyFont="1" applyFill="1" applyBorder="0" applyAlignment="1">
      <x:alignment horizontal="center" vertical="center" wrapText="1"/>
    </x:xf>
    <x:xf numFmtId="0" fontId="13" fillId="26" xfId="0" applyNumberFormat="1" applyFont="1" applyFill="1" applyBorder="0" applyAlignment="1">
      <x:alignment horizontal="center" vertical="center" wrapText="1"/>
    </x:xf>
    <x:xf numFmtId="0" fontId="13" fillId="26" borderId="40" xfId="0" applyNumberFormat="1" applyFont="1" applyFill="1" applyBorder="1" applyAlignment="1">
      <x:alignment horizontal="center" vertical="center" wrapText="1"/>
    </x:xf>
    <x:xf numFmtId="0" fontId="18" fillId="34" borderId="41" xfId="0" applyNumberFormat="1" applyFont="1" applyFill="1" applyBorder="1" applyAlignment="1">
      <x:alignment horizontal="center" vertical="center" wrapText="1"/>
    </x:xf>
    <x:xf numFmtId="0" fontId="19" fillId="26" borderId="42" xfId="0" applyNumberFormat="1" applyFont="1" applyFill="1" applyBorder="1" applyAlignment="1">
      <x:alignment horizontal="center" vertical="center" wrapText="1"/>
    </x:xf>
    <x:xf numFmtId="0" fontId="18" fillId="34" borderId="42" xfId="0" applyNumberFormat="1" applyFont="1" applyFill="1" applyBorder="1" applyAlignment="1">
      <x:alignment vertical="center" wrapText="1"/>
    </x:xf>
    <x:xf numFmtId="0" fontId="18" fillId="34" borderId="42" xfId="0" applyNumberFormat="1" applyFont="1" applyFill="1" applyBorder="1" applyAlignment="1">
      <x:alignment horizontal="center" vertical="center" wrapText="1"/>
    </x:xf>
    <x:xf numFmtId="0" fontId="13" fillId="34" borderId="42" xfId="0" applyNumberFormat="1" applyFont="1" applyFill="1" applyBorder="1" applyAlignment="1">
      <x:alignment horizontal="center" vertical="center" wrapText="1"/>
    </x:xf>
    <x:xf numFmtId="0" fontId="13" fillId="34" borderId="43" xfId="0" applyNumberFormat="1" applyFont="1" applyFill="1" applyBorder="1" applyAlignment="1">
      <x:alignment horizontal="center" vertical="center" wrapText="1"/>
    </x:xf>
    <x:xf numFmtId="0" fontId="13" fillId="26" borderId="42" xfId="0" applyNumberFormat="1" applyFont="1" applyFill="1" applyBorder="1" applyAlignment="1">
      <x:alignment horizontal="center" vertical="center" wrapText="1"/>
    </x:xf>
    <x:xf numFmtId="0" fontId="13" fillId="26" borderId="44" xfId="0" applyNumberFormat="1" applyFont="1" applyFill="1" applyBorder="1" applyAlignment="1">
      <x:alignment horizontal="center" vertical="center" wrapText="1"/>
    </x:xf>
    <x:xf numFmtId="0" fontId="11" fillId="35" borderId="19" xfId="0" applyNumberFormat="1" applyFont="1" applyFill="1" applyBorder="1" applyAlignment="1">
      <x:alignment horizontal="center" vertical="center" wrapText="1"/>
    </x:xf>
    <x:xf numFmtId="0" fontId="12" fillId="35" borderId="0" xfId="0" applyNumberFormat="1" applyFont="1" applyFill="1" applyBorder="1" applyAlignment="1">
      <x:alignment horizontal="center" vertical="center" wrapText="1"/>
    </x:xf>
    <x:xf numFmtId="0" fontId="11" fillId="35" borderId="0" xfId="0" applyNumberFormat="1" applyFont="1" applyFill="1" applyBorder="1" applyAlignment="1">
      <x:alignment vertical="center" wrapText="1"/>
    </x:xf>
    <x:xf numFmtId="0" fontId="11" fillId="35" borderId="0" xfId="0" applyNumberFormat="1" applyFont="1" applyFill="1" applyBorder="1" applyAlignment="1">
      <x:alignment horizontal="center" vertical="center" wrapText="1"/>
    </x:xf>
    <x:xf numFmtId="0" fontId="13" fillId="35" borderId="32" xfId="0" applyNumberFormat="1" applyFont="1" applyFill="1" applyBorder="1" applyAlignment="1">
      <x:alignment horizontal="center" vertical="center" wrapText="1"/>
    </x:xf>
    <x:xf numFmtId="0" fontId="11" fillId="35" borderId="20" xfId="0" applyNumberFormat="1" applyFont="1" applyFill="1" applyBorder="1" applyAlignment="1">
      <x:alignment horizontal="center" vertical="center" wrapText="1"/>
    </x:xf>
    <x:xf numFmtId="0" fontId="20" fillId="35" borderId="19" xfId="0" applyNumberFormat="1" applyFont="1" applyFill="1" applyBorder="1" applyAlignment="1">
      <x:alignment horizontal="center" vertical="center" wrapText="1"/>
    </x:xf>
    <x:xf numFmtId="0" fontId="21" fillId="35" borderId="0" xfId="0" applyNumberFormat="1" applyFont="1" applyFill="1" applyBorder="1" applyAlignment="1">
      <x:alignment horizontal="center" vertical="center" wrapText="1"/>
    </x:xf>
    <x:xf numFmtId="0" fontId="20" fillId="35" borderId="0" xfId="0" applyNumberFormat="1" applyFont="1" applyFill="1" applyBorder="1" applyAlignment="1">
      <x:alignment vertical="center" wrapText="1"/>
    </x:xf>
    <x:xf numFmtId="0" fontId="20" fillId="35" borderId="0" xfId="0" applyNumberFormat="1" applyFont="1" applyFill="1" applyBorder="1" applyAlignment="1">
      <x:alignment horizontal="center" vertical="center" wrapText="1"/>
    </x:xf>
    <x:xf numFmtId="0" fontId="21" fillId="35" borderId="32" xfId="0" applyNumberFormat="1" applyFont="1" applyFill="1" applyBorder="1" applyAlignment="1">
      <x:alignment horizontal="center" vertical="center" wrapText="1"/>
    </x:xf>
    <x:xf numFmtId="0" fontId="20" fillId="35" borderId="2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15" fillId="20" borderId="0" xfId="0" applyNumberFormat="1" applyFont="1" applyFill="1" applyBorder="1"/>
    <x:xf numFmtId="0" fontId="15" fillId="20" borderId="0" xfId="0" applyNumberFormat="1" applyFont="1" applyFill="1" applyBorder="1" applyAlignment="1">
      <x:alignment horizontal="center"/>
    </x:xf>
    <x:xf numFmtId="0" fontId="15" fillId="20" borderId="0" xfId="0" applyNumberFormat="1" applyFont="1" applyFill="1" applyBorder="1" applyAlignment="1">
      <x:alignment horizontal="center" vertical="center"/>
    </x:xf>
    <x:xf numFmtId="0" fontId="15" fillId="20" borderId="0" xfId="0" applyNumberFormat="1" applyFont="1" applyFill="1" applyBorder="1" applyAlignment="1">
      <x:alignment horizontal="center" vertical="center" wrapText="1"/>
    </x:xf>
    <x:xf numFmtId="0" fontId="0" fillId="34" borderId="0" xfId="0" applyNumberFormat="1" applyFont="1" applyFill="1" applyBorder="1"/>
    <x:xf numFmtId="200" fontId="0" fillId="34" borderId="0" xfId="0" applyNumberFormat="1" applyFont="1" applyFill="1" applyBorder="1"/>
    <x:xf numFmtId="0" fontId="18" fillId="34" borderId="0" xfId="0" applyNumberFormat="1" applyFont="1" applyFill="1" applyBorder="1"/>
    <x:xf numFmtId="200" fontId="18" fillId="34" borderId="0" xfId="0" applyNumberFormat="1" applyFont="1" applyFill="1" applyBorder="1"/>
    <x:xf numFmtId="0" fontId="18" fillId="34" borderId="0" xfId="0" applyNumberFormat="1" applyFont="1" applyFill="1" applyBorder="1" applyAlignment="1">
      <x:alignment vertical="center"/>
    </x:xf>
    <x:xf numFmtId="200" fontId="18" fillId="34" borderId="0" xfId="0" applyNumberFormat="1" applyFont="1" applyFill="1" applyBorder="1" applyAlignment="1">
      <x:alignment vertical="center"/>
    </x:xf>
    <x:xf numFmtId="200" fontId="18" fillId="34" borderId="0" xfId="0" applyNumberFormat="1" applyFont="1" applyFill="1" applyBorder="1" applyAlignment="1">
      <x:alignment vertical="center" wrapText="1"/>
    </x:xf>
    <x:xf numFmtId="0" fontId="18" fillId="34" borderId="45" xfId="0" applyNumberFormat="1" applyFont="1" applyFill="1" applyBorder="1" applyAlignment="1">
      <x:alignment vertical="center" wrapText="1"/>
    </x:xf>
    <x:xf numFmtId="200" fontId="18" fillId="34" borderId="46" xfId="0" applyNumberFormat="1" applyFont="1" applyFill="1" applyBorder="1" applyAlignment="1">
      <x:alignment vertical="center" wrapText="1"/>
    </x:xf>
    <x:xf numFmtId="0" fontId="18" fillId="34" borderId="47" xfId="0" applyNumberFormat="1" applyFont="1" applyFill="1" applyBorder="1" applyAlignment="1">
      <x:alignment vertical="center" wrapText="1"/>
    </x:xf>
    <x:xf numFmtId="0" fontId="18" fillId="34" borderId="39" xfId="0" applyNumberFormat="1" applyFont="1" applyFill="1" applyBorder="1" applyAlignment="1">
      <x:alignment vertical="center" wrapText="1"/>
    </x:xf>
    <x:xf numFmtId="200" fontId="18" fillId="34" xfId="0" applyNumberFormat="1" applyFont="1" applyFill="1" applyBorder="0" applyAlignment="1">
      <x:alignment vertical="center" wrapText="1"/>
    </x:xf>
    <x:xf numFmtId="0" fontId="18" fillId="34" borderId="40" xfId="0" applyNumberFormat="1" applyFont="1" applyFill="1" applyBorder="1" applyAlignment="1">
      <x:alignment vertical="center" wrapText="1"/>
    </x:xf>
    <x:xf numFmtId="0" fontId="18" fillId="34" borderId="41" xfId="0" applyNumberFormat="1" applyFont="1" applyFill="1" applyBorder="1" applyAlignment="1">
      <x:alignment vertical="center" wrapText="1"/>
    </x:xf>
    <x:xf numFmtId="200" fontId="18" fillId="34" borderId="42" xfId="0" applyNumberFormat="1" applyFont="1" applyFill="1" applyBorder="1" applyAlignment="1">
      <x:alignment vertical="center" wrapText="1"/>
    </x:xf>
    <x:xf numFmtId="0" fontId="18" fillId="34" borderId="44" xfId="0" applyNumberFormat="1" applyFont="1" applyFill="1" applyBorder="1" applyAlignment="1">
      <x:alignment vertical="center" wrapText="1"/>
    </x:xf>
    <x:xf numFmtId="200" fontId="18" fillId="34" borderId="46" xfId="0" applyNumberFormat="1" applyFont="1" applyFill="1" applyBorder="1" applyAlignment="1">
      <x:alignment horizontal="center" vertical="center" wrapText="1"/>
    </x:xf>
    <x:xf numFmtId="200" fontId="18" fillId="34" xfId="0" applyNumberFormat="1" applyFont="1" applyFill="1" applyBorder="0" applyAlignment="1">
      <x:alignment horizontal="center" vertical="center" wrapText="1"/>
    </x:xf>
    <x:xf numFmtId="200" fontId="18" fillId="34" borderId="42" xfId="0" applyNumberFormat="1" applyFont="1" applyFill="1" applyBorder="1" applyAlignment="1">
      <x:alignment horizontal="center" vertical="center" wrapText="1"/>
    </x:xf>
    <x:xf numFmtId="0" fontId="17" fillId="36" borderId="0" xfId="0" applyNumberFormat="1" applyFont="1" applyFill="1" applyBorder="1" applyAlignment="1">
      <x:alignment vertical="center" wrapText="1"/>
    </x:xf>
    <x:xf numFmtId="0" fontId="17" fillId="36" borderId="0" xfId="0" applyNumberFormat="1" applyFont="1" applyFill="1" applyBorder="1" applyAlignment="1">
      <x:alignment vertical="center" wrapText="0"/>
    </x:xf>
    <x:xf numFmtId="0" fontId="0" fillId="35" borderId="0" xfId="0" applyNumberFormat="1" applyFont="1" applyFill="1" applyBorder="1"/>
    <x:xf numFmtId="0" fontId="20" fillId="35" borderId="0" xfId="0" applyNumberFormat="1" applyFont="1" applyFill="1" applyBorder="1"/>
    <x:xf numFmtId="0" fontId="20" fillId="35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5">
    <x:dxf>
      <x:font>
        <x:b/>
        <x:sz val="9"/>
        <x:color rgb="FFC0392B"/>
        <x:name val="Arial"/>
      </x:font>
      <x:fill>
        <x:patternFill>
          <x:bgColor rgb="FFFBDDDC"/>
        </x:patternFill>
      </x:fill>
    </x:dxf>
    <x:dxf>
      <x:font>
        <x:b/>
        <x:sz val="9"/>
        <x:color rgb="FF1E7B34"/>
        <x:name val="Arial"/>
      </x:font>
      <x:fill>
        <x:patternFill>
          <x:bgColor rgb="FFE4F2E4"/>
        </x:patternFill>
      </x:fill>
    </x:dxf>
    <x:dxf>
      <x:font>
        <x:b/>
        <x:sz val="9"/>
        <x:color rgb="FFC0392B"/>
        <x:name val="Arial"/>
      </x:font>
      <x:fill>
        <x:patternFill>
          <x:bgColor rgb="FFFBDDDC"/>
        </x:patternFill>
      </x:fill>
    </x:dxf>
    <x:dxf>
      <x:font>
        <x:b/>
        <x:sz val="9"/>
        <x:color rgb="FFC0392B"/>
        <x:name val="Arial"/>
      </x:font>
      <x:fill>
        <x:patternFill>
          <x:bgColor rgb="FFFBDDDC"/>
        </x:patternFill>
      </x:fill>
    </x:dxf>
    <x:dxf>
      <x:font>
        <x:b/>
        <x:sz val="9"/>
        <x:color rgb="FF1E7B34"/>
        <x:name val="Arial"/>
      </x:font>
      <x:fill>
        <x:patternFill>
          <x:bgColor rgb="FFE4F2E4"/>
        </x:patternFill>
      </x:fill>
    </x:dxf>
    <x:dxf>
      <x:fill>
        <x:patternFill>
          <x:bgColor rgb="FFE8EDF5"/>
        </x:patternFill>
      </x:fill>
    </x:dxf>
    <x:dxf>
      <x:fill>
        <x:patternFill>
          <x:bgColor rgb="FFD6E4F7"/>
        </x:patternFill>
      </x:fill>
    </x:dxf>
    <x:dxf>
      <x:font>
        <x:b/>
        <x:sz val="9"/>
        <x:color rgb="FFFFFFFF"/>
        <x:name val="Arial"/>
      </x:font>
      <x:fill>
        <x:patternFill>
          <x:bgColor rgb="FF12294D"/>
        </x:patternFill>
      </x:fill>
    </x:dxf>
    <x:dxf>
      <x:fill>
        <x:patternFill>
          <x:bgColor rgb="FFFBDDD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1E7B34"/>
      <x:rgbColor rgb="FF000080"/>
      <x:rgbColor rgb="FFB98600"/>
      <x:rgbColor rgb="FF800080"/>
      <x:rgbColor rgb="FF008080"/>
      <x:rgbColor rgb="FFD6E4F7"/>
      <x:rgbColor rgb="FF808080"/>
      <x:rgbColor rgb="FF9999FF"/>
      <x:rgbColor rgb="FF993366"/>
      <x:rgbColor rgb="FFFFF6DC"/>
      <x:rgbColor rgb="FFE8EDF5"/>
      <x:rgbColor rgb="FF660066"/>
      <x:rgbColor rgb="FFFF8080"/>
      <x:rgbColor rgb="FF0066CC"/>
      <x:rgbColor rgb="FFC9D3E4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EF2F8"/>
      <x:rgbColor rgb="FFE4F2E4"/>
      <x:rgbColor rgb="FFF4F6FA"/>
      <x:rgbColor rgb="FF99CCFF"/>
      <x:rgbColor rgb="FFFF99CC"/>
      <x:rgbColor rgb="FFCC99FF"/>
      <x:rgbColor rgb="FFFBDDDC"/>
      <x:rgbColor rgb="FF3366FF"/>
      <x:rgbColor rgb="FF33CCCC"/>
      <x:rgbColor rgb="FF99CC00"/>
      <x:rgbColor rgb="FFFFC000"/>
      <x:rgbColor rgb="FFFF9900"/>
      <x:rgbColor rgb="FFFF6600"/>
      <x:rgbColor rgb="FF5A6472"/>
      <x:rgbColor rgb="FF969696"/>
      <x:rgbColor rgb="FF12294D"/>
      <x:rgbColor rgb="FF339966"/>
      <x:rgbColor rgb="FF003300"/>
      <x:rgbColor rgb="FF333300"/>
      <x:rgbColor rgb="FFC0392B"/>
      <x:rgbColor rgb="FF993366"/>
      <x:rgbColor rgb="FF1F3A66"/>
      <x:rgbColor rgb="FF1C1C1C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e2f6445c1f4916" /><Relationship Type="http://schemas.openxmlformats.org/officeDocument/2006/relationships/theme" Target="/xl/theme/theme1.xml" Id="Ref781c2a29614289" /><Relationship Type="http://schemas.openxmlformats.org/officeDocument/2006/relationships/sharedStrings" Target="/xl/sharedStrings.xml" Id="R22645c7f62634dd2" /><Relationship Type="http://schemas.openxmlformats.org/officeDocument/2006/relationships/worksheet" Target="/xl/worksheets/sheet1.xml" Id="R4169befdc3cb4872" /><Relationship Type="http://schemas.openxmlformats.org/officeDocument/2006/relationships/worksheet" Target="/xl/worksheets/sheet2.xml" Id="R83083367ab6545ca" /><Relationship Type="http://schemas.openxmlformats.org/officeDocument/2006/relationships/worksheet" Target="/xl/worksheets/sheet3.xml" Id="Rab15cfaa629b4c44" /><Relationship Type="http://schemas.openxmlformats.org/officeDocument/2006/relationships/worksheet" Target="/xl/worksheets/sheet4.xml" Id="Rc806c02f2fdc4e66" /><Relationship Type="http://schemas.openxmlformats.org/officeDocument/2006/relationships/worksheet" Target="/xl/worksheets/sheet5.xml" Id="R55e0584786304d62" /><Relationship Type="http://schemas.openxmlformats.org/officeDocument/2006/relationships/worksheet" Target="/xl/worksheets/sheet6.xml" Id="R2a5c05ea7e06491c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3A66"/>
  </x:sheetPr>
  <x:sheetViews>
    <x:sheetView showGridLines="0" workbookViewId="0"/>
  </x:sheetViews>
  <x:sheetFormatPr defaultColWidth="8.7109375" defaultRowHeight="15"/>
  <x:cols>
    <x:col min="1" max="1" width="8" customWidth="1"/>
    <x:col min="2" max="2" width="26" customWidth="1"/>
    <x:col min="3" max="3" width="52" customWidth="1"/>
    <x:col min="4" max="4" width="18" customWidth="1"/>
    <x:col min="5" max="5" width="26" customWidth="1"/>
  </x:cols>
  <x:sheetData>
    <x:row r="1" ht="30" customHeight="1">
      <x:c r="A1" s="8" t="str">
        <x:v>INTERESADOS DEL PROYECTO HUATA</x:v>
      </x:c>
      <x:c r="B1" s="8"/>
      <x:c r="C1" s="8"/>
      <x:c r="D1" s="8"/>
      <x:c r="E1" s="8"/>
      <x:c r="F1"/>
    </x:row>
    <x:row r="2" ht="18" customHeight="1">
      <x:c r="A2" s="9" t="str">
        <x:v>Actores alineados con los stakeholders del Project Charter y las responsabilidades del Cronograma_2026.</x:v>
      </x:c>
      <x:c r="B2" s="9"/>
      <x:c r="C2" s="9"/>
      <x:c r="D2" s="9"/>
      <x:c r="E2" s="9"/>
      <x:c r="F2"/>
    </x:row>
    <x:row r="3">
      <x:c r="A3"/>
      <x:c r="B3"/>
      <x:c r="C3"/>
      <x:c r="D3"/>
      <x:c r="E3"/>
      <x:c r="F3"/>
    </x:row>
    <x:row r="4" ht="27.75" customHeight="1">
      <x:c r="A4" s="1" t="str">
        <x:v>ID</x:v>
      </x:c>
      <x:c r="B4" s="1" t="str">
        <x:v>Interesado / Rol</x:v>
      </x:c>
      <x:c r="C4" s="1" t="str">
        <x:v>Necesidad principal</x:v>
      </x:c>
      <x:c r="D4" s="1" t="str">
        <x:v>Influencia</x:v>
      </x:c>
      <x:c r="E4" s="1" t="str">
        <x:v>Fuente</x:v>
      </x:c>
      <x:c r="F4" t="str">
        <x:v>Participación</x:v>
      </x:c>
    </x:row>
    <x:row r="5" ht="30" customHeight="1">
      <x:c r="A5" s="2" t="str">
        <x:v>INT-01</x:v>
      </x:c>
      <x:c r="B5" s="3" t="str">
        <x:v>Productores de leche de Huata</x:v>
      </x:c>
      <x:c r="C5" s="3" t="str">
        <x:v>Que sus recojos queden registrados con trazabilidad y que la liquidación se calcule a partir de cantidad y calidad.</x:v>
      </x:c>
      <x:c r="D5" s="2" t="str">
        <x:v>Media</x:v>
      </x:c>
      <x:c r="E5" s="3" t="str">
        <x:v>Project Charter G/F</x:v>
      </x:c>
      <x:c r="F5" t="str">
        <x:v>Stakeholder / usuario indirecto</x:v>
      </x:c>
    </x:row>
    <x:row r="6" ht="30" customHeight="1">
      <x:c r="A6" s="2" t="str">
        <x:v>INT-02</x:v>
      </x:c>
      <x:c r="B6" s="3" t="str">
        <x:v>Acopiadores de leche</x:v>
      </x:c>
      <x:c r="C6" s="3" t="str">
        <x:v>Registrar recojos en campo desde la app móvil, incluso sin conexión, y sincronizar posteriormente.</x:v>
      </x:c>
      <x:c r="D6" s="2" t="str">
        <x:v>Alta</x:v>
      </x:c>
      <x:c r="E6" s="3" t="str">
        <x:v>Project Charter D/G · Cronograma IDs 73, 74, 94, 95</x:v>
      </x:c>
      <x:c r="F6" t="str">
        <x:v>Usuario principal móvil</x:v>
      </x:c>
    </x:row>
    <x:row r="7" ht="30" customHeight="1">
      <x:c r="A7" s="2" t="str">
        <x:v>INT-03</x:v>
      </x:c>
      <x:c r="B7" s="3" t="str">
        <x:v>Administrador del sistema / Gerencia de operaciones</x:v>
      </x:c>
      <x:c r="C7" s="3" t="str">
        <x:v>Gestionar productores, rutas, centros, usuarios, liquidaciones y reportes gerenciales.</x:v>
      </x:c>
      <x:c r="D7" s="2" t="str">
        <x:v>Alta</x:v>
      </x:c>
      <x:c r="E7" s="3" t="str">
        <x:v>Project Charter G · Cronograma IDs 68-72, 88, 107, 112</x:v>
      </x:c>
      <x:c r="F7" t="str">
        <x:v>Usuario principal web</x:v>
      </x:c>
    </x:row>
    <x:row r="8" ht="30" customHeight="1">
      <x:c r="A8" s="2" t="str">
        <x:v>INT-04</x:v>
      </x:c>
      <x:c r="B8" s="3" t="str">
        <x:v>Personal de planta / centro de acopio</x:v>
      </x:c>
      <x:c r="C8" s="3" t="str">
        <x:v>Consultar y validar información de recepción y control de calidad de la leche.</x:v>
      </x:c>
      <x:c r="D8" s="2" t="str">
        <x:v>Alta</x:v>
      </x:c>
      <x:c r="E8" s="3" t="str">
        <x:v>Project Charter G · Cronograma ID 91</x:v>
      </x:c>
      <x:c r="F8" t="str">
        <x:v>Usuario operativo</x:v>
      </x:c>
    </x:row>
    <x:row r="9" ht="30" customHeight="1">
      <x:c r="A9" s="2" t="str">
        <x:v>INT-05</x:v>
      </x:c>
      <x:c r="B9" s="3" t="str">
        <x:v>Equipo de desarrollo JPK-RESOLUTION S.A.C.</x:v>
      </x:c>
      <x:c r="C9" s="3" t="str">
        <x:v>Diseñar, desarrollar, probar, desplegar y dar soporte inicial al sistema web y móvil.</x:v>
      </x:c>
      <x:c r="D9" s="2" t="str">
        <x:v>Alta</x:v>
      </x:c>
      <x:c r="E9" s="3" t="str">
        <x:v>Project Charter B/L · Cronograma completo</x:v>
      </x:c>
      <x:c r="F9" t="str">
        <x:v>Equipo ejecutor</x:v>
      </x:c>
    </x:row>
    <x:row r="10" ht="25.5" customHeight="1">
      <x:c r="A10" s="4" t="str">
        <x:v>INT-06</x:v>
      </x:c>
      <x:c r="B10" s="4" t="str">
        <x:v>Patrocinador / Cliente</x:v>
      </x:c>
      <x:c r="C10" s="4" t="str">
        <x:v>Validar requisitos, prototipos, UAT, entregables y conformidad final.</x:v>
      </x:c>
      <x:c r="D10" s="4" t="str">
        <x:v>Alta</x:v>
      </x:c>
      <x:c r="E10" s="4" t="str">
        <x:v>Project Charter A/M · Cronograma IDs 23-25, 35, 43, 136, 175</x:v>
      </x:c>
      <x:c r="F10" t="str">
        <x:v>Aprobación y gobierno</x:v>
      </x:c>
    </x:row>
    <x:row r="11" ht="25.5" customHeight="1">
      <x:c r="A11" s="4"/>
      <x:c r="B11" s="4"/>
      <x:c r="C11" s="4"/>
      <x:c r="D11" s="4"/>
      <x:c r="E11" s="4"/>
    </x:row>
    <x:row r="12" ht="25.5" customHeight="1">
      <x:c r="A12" s="4"/>
      <x:c r="B12" s="4"/>
      <x:c r="C12" s="4"/>
      <x:c r="D12" s="4"/>
      <x:c r="E12" s="4"/>
    </x:row>
    <x:row r="13" ht="25.5" customHeight="1">
      <x:c r="A13" s="4"/>
      <x:c r="B13" s="4"/>
      <x:c r="C13" s="4"/>
      <x:c r="D13" s="4"/>
      <x:c r="E13" s="4"/>
    </x:row>
    <x:row r="14" ht="25.5" customHeight="1">
      <x:c r="A14" s="4"/>
      <x:c r="B14" s="4"/>
      <x:c r="C14" s="4"/>
      <x:c r="D14" s="4"/>
      <x:c r="E14" s="4"/>
    </x:row>
    <x:row r="15" ht="25.5" customHeight="1">
      <x:c r="A15" s="4"/>
      <x:c r="B15" s="4"/>
      <x:c r="C15" s="4"/>
      <x:c r="D15" s="4"/>
      <x:c r="E15" s="4"/>
    </x:row>
    <x:row r="16" ht="25.5" customHeight="1">
      <x:c r="A16" s="4"/>
      <x:c r="B16" s="4"/>
      <x:c r="C16" s="4"/>
      <x:c r="D16" s="4"/>
      <x:c r="E16" s="4"/>
    </x:row>
    <x:row r="17" ht="25.5" customHeight="1">
      <x:c r="A17" s="4"/>
      <x:c r="B17" s="4"/>
      <x:c r="C17" s="4"/>
      <x:c r="D17" s="4"/>
      <x:c r="E17" s="4"/>
    </x:row>
    <x:row r="18" ht="25.5" customHeight="1">
      <x:c r="A18" s="4"/>
      <x:c r="B18" s="4"/>
      <x:c r="C18" s="4"/>
      <x:c r="D18" s="4"/>
      <x:c r="E18" s="4"/>
    </x:row>
    <x:row r="19" ht="25.5" customHeight="1">
      <x:c r="A19" s="4"/>
      <x:c r="B19" s="4"/>
      <x:c r="C19" s="4"/>
      <x:c r="D19" s="4"/>
      <x:c r="E19" s="4"/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3A66"/>
  </x:sheetPr>
  <x:sheetViews>
    <x:sheetView showGridLines="0" workbookViewId="0"/>
  </x:sheetViews>
  <x:sheetFormatPr defaultColWidth="8.7109375" defaultRowHeight="15"/>
  <x:cols>
    <x:col min="1" max="1" width="8" customWidth="1"/>
    <x:col min="2" max="2" width="68" customWidth="1"/>
    <x:col min="3" max="3" width="22" customWidth="1"/>
    <x:col min="4" max="4" width="30" customWidth="1"/>
  </x:cols>
  <x:sheetData>
    <x:row r="1" ht="30" customHeight="1">
      <x:c r="A1" s="8" t="str">
        <x:v>REGLAS, RESTRICCIONES Y CONDICIONES DEL PROYECTO</x:v>
      </x:c>
      <x:c r="B1" s="8"/>
      <x:c r="C1" s="8"/>
      <x:c r="D1" s="8"/>
      <x:c r="E1"/>
      <x:c r="F1"/>
    </x:row>
    <x:row r="2" ht="18" customHeight="1">
      <x:c r="A2" s="9" t="str">
        <x:v>Solo se mantienen reglas sustentadas por ProjectCharter2026 o Cronograma_2026.</x:v>
      </x:c>
      <x:c r="B2" s="9"/>
      <x:c r="C2" s="9"/>
      <x:c r="D2" s="9"/>
      <x:c r="E2"/>
      <x:c r="F2"/>
    </x:row>
    <x:row r="3">
      <x:c r="A3"/>
      <x:c r="B3"/>
      <x:c r="C3"/>
      <x:c r="D3"/>
      <x:c r="E3"/>
      <x:c r="F3"/>
    </x:row>
    <x:row r="4" ht="27.75" customHeight="1">
      <x:c r="A4" s="1" t="str">
        <x:v>ID</x:v>
      </x:c>
      <x:c r="B4" s="1" t="str">
        <x:v>Nombre</x:v>
      </x:c>
      <x:c r="C4" s="1" t="str">
        <x:v>Regla / condición</x:v>
      </x:c>
      <x:c r="D4" s="1" t="str">
        <x:v>Tipo</x:v>
      </x:c>
      <x:c r="E4" t="str">
        <x:v>Fuente</x:v>
      </x:c>
      <x:c r="F4" t="str">
        <x:v>Requisitos relacionados</x:v>
      </x:c>
    </x:row>
    <x:row r="5" ht="30" customHeight="1">
      <x:c r="A5" s="2" t="str">
        <x:v>RN-01</x:v>
      </x:c>
      <x:c r="B5" s="3" t="str">
        <x:v>Recojo trazable</x:v>
      </x:c>
      <x:c r="C5" s="3" t="str">
        <x:v>Cada recojo de leche debe vincular productor, cantidad, calidad y fecha.</x:v>
      </x:c>
      <x:c r="D5" s="3" t="str">
        <x:v>Proceso</x:v>
      </x:c>
      <x:c r="E5" t="str">
        <x:v>Project Charter F/G · Cronograma ID 87</x:v>
      </x:c>
      <x:c r="F5" t="str">
        <x:v>RF-05</x:v>
      </x:c>
    </x:row>
    <x:row r="6" ht="30" customHeight="1">
      <x:c r="A6" s="2" t="str">
        <x:v>RN-02</x:v>
      </x:c>
      <x:c r="B6" s="3" t="str">
        <x:v>Control de calidad</x:v>
      </x:c>
      <x:c r="C6" s="3" t="str">
        <x:v>El control de calidad debe registrar como mínimo densidad, acidez y temperatura, además de observaciones cuando corresponda.</x:v>
      </x:c>
      <x:c r="D6" s="3" t="str">
        <x:v>Calidad</x:v>
      </x:c>
      <x:c r="E6" t="str">
        <x:v>Project Charter G.6 · Cronograma ID 91</x:v>
      </x:c>
      <x:c r="F6" t="str">
        <x:v>RF-06</x:v>
      </x:c>
    </x:row>
    <x:row r="7" ht="30" customHeight="1">
      <x:c r="A7" s="2" t="str">
        <x:v>RN-03</x:v>
      </x:c>
      <x:c r="B7" s="3" t="str">
        <x:v>Liquidación por cantidad y calidad</x:v>
      </x:c>
      <x:c r="C7" s="3" t="str">
        <x:v>La liquidación debe calcularse considerando la cantidad recolectada y la calidad de la leche.</x:v>
      </x:c>
      <x:c r="D7" s="3" t="str">
        <x:v>Liquidación</x:v>
      </x:c>
      <x:c r="E7" t="str">
        <x:v>Project Charter F/G.7 · Cronograma ID 92</x:v>
      </x:c>
      <x:c r="F7" t="str">
        <x:v>RF-07</x:v>
      </x:c>
    </x:row>
    <x:row r="8" ht="30" customHeight="1">
      <x:c r="A8" s="2" t="str">
        <x:v>RN-04</x:v>
      </x:c>
      <x:c r="B8" s="3" t="str">
        <x:v>Operación offline-first</x:v>
      </x:c>
      <x:c r="C8" s="3" t="str">
        <x:v>La app móvil debe permitir registrar recojos sin conexión mediante SQLite y sincronizar los datos al recuperar conectividad.</x:v>
      </x:c>
      <x:c r="D8" s="3" t="str">
        <x:v>Móvil / Datos</x:v>
      </x:c>
      <x:c r="E8" t="str">
        <x:v>Project Charter D · Cronograma IDs 94-95</x:v>
      </x:c>
      <x:c r="F8" t="str">
        <x:v>RF-09, RF-10</x:v>
      </x:c>
    </x:row>
    <x:row r="9" ht="30" customHeight="1">
      <x:c r="A9" s="2" t="str">
        <x:v>RN-05</x:v>
      </x:c>
      <x:c r="B9" s="3" t="str">
        <x:v>Reportes gerenciales</x:v>
      </x:c>
      <x:c r="C9" s="3" t="str">
        <x:v>Los reportes deben permitir analizar producción total, por ruta, por productor y por periodo.</x:v>
      </x:c>
      <x:c r="D9" s="3" t="str">
        <x:v>Reportes</x:v>
      </x:c>
      <x:c r="E9" t="str">
        <x:v>Project Charter F/G.8 · Cronograma IDs 107, 111</x:v>
      </x:c>
      <x:c r="F9" t="str">
        <x:v>RF-14</x:v>
      </x:c>
    </x:row>
    <x:row r="10" ht="30" customHeight="1">
      <x:c r="A10" s="2" t="str">
        <x:v>RN-06</x:v>
      </x:c>
      <x:c r="B10" s="3" t="str">
        <x:v>Seguridad y roles</x:v>
      </x:c>
      <x:c r="C10" s="3" t="str">
        <x:v>El acceso al sistema debe estar autenticado y autorizado mediante roles, JWT y protección HTTPS.</x:v>
      </x:c>
      <x:c r="D10" s="3" t="str">
        <x:v>Seguridad</x:v>
      </x:c>
      <x:c r="E10" t="str">
        <x:v>Project Charter D/F/G.9 · Cronograma IDs 53, 59, 112</x:v>
      </x:c>
      <x:c r="F10" t="str">
        <x:v>RF-15, RF-16, RNF-02</x:v>
      </x:c>
    </x:row>
    <x:row r="11" ht="30" customHeight="1">
      <x:c r="A11" s="2" t="str">
        <x:v>RN-07</x:v>
      </x:c>
      <x:c r="B11" s="3" t="str">
        <x:v>Compatibilidad de la solución</x:v>
      </x:c>
      <x:c r="C11" s="3" t="str">
        <x:v>La app se entregará para Android mediante APK y la plataforma web debe operar en navegadores modernos.</x:v>
      </x:c>
      <x:c r="D11" s="3" t="str">
        <x:v>Restricción</x:v>
      </x:c>
      <x:c r="E11" t="str">
        <x:v>Project Charter G - Exclusiones/Restricciones</x:v>
      </x:c>
      <x:c r="F11" t="str">
        <x:v>RNF-03, RNF-04</x:v>
      </x:c>
    </x:row>
    <x:row r="12" ht="25.5" customHeight="1">
      <x:c r="A12" s="4" t="str">
        <x:v>RN-08</x:v>
      </x:c>
      <x:c r="B12" s="4" t="str">
        <x:v>Sin pasarela financiera</x:v>
      </x:c>
      <x:c r="C12" s="4" t="str">
        <x:v>La versión actual no incluye pasarelas de pago ni transacciones financieras; el Charter también indica que los precios de leche no forman parte de esta versión.</x:v>
      </x:c>
      <x:c r="D12" s="4" t="str">
        <x:v>Exclusión</x:v>
      </x:c>
      <x:c r="E12" t="str">
        <x:v>Project Charter G - Exclusiones 2</x:v>
      </x:c>
      <x:c r="F12" t="str">
        <x:v>RF-07</x:v>
      </x:c>
    </x:row>
    <x:row r="13" ht="25.5" customHeight="1">
      <x:c r="A13" s="4" t="str">
        <x:v>RN-09</x:v>
      </x:c>
      <x:c r="B13" s="4" t="str">
        <x:v>Soporte post-implementación</x:v>
      </x:c>
      <x:c r="C13" s="4" t="str">
        <x:v>Se contempla soporte y mantenimiento durante el primer mes posterior a la implementación; el cronograma base solo detalla hipercare inicial del 11 al 12 de octubre.</x:v>
      </x:c>
      <x:c r="D13" s="4" t="str">
        <x:v>Servicio</x:v>
      </x:c>
      <x:c r="E13" t="str">
        <x:v>Project Charter D.4 · Cronograma ID 170</x:v>
      </x:c>
      <x:c r="F13" t="str">
        <x:v>—</x:v>
      </x:c>
    </x:row>
    <x:row r="14" ht="25.5" customHeight="1">
      <x:c r="A14" s="4" t="str">
        <x:v>RN-10</x:v>
      </x:c>
      <x:c r="B14" s="4" t="str">
        <x:v>Documentación y capacitación</x:v>
      </x:c>
      <x:c r="C14" s="4" t="str">
        <x:v>La entrega debe incluir manual de usuario, manual técnico y capacitación a administradores y acopiadores.</x:v>
      </x:c>
      <x:c r="D14" s="4" t="str">
        <x:v>Entrega</x:v>
      </x:c>
      <x:c r="E14" t="str">
        <x:v>Project Charter G.10-G.12 · Cronograma IDs 144,145,168,162,169</x:v>
      </x:c>
      <x:c r="F14" t="str">
        <x:v>—</x:v>
      </x:c>
    </x:row>
    <x:row r="15" ht="25.5" customHeight="1">
      <x:c r="A15" s="4"/>
      <x:c r="B15" s="4"/>
      <x:c r="C15" s="4"/>
      <x:c r="D15" s="4"/>
    </x:row>
    <x:row r="16" ht="25.5" customHeight="1">
      <x:c r="A16" s="4"/>
      <x:c r="B16" s="4"/>
      <x:c r="C16" s="4"/>
      <x:c r="D16" s="4"/>
    </x:row>
    <x:row r="17" ht="25.5" customHeight="1">
      <x:c r="A17" s="4"/>
      <x:c r="B17" s="4"/>
      <x:c r="C17" s="4"/>
      <x:c r="D17" s="4"/>
    </x:row>
    <x:row r="18" ht="25.5" customHeight="1">
      <x:c r="A18" s="4"/>
      <x:c r="B18" s="4"/>
      <x:c r="C18" s="4"/>
      <x:c r="D18" s="4"/>
    </x:row>
    <x:row r="19" ht="25.5" customHeight="1">
      <x:c r="A19" s="4"/>
      <x:c r="B19" s="4"/>
      <x:c r="C19" s="4"/>
      <x:c r="D19" s="4"/>
    </x:row>
    <x:row r="20" ht="25.5" customHeight="1">
      <x:c r="A20" s="4"/>
      <x:c r="B20" s="4"/>
      <x:c r="C20" s="4"/>
      <x:c r="D20" s="4"/>
    </x:row>
    <x:row r="21" ht="25.5" customHeight="1">
      <x:c r="A21" s="4"/>
      <x:c r="B21" s="4"/>
      <x:c r="C21" s="4"/>
      <x:c r="D21" s="4"/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FC000"/>
  </x:sheetPr>
  <x:sheetViews>
    <x:sheetView showGridLines="0" workbookViewId="0"/>
  </x:sheetViews>
  <x:sheetFormatPr defaultColWidth="8.7109375" defaultRowHeight="15"/>
  <x:cols>
    <x:col min="1" max="1" width="9" hidden="0" customWidth="1"/>
    <x:col min="2" max="2" width="24" hidden="0" customWidth="1"/>
    <x:col min="3" max="3" width="50" hidden="0" customWidth="1"/>
    <x:col min="4" max="4" width="13" hidden="0" customWidth="1"/>
    <x:col min="5" max="5" width="16" hidden="0" customWidth="1"/>
    <x:col min="6" max="6" width="22" hidden="0" customWidth="1"/>
    <x:col min="7" max="7" width="22" hidden="0" customWidth="1"/>
    <x:col min="8" max="8" width="25" hidden="0" customWidth="1"/>
    <x:col min="9" max="9" width="11" hidden="0" customWidth="1"/>
    <x:col min="10" max="10" width="45" hidden="0" customWidth="1"/>
    <x:col min="11" max="11" width="22" hidden="0" customWidth="1"/>
    <x:col min="12" max="13" width="14" customWidth="1"/>
    <x:col min="12" max="12" width="22" hidden="0" customWidth="1"/>
    <x:col min="13" max="13" width="13" hidden="0" customWidth="1"/>
    <x:col min="14" max="14" width="20" hidden="0" customWidth="1"/>
    <x:col min="15" max="15" width="13" hidden="0" customWidth="1"/>
    <x:col min="16" max="16" width="13" hidden="0" customWidth="1"/>
    <x:col min="17" max="17" width="38" hidden="0" customWidth="1"/>
  </x:cols>
  <x:sheetData>
    <x:row r="1" ht="30" customHeight="1">
      <x:c r="A1" s="8" t="str">
        <x:v>MATRIZ DE REQUERIMIENTOS - HUATA LÁCTEOS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/>
      <x:c r="O1"/>
      <x:c r="P1"/>
      <x:c r="Q1"/>
    </x:row>
    <x:row r="2" ht="18" customHeight="1">
      <x:c r="A2" s="9" t="str">
        <x:v>Alineado con Cronograma_2026-2(2): cada RF/RNF incorpora sprint/periodo, fechas planificadas y entregables del cronograma oficial.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/>
      <x:c r="O2"/>
      <x:c r="P2"/>
      <x:c r="Q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</x:row>
    <x:row r="4" ht="32" customHeight="1">
      <x:c r="A4" s="5" t="str">
        <x:v>ID</x:v>
      </x:c>
      <x:c r="B4" s="5" t="str">
        <x:v>Nombre</x:v>
      </x:c>
      <x:c r="C4" s="5" t="str">
        <x:v>Descripción (El sistema deberá...)</x:v>
      </x:c>
      <x:c r="D4" s="5" t="str">
        <x:v>Tipo</x:v>
      </x:c>
      <x:c r="E4" s="5" t="str">
        <x:v>Categoría RNF</x:v>
      </x:c>
      <x:c r="F4" s="5" t="str">
        <x:v>Actor</x:v>
      </x:c>
      <x:c r="G4" s="5" t="str">
        <x:v>Origen</x:v>
      </x:c>
      <x:c r="H4" s="5" t="str">
        <x:v>Referencia origen</x:v>
      </x:c>
      <x:c r="I4" s="5" t="str">
        <x:v>Prioridad</x:v>
      </x:c>
      <x:c r="J4" s="5" t="str">
        <x:v>Criterio de aceptación</x:v>
      </x:c>
      <x:c r="K4" s="5" t="str">
        <x:v>Componente</x:v>
      </x:c>
      <x:c r="L4" s="5" t="str">
        <x:v>Dependencias</x:v>
      </x:c>
      <x:c r="M4" s="5" t="str">
        <x:v>Estado</x:v>
      </x:c>
      <x:c r="N4" s="616" t="str">
        <x:v>Sprint / periodo</x:v>
      </x:c>
      <x:c r="O4" s="616" t="str">
        <x:v>Fecha inicio</x:v>
      </x:c>
      <x:c r="P4" s="616" t="str">
        <x:v>Fecha fin</x:v>
      </x:c>
      <x:c r="Q4" s="616" t="str">
        <x:v>Entregable del cronograma</x:v>
      </x:c>
    </x:row>
    <x:row r="5" ht="47" customHeight="1">
      <x:c r="A5" s="2" t="str">
        <x:v>RF-01</x:v>
      </x:c>
      <x:c r="B5" s="3" t="str">
        <x:v>Gestionar productores</x:v>
      </x:c>
      <x:c r="C5" s="3" t="str">
        <x:v>El sistema deberá registrar, consultar, editar y administrar productores de leche con la información necesaria para su operación.</x:v>
      </x:c>
      <x:c r="D5" s="2" t="str">
        <x:v>Funcional</x:v>
      </x:c>
      <x:c r="E5" s="3" t="str">
        <x:v>—</x:v>
      </x:c>
      <x:c r="F5" s="3" t="str">
        <x:v>Administrador</x:v>
      </x:c>
      <x:c r="G5" s="3" t="str">
        <x:v>Project Charter</x:v>
      </x:c>
      <x:c r="H5" s="3" t="str">
        <x:v>G.4 · Cronograma 68,71</x:v>
      </x:c>
      <x:c r="I5" s="2" t="str">
        <x:v>Must</x:v>
      </x:c>
      <x:c r="J5" s="3" t="str">
        <x:v>Se puede crear, consultar y actualizar un productor; la información queda disponible para recojos y reportes.</x:v>
      </x:c>
      <x:c r="K5" s="3" t="str">
        <x:v>Productores</x:v>
      </x:c>
      <x:c r="L5" s="3" t="str">
        <x:v>—</x:v>
      </x:c>
      <x:c r="M5" s="3" t="str">
        <x:v>Aprobado</x:v>
      </x:c>
      <x:c r="N5" s="624" t="str">
        <x:v>Sprint 4</x:v>
      </x:c>
      <x:c r="O5" s="633" t="n">
        <x:v>46274</x:v>
      </x:c>
      <x:c r="P5" s="633" t="n">
        <x:v>46277</x:v>
      </x:c>
      <x:c r="Q5" s="626" t="str">
        <x:v>API Productores · Pantallas de Productores</x:v>
      </x:c>
    </x:row>
    <x:row r="6" ht="47" customHeight="1">
      <x:c r="A6" s="2" t="str">
        <x:v>RF-02</x:v>
      </x:c>
      <x:c r="B6" s="3" t="str">
        <x:v>Gestionar acopiadores</x:v>
      </x:c>
      <x:c r="C6" s="3" t="str">
        <x:v>El sistema deberá registrar y administrar los acopiadores responsables del recojo de leche.</x:v>
      </x:c>
      <x:c r="D6" s="2" t="str">
        <x:v>Funcional</x:v>
      </x:c>
      <x:c r="E6" s="3" t="str">
        <x:v>—</x:v>
      </x:c>
      <x:c r="F6" s="3" t="str">
        <x:v>Administrador</x:v>
      </x:c>
      <x:c r="G6" s="3" t="str">
        <x:v>Project Charter / Cronograma</x:v>
      </x:c>
      <x:c r="H6" s="3" t="str">
        <x:v>G.4 · Cronograma 69</x:v>
      </x:c>
      <x:c r="I6" s="2" t="str">
        <x:v>Must</x:v>
      </x:c>
      <x:c r="J6" s="3" t="str">
        <x:v>El administrador puede registrar y consultar acopiadores y asociarlos a la operación correspondiente.</x:v>
      </x:c>
      <x:c r="K6" s="3" t="str">
        <x:v>Acopiadores</x:v>
      </x:c>
      <x:c r="L6" s="3" t="str">
        <x:v>RF-01</x:v>
      </x:c>
      <x:c r="M6" s="3" t="str">
        <x:v>Aprobado</x:v>
      </x:c>
      <x:c r="N6" s="627" t="str">
        <x:v>Sprint 4</x:v>
      </x:c>
      <x:c r="O6" s="634" t="n">
        <x:v>46275</x:v>
      </x:c>
      <x:c r="P6" s="634" t="n">
        <x:v>46276</x:v>
      </x:c>
      <x:c r="Q6" s="629" t="str">
        <x:v>API Acopiadores/Rutas</x:v>
      </x:c>
    </x:row>
    <x:row r="7" ht="47" customHeight="1">
      <x:c r="A7" s="2" t="str">
        <x:v>RF-03</x:v>
      </x:c>
      <x:c r="B7" s="3" t="str">
        <x:v>Gestionar rutas</x:v>
      </x:c>
      <x:c r="C7" s="3" t="str">
        <x:v>El sistema deberá registrar y administrar rutas de recojo y permitir su consulta desde web y móvil.</x:v>
      </x:c>
      <x:c r="D7" s="2" t="str">
        <x:v>Funcional</x:v>
      </x:c>
      <x:c r="E7" s="3" t="str">
        <x:v>—</x:v>
      </x:c>
      <x:c r="F7" s="3" t="str">
        <x:v>Administrador / Acopiador</x:v>
      </x:c>
      <x:c r="G7" s="3" t="str">
        <x:v>Project Charter / Cronograma</x:v>
      </x:c>
      <x:c r="H7" s="3" t="str">
        <x:v>G.4 · Cronograma 69,72,74</x:v>
      </x:c>
      <x:c r="I7" s="2" t="str">
        <x:v>Must</x:v>
      </x:c>
      <x:c r="J7" s="3" t="str">
        <x:v>Las rutas pueden registrarse y consultarse; el acopiador puede visualizar la ruta del día.</x:v>
      </x:c>
      <x:c r="K7" s="3" t="str">
        <x:v>Rutas</x:v>
      </x:c>
      <x:c r="L7" s="3" t="str">
        <x:v>RF-02</x:v>
      </x:c>
      <x:c r="M7" s="3" t="str">
        <x:v>Aprobado</x:v>
      </x:c>
      <x:c r="N7" s="627" t="str">
        <x:v>Sprint 4</x:v>
      </x:c>
      <x:c r="O7" s="634" t="n">
        <x:v>46275</x:v>
      </x:c>
      <x:c r="P7" s="634" t="n">
        <x:v>46278</x:v>
      </x:c>
      <x:c r="Q7" s="629" t="str">
        <x:v>API Acopiadores/Rutas · Pantallas de Rutas · Pantalla de Ruta del día</x:v>
      </x:c>
    </x:row>
    <x:row r="8" ht="47" customHeight="1">
      <x:c r="A8" s="2" t="str">
        <x:v>RF-04</x:v>
      </x:c>
      <x:c r="B8" s="3" t="str">
        <x:v>Gestionar centros de acopio</x:v>
      </x:c>
      <x:c r="C8" s="3" t="str">
        <x:v>El sistema deberá registrar y administrar los centros de acopio utilizados por la operación.</x:v>
      </x:c>
      <x:c r="D8" s="2" t="str">
        <x:v>Funcional</x:v>
      </x:c>
      <x:c r="E8" s="3" t="str">
        <x:v>—</x:v>
      </x:c>
      <x:c r="F8" s="3" t="str">
        <x:v>Administrador</x:v>
      </x:c>
      <x:c r="G8" s="3" t="str">
        <x:v>Project Charter / Cronograma</x:v>
      </x:c>
      <x:c r="H8" s="3" t="str">
        <x:v>G.4 · Cronograma 70,72</x:v>
      </x:c>
      <x:c r="I8" s="2" t="str">
        <x:v>Must</x:v>
      </x:c>
      <x:c r="J8" s="3" t="str">
        <x:v>Los centros de acopio pueden crearse, consultarse y usarse en la gestión operativa.</x:v>
      </x:c>
      <x:c r="K8" s="3" t="str">
        <x:v>Centros de acopio</x:v>
      </x:c>
      <x:c r="L8" s="3" t="str">
        <x:v>—</x:v>
      </x:c>
      <x:c r="M8" s="3" t="str">
        <x:v>Aprobado</x:v>
      </x:c>
      <x:c r="N8" s="627" t="str">
        <x:v>Sprint 4</x:v>
      </x:c>
      <x:c r="O8" s="634" t="n">
        <x:v>46276</x:v>
      </x:c>
      <x:c r="P8" s="634" t="n">
        <x:v>46278</x:v>
      </x:c>
      <x:c r="Q8" s="629" t="str">
        <x:v>API Centros de Acopio · Pantallas de Rutas</x:v>
      </x:c>
    </x:row>
    <x:row r="9" ht="47" customHeight="1">
      <x:c r="A9" s="2" t="str">
        <x:v>RF-05</x:v>
      </x:c>
      <x:c r="B9" s="3" t="str">
        <x:v>Registrar recojo de leche</x:v>
      </x:c>
      <x:c r="C9" s="3" t="str">
        <x:v>El sistema deberá registrar cada recojo indicando productor, cantidad, calidad y fecha, desde web o móvil según el flujo operativo.</x:v>
      </x:c>
      <x:c r="D9" s="2" t="str">
        <x:v>Funcional</x:v>
      </x:c>
      <x:c r="E9" s="3" t="str">
        <x:v>—</x:v>
      </x:c>
      <x:c r="F9" s="3" t="str">
        <x:v>Acopiador / Administrador</x:v>
      </x:c>
      <x:c r="G9" s="3" t="str">
        <x:v>Project Charter / Cronograma</x:v>
      </x:c>
      <x:c r="H9" s="3" t="str">
        <x:v>G.5 · Cronograma 87,93,94</x:v>
      </x:c>
      <x:c r="I9" s="2" t="str">
        <x:v>Must</x:v>
      </x:c>
      <x:c r="J9" s="3" t="str">
        <x:v>Un recojo válido queda persistido con productor, cantidad, calidad y fecha y puede consultarse posteriormente.</x:v>
      </x:c>
      <x:c r="K9" s="3" t="str">
        <x:v>Recojo</x:v>
      </x:c>
      <x:c r="L9" s="3" t="str">
        <x:v>RF-01, RF-03</x:v>
      </x:c>
      <x:c r="M9" s="3" t="str">
        <x:v>Aprobado</x:v>
      </x:c>
      <x:c r="N9" s="627" t="str">
        <x:v>Sprint 5</x:v>
      </x:c>
      <x:c r="O9" s="634" t="n">
        <x:v>46281</x:v>
      </x:c>
      <x:c r="P9" s="634" t="n">
        <x:v>46284</x:v>
      </x:c>
      <x:c r="Q9" s="629" t="str">
        <x:v>API Recojo de Leche · Pantallas de Recojo (Web) · Pantalla de Registro móvil</x:v>
      </x:c>
    </x:row>
    <x:row r="10" ht="47" customHeight="1">
      <x:c r="A10" s="2" t="str">
        <x:v>RF-06</x:v>
      </x:c>
      <x:c r="B10" s="3" t="str">
        <x:v>Registrar control de calidad</x:v>
      </x:c>
      <x:c r="C10" s="3" t="str">
        <x:v>El sistema deberá registrar parámetros de calidad de la leche, incluyendo densidad, acidez y temperatura.</x:v>
      </x:c>
      <x:c r="D10" s="2" t="str">
        <x:v>Funcional</x:v>
      </x:c>
      <x:c r="E10" s="3" t="str">
        <x:v>—</x:v>
      </x:c>
      <x:c r="F10" s="3" t="str">
        <x:v>Personal de planta / Calidad</x:v>
      </x:c>
      <x:c r="G10" s="3" t="str">
        <x:v>Project Charter / Cronograma</x:v>
      </x:c>
      <x:c r="H10" s="3" t="str">
        <x:v>G.6 · Cronograma 91</x:v>
      </x:c>
      <x:c r="I10" s="2" t="str">
        <x:v>Must</x:v>
      </x:c>
      <x:c r="J10" s="3" t="str">
        <x:v>El control queda asociado al recojo y conserva densidad, acidez, temperatura y observaciones disponibles.</x:v>
      </x:c>
      <x:c r="K10" s="3" t="str">
        <x:v>Calidad</x:v>
      </x:c>
      <x:c r="L10" s="3" t="str">
        <x:v>RF-05</x:v>
      </x:c>
      <x:c r="M10" s="3" t="str">
        <x:v>Aprobado</x:v>
      </x:c>
      <x:c r="N10" s="627" t="str">
        <x:v>Sprint 5</x:v>
      </x:c>
      <x:c r="O10" s="634" t="n">
        <x:v>46282</x:v>
      </x:c>
      <x:c r="P10" s="634" t="n">
        <x:v>46282</x:v>
      </x:c>
      <x:c r="Q10" s="629" t="str">
        <x:v>API Control de Calidad</x:v>
      </x:c>
    </x:row>
    <x:row r="11" ht="47" customHeight="1">
      <x:c r="A11" s="2" t="str">
        <x:v>RF-07</x:v>
      </x:c>
      <x:c r="B11" s="3" t="str">
        <x:v>Calcular liquidación</x:v>
      </x:c>
      <x:c r="C11" s="3" t="str">
        <x:v>El sistema deberá calcular la liquidación del productor considerando cantidad recolectada y calidad, sin ejecutar una transacción financiera externa.</x:v>
      </x:c>
      <x:c r="D11" s="2" t="str">
        <x:v>Funcional</x:v>
      </x:c>
      <x:c r="E11" s="3" t="str">
        <x:v>—</x:v>
      </x:c>
      <x:c r="F11" s="3" t="str">
        <x:v>Administrador</x:v>
      </x:c>
      <x:c r="G11" s="3" t="str">
        <x:v>Project Charter / Cronograma</x:v>
      </x:c>
      <x:c r="H11" s="3" t="str">
        <x:v>F · G.7 · Cronograma 92</x:v>
      </x:c>
      <x:c r="I11" s="2" t="str">
        <x:v>Must</x:v>
      </x:c>
      <x:c r="J11" s="3" t="str">
        <x:v>El sistema genera una liquidación consistente con los datos de cantidad y calidad del recojo y permite su consulta.</x:v>
      </x:c>
      <x:c r="K11" s="3" t="str">
        <x:v>Liquidaciones</x:v>
      </x:c>
      <x:c r="L11" s="3" t="str">
        <x:v>RF-05, RF-06</x:v>
      </x:c>
      <x:c r="M11" s="3" t="str">
        <x:v>Aprobado</x:v>
      </x:c>
      <x:c r="N11" s="627" t="str">
        <x:v>Sprint 5</x:v>
      </x:c>
      <x:c r="O11" s="634" t="n">
        <x:v>46283</x:v>
      </x:c>
      <x:c r="P11" s="634" t="n">
        <x:v>46284</x:v>
      </x:c>
      <x:c r="Q11" s="629" t="str">
        <x:v>API de Liquidaciones</x:v>
      </x:c>
    </x:row>
    <x:row r="12" ht="47" customHeight="1">
      <x:c r="A12" s="2" t="str">
        <x:v>RF-08</x:v>
      </x:c>
      <x:c r="B12" s="3" t="str">
        <x:v>Consultar liquidaciones por productor y fecha</x:v>
      </x:c>
      <x:c r="C12" s="3" t="str">
        <x:v>El sistema deberá permitir consultar las liquidaciones filtrando por productor y fecha desde el panel web.</x:v>
      </x:c>
      <x:c r="D12" s="2" t="str">
        <x:v>Funcional</x:v>
      </x:c>
      <x:c r="E12" s="3" t="str">
        <x:v>—</x:v>
      </x:c>
      <x:c r="F12" s="3" t="str">
        <x:v>Administrador</x:v>
      </x:c>
      <x:c r="G12" s="3" t="str">
        <x:v>Cronograma_2026</x:v>
      </x:c>
      <x:c r="H12" s="3" t="str">
        <x:v>Cronograma 88</x:v>
      </x:c>
      <x:c r="I12" s="2" t="str">
        <x:v>Should</x:v>
      </x:c>
      <x:c r="J12" s="3" t="str">
        <x:v>El filtro por productor y fecha devuelve únicamente las liquidaciones correspondientes.</x:v>
      </x:c>
      <x:c r="K12" s="3" t="str">
        <x:v>Liquidaciones / Web</x:v>
      </x:c>
      <x:c r="L12" s="3" t="str">
        <x:v>RF-07</x:v>
      </x:c>
      <x:c r="M12" s="3" t="str">
        <x:v>Planificado</x:v>
      </x:c>
      <x:c r="N12" s="627" t="str">
        <x:v>Sprint 5</x:v>
      </x:c>
      <x:c r="O12" s="634" t="n">
        <x:v>46285</x:v>
      </x:c>
      <x:c r="P12" s="634" t="n">
        <x:v>46285</x:v>
      </x:c>
      <x:c r="Q12" s="629" t="str">
        <x:v>Pantalla de Liquidaciones</x:v>
      </x:c>
    </x:row>
    <x:row r="13" ht="47" customHeight="1">
      <x:c r="A13" s="2" t="str">
        <x:v>RF-09</x:v>
      </x:c>
      <x:c r="B13" s="3" t="str">
        <x:v>Registrar recojo sin conexión</x:v>
      </x:c>
      <x:c r="C13" s="3" t="str">
        <x:v>La aplicación móvil deberá permitir registrar recojos aunque no exista conexión a Internet.</x:v>
      </x:c>
      <x:c r="D13" s="2" t="str">
        <x:v>Funcional</x:v>
      </x:c>
      <x:c r="E13" s="3" t="str">
        <x:v>—</x:v>
      </x:c>
      <x:c r="F13" s="3" t="str">
        <x:v>Acopiador</x:v>
      </x:c>
      <x:c r="G13" s="3" t="str">
        <x:v>Project Charter / Cronograma</x:v>
      </x:c>
      <x:c r="H13" s="3" t="str">
        <x:v>D · G.5 · Cronograma 94</x:v>
      </x:c>
      <x:c r="I13" s="2" t="str">
        <x:v>Must</x:v>
      </x:c>
      <x:c r="J13" s="3" t="str">
        <x:v>El acopiador puede completar y guardar un recojo en modo offline sin perder los datos capturados.</x:v>
      </x:c>
      <x:c r="K13" s="3" t="str">
        <x:v>Móvil</x:v>
      </x:c>
      <x:c r="L13" s="3" t="str">
        <x:v>RF-05</x:v>
      </x:c>
      <x:c r="M13" s="3" t="str">
        <x:v>Aprobado</x:v>
      </x:c>
      <x:c r="N13" s="627" t="str">
        <x:v>Sprint 5</x:v>
      </x:c>
      <x:c r="O13" s="634" t="n">
        <x:v>46283</x:v>
      </x:c>
      <x:c r="P13" s="634" t="n">
        <x:v>46284</x:v>
      </x:c>
      <x:c r="Q13" s="629" t="str">
        <x:v>Pantalla de Registro móvil</x:v>
      </x:c>
    </x:row>
    <x:row r="14" ht="47" customHeight="1">
      <x:c r="A14" s="2" t="str">
        <x:v>RF-10</x:v>
      </x:c>
      <x:c r="B14" s="3" t="str">
        <x:v>Sincronizar datos offline</x:v>
      </x:c>
      <x:c r="C14" s="3" t="str">
        <x:v>La aplicación móvil deberá almacenar temporalmente los datos en SQLite y sincronizarlos con el backend cuando exista conectividad.</x:v>
      </x:c>
      <x:c r="D14" s="2" t="str">
        <x:v>Funcional</x:v>
      </x:c>
      <x:c r="E14" s="3" t="str">
        <x:v>—</x:v>
      </x:c>
      <x:c r="F14" s="3" t="str">
        <x:v>Acopiador</x:v>
      </x:c>
      <x:c r="G14" s="3" t="str">
        <x:v>Project Charter / Cronograma</x:v>
      </x:c>
      <x:c r="H14" s="3" t="str">
        <x:v>D · Cronograma 95</x:v>
      </x:c>
      <x:c r="I14" s="2" t="str">
        <x:v>Must</x:v>
      </x:c>
      <x:c r="J14" s="3" t="str">
        <x:v>Los registros pendientes se sincronizan posteriormente sin duplicarse y quedan disponibles en el servidor.</x:v>
      </x:c>
      <x:c r="K14" s="3" t="str">
        <x:v>Sincronización</x:v>
      </x:c>
      <x:c r="L14" s="3" t="str">
        <x:v>RF-09</x:v>
      </x:c>
      <x:c r="M14" s="3" t="str">
        <x:v>Aprobado</x:v>
      </x:c>
      <x:c r="N14" s="627" t="str">
        <x:v>Sprint 5</x:v>
      </x:c>
      <x:c r="O14" s="634" t="n">
        <x:v>46284</x:v>
      </x:c>
      <x:c r="P14" s="634" t="n">
        <x:v>46285</x:v>
      </x:c>
      <x:c r="Q14" s="629" t="str">
        <x:v>Módulo de sincronización</x:v>
      </x:c>
    </x:row>
    <x:row r="15" ht="47" customHeight="1">
      <x:c r="A15" s="2" t="str">
        <x:v>RF-11</x:v>
      </x:c>
      <x:c r="B15" s="3" t="str">
        <x:v>Consultar productores asignados</x:v>
      </x:c>
      <x:c r="C15" s="3" t="str">
        <x:v>La aplicación móvil deberá permitir al acopiador consultar los productores asignados a su operación.</x:v>
      </x:c>
      <x:c r="D15" s="2" t="str">
        <x:v>Funcional</x:v>
      </x:c>
      <x:c r="E15" s="3" t="str">
        <x:v>—</x:v>
      </x:c>
      <x:c r="F15" s="3" t="str">
        <x:v>Acopiador</x:v>
      </x:c>
      <x:c r="G15" s="3" t="str">
        <x:v>Cronograma_2026</x:v>
      </x:c>
      <x:c r="H15" s="3" t="str">
        <x:v>Cronograma 73</x:v>
      </x:c>
      <x:c r="I15" s="2" t="str">
        <x:v>Should</x:v>
      </x:c>
      <x:c r="J15" s="3" t="str">
        <x:v>El acopiador visualiza la lista de productores asignados y puede seleccionar uno durante el recojo.</x:v>
      </x:c>
      <x:c r="K15" s="3" t="str">
        <x:v>Móvil / Productores</x:v>
      </x:c>
      <x:c r="L15" s="3" t="str">
        <x:v>RF-01, RF-02</x:v>
      </x:c>
      <x:c r="M15" s="3" t="str">
        <x:v>Planificado</x:v>
      </x:c>
      <x:c r="N15" s="627" t="str">
        <x:v>Sprint 4</x:v>
      </x:c>
      <x:c r="O15" s="634" t="n">
        <x:v>46276</x:v>
      </x:c>
      <x:c r="P15" s="634" t="n">
        <x:v>46277</x:v>
      </x:c>
      <x:c r="Q15" s="629" t="str">
        <x:v>Pantalla de Productores móvil</x:v>
      </x:c>
    </x:row>
    <x:row r="16" ht="47" customHeight="1">
      <x:c r="A16" s="2" t="str">
        <x:v>RF-12</x:v>
      </x:c>
      <x:c r="B16" s="3" t="str">
        <x:v>Gestionar ruta del día</x:v>
      </x:c>
      <x:c r="C16" s="3" t="str">
        <x:v>La aplicación móvil deberá mostrar al acopiador la ruta operativa del día.</x:v>
      </x:c>
      <x:c r="D16" s="2" t="str">
        <x:v>Funcional</x:v>
      </x:c>
      <x:c r="E16" s="3" t="str">
        <x:v>—</x:v>
      </x:c>
      <x:c r="F16" s="3" t="str">
        <x:v>Acopiador</x:v>
      </x:c>
      <x:c r="G16" s="3" t="str">
        <x:v>Cronograma_2026</x:v>
      </x:c>
      <x:c r="H16" s="3" t="str">
        <x:v>Cronograma 74</x:v>
      </x:c>
      <x:c r="I16" s="2" t="str">
        <x:v>Should</x:v>
      </x:c>
      <x:c r="J16" s="3" t="str">
        <x:v>La app muestra la ruta vigente y los elementos necesarios para ejecutar el recojo planificado.</x:v>
      </x:c>
      <x:c r="K16" s="3" t="str">
        <x:v>Móvil / Rutas</x:v>
      </x:c>
      <x:c r="L16" s="3" t="str">
        <x:v>RF-03</x:v>
      </x:c>
      <x:c r="M16" s="3" t="str">
        <x:v>Planificado</x:v>
      </x:c>
      <x:c r="N16" s="627" t="str">
        <x:v>Sprint 4</x:v>
      </x:c>
      <x:c r="O16" s="634" t="n">
        <x:v>46277</x:v>
      </x:c>
      <x:c r="P16" s="634" t="n">
        <x:v>46278</x:v>
      </x:c>
      <x:c r="Q16" s="629" t="str">
        <x:v>Pantalla de Ruta del día</x:v>
      </x:c>
    </x:row>
    <x:row r="17" ht="47" customHeight="1">
      <x:c r="A17" s="2" t="str">
        <x:v>RF-13</x:v>
      </x:c>
      <x:c r="B17" s="3" t="str">
        <x:v>Capturar evidencia por recojo</x:v>
      </x:c>
      <x:c r="C17" s="3" t="str">
        <x:v>La aplicación móvil deberá permitir asociar evidencia al recojo, como firma digital o fotografía.</x:v>
      </x:c>
      <x:c r="D17" s="2" t="str">
        <x:v>Funcional</x:v>
      </x:c>
      <x:c r="E17" s="3" t="str">
        <x:v>—</x:v>
      </x:c>
      <x:c r="F17" s="3" t="str">
        <x:v>Acopiador</x:v>
      </x:c>
      <x:c r="G17" s="3" t="str">
        <x:v>Cronograma_2026</x:v>
      </x:c>
      <x:c r="H17" s="3" t="str">
        <x:v>Cronograma 99</x:v>
      </x:c>
      <x:c r="I17" s="2" t="str">
        <x:v>Could</x:v>
      </x:c>
      <x:c r="J17" s="3" t="str">
        <x:v>La evidencia seleccionada queda vinculada al recojo correspondiente y puede recuperarse con él.</x:v>
      </x:c>
      <x:c r="K17" s="3" t="str">
        <x:v>Móvil / Evidencias</x:v>
      </x:c>
      <x:c r="L17" s="3" t="str">
        <x:v>RF-05</x:v>
      </x:c>
      <x:c r="M17" s="3" t="str">
        <x:v>Planificado</x:v>
      </x:c>
      <x:c r="N17" s="627" t="str">
        <x:v>Sprint 5</x:v>
      </x:c>
      <x:c r="O17" s="634" t="n">
        <x:v>46286</x:v>
      </x:c>
      <x:c r="P17" s="634" t="n">
        <x:v>46286</x:v>
      </x:c>
      <x:c r="Q17" s="629" t="str">
        <x:v>Módulo de evidencias</x:v>
      </x:c>
    </x:row>
    <x:row r="18" ht="47" customHeight="1">
      <x:c r="A18" s="2" t="str">
        <x:v>RF-14</x:v>
      </x:c>
      <x:c r="B18" s="3" t="str">
        <x:v>Generar reportes y dashboard</x:v>
      </x:c>
      <x:c r="C18" s="3" t="str">
        <x:v>El sistema deberá generar reportes y un dashboard de producción total, por ruta, por productor y por periodo.</x:v>
      </x:c>
      <x:c r="D18" s="2" t="str">
        <x:v>Funcional</x:v>
      </x:c>
      <x:c r="E18" s="3" t="str">
        <x:v>—</x:v>
      </x:c>
      <x:c r="F18" s="3" t="str">
        <x:v>Administrador / Gerencia</x:v>
      </x:c>
      <x:c r="G18" s="3" t="str">
        <x:v>Project Charter / Cronograma</x:v>
      </x:c>
      <x:c r="H18" s="3" t="str">
        <x:v>F · G.8 · Cronograma 107,111</x:v>
      </x:c>
      <x:c r="I18" s="2" t="str">
        <x:v>Must</x:v>
      </x:c>
      <x:c r="J18" s="3" t="str">
        <x:v>Los totales del dashboard y reportes coinciden con los recojos almacenados y pueden filtrarse por los criterios definidos.</x:v>
      </x:c>
      <x:c r="K18" s="3" t="str">
        <x:v>Reportes / Dashboard</x:v>
      </x:c>
      <x:c r="L18" s="3" t="str">
        <x:v>RF-05, RF-07</x:v>
      </x:c>
      <x:c r="M18" s="3" t="str">
        <x:v>Aprobado</x:v>
      </x:c>
      <x:c r="N18" s="627" t="str">
        <x:v>Sprint 6</x:v>
      </x:c>
      <x:c r="O18" s="634" t="n">
        <x:v>46288</x:v>
      </x:c>
      <x:c r="P18" s="634" t="n">
        <x:v>46291</x:v>
      </x:c>
      <x:c r="Q18" s="629" t="str">
        <x:v>API de Reportes · Dashboard Web</x:v>
      </x:c>
    </x:row>
    <x:row r="19" ht="47" customHeight="1">
      <x:c r="A19" s="2" t="str">
        <x:v>RF-15</x:v>
      </x:c>
      <x:c r="B19" s="3" t="str">
        <x:v>Administrar usuarios y roles</x:v>
      </x:c>
      <x:c r="C19" s="3" t="str">
        <x:v>El sistema deberá permitir administrar usuarios y roles de acceso desde el panel web.</x:v>
      </x:c>
      <x:c r="D19" s="2" t="str">
        <x:v>Funcional</x:v>
      </x:c>
      <x:c r="E19" s="3" t="str">
        <x:v>—</x:v>
      </x:c>
      <x:c r="F19" s="3" t="str">
        <x:v>Administrador</x:v>
      </x:c>
      <x:c r="G19" s="3" t="str">
        <x:v>Project Charter / Cronograma</x:v>
      </x:c>
      <x:c r="H19" s="3" t="str">
        <x:v>G.9 · Cronograma 112</x:v>
      </x:c>
      <x:c r="I19" s="2" t="str">
        <x:v>Must</x:v>
      </x:c>
      <x:c r="J19" s="3" t="str">
        <x:v>Un administrador puede crear/actualizar usuarios y asignar roles; los permisos se aplican al iniciar sesión.</x:v>
      </x:c>
      <x:c r="K19" s="3" t="str">
        <x:v>Usuarios / Roles</x:v>
      </x:c>
      <x:c r="L19" s="3" t="str">
        <x:v>RF-16</x:v>
      </x:c>
      <x:c r="M19" s="3" t="str">
        <x:v>Aprobado</x:v>
      </x:c>
      <x:c r="N19" s="627" t="str">
        <x:v>Sprint 6</x:v>
      </x:c>
      <x:c r="O19" s="634" t="n">
        <x:v>46291</x:v>
      </x:c>
      <x:c r="P19" s="634" t="n">
        <x:v>46291</x:v>
      </x:c>
      <x:c r="Q19" s="629" t="str">
        <x:v>Pantalla de Usuarios y Roles</x:v>
      </x:c>
    </x:row>
    <x:row r="20" ht="47" customHeight="1">
      <x:c r="A20" s="2" t="str">
        <x:v>RF-16</x:v>
      </x:c>
      <x:c r="B20" s="3" t="str">
        <x:v>Autenticar usuarios con JWT</x:v>
      </x:c>
      <x:c r="C20" s="3" t="str">
        <x:v>El backend deberá autenticar usuarios y controlar el acceso mediante Spring Security y JWT.</x:v>
      </x:c>
      <x:c r="D20" s="2" t="str">
        <x:v>Funcional</x:v>
      </x:c>
      <x:c r="E20" s="3" t="str">
        <x:v>—</x:v>
      </x:c>
      <x:c r="F20" s="3" t="str">
        <x:v>Todos</x:v>
      </x:c>
      <x:c r="G20" s="3" t="str">
        <x:v>Project Charter / Cronograma</x:v>
      </x:c>
      <x:c r="H20" s="3" t="str">
        <x:v>D · Cronograma 53,59</x:v>
      </x:c>
      <x:c r="I20" s="2" t="str">
        <x:v>Must</x:v>
      </x:c>
      <x:c r="J20" s="3" t="str">
        <x:v>Un usuario válido obtiene acceso autenticado y un usuario sin credenciales válidas no accede a funciones protegidas.</x:v>
      </x:c>
      <x:c r="K20" s="3" t="str">
        <x:v>Seguridad</x:v>
      </x:c>
      <x:c r="L20" s="3" t="str">
        <x:v>—</x:v>
      </x:c>
      <x:c r="M20" s="3" t="str">
        <x:v>Aprobado</x:v>
      </x:c>
      <x:c r="N20" s="627" t="str">
        <x:v>Sprint 3</x:v>
      </x:c>
      <x:c r="O20" s="634" t="n">
        <x:v>46269</x:v>
      </x:c>
      <x:c r="P20" s="634" t="n">
        <x:v>46271</x:v>
      </x:c>
      <x:c r="Q20" s="629" t="str">
        <x:v>Módulo de seguridad base · API de autenticación</x:v>
      </x:c>
    </x:row>
    <x:row r="21" ht="47" customHeight="1">
      <x:c r="A21" s="2" t="str">
        <x:v>RF-17</x:v>
      </x:c>
      <x:c r="B21" s="3" t="str">
        <x:v>Consultar historial personal de recojos</x:v>
      </x:c>
      <x:c r="C21" s="3" t="str">
        <x:v>La aplicación móvil deberá permitir al acopiador consultar su historial de recojos y reportes personales.</x:v>
      </x:c>
      <x:c r="D21" s="2" t="str">
        <x:v>Funcional</x:v>
      </x:c>
      <x:c r="E21" s="3" t="str">
        <x:v>—</x:v>
      </x:c>
      <x:c r="F21" s="3" t="str">
        <x:v>Acopiador</x:v>
      </x:c>
      <x:c r="G21" s="3" t="str">
        <x:v>Cronograma_2026</x:v>
      </x:c>
      <x:c r="H21" s="3" t="str">
        <x:v>Cronograma 117</x:v>
      </x:c>
      <x:c r="I21" s="2" t="str">
        <x:v>Should</x:v>
      </x:c>
      <x:c r="J21" s="3" t="str">
        <x:v>El acopiador puede revisar sus recojos registrados y el historial mostrado corresponde a sus datos.</x:v>
      </x:c>
      <x:c r="K21" s="3" t="str">
        <x:v>Móvil / Historial</x:v>
      </x:c>
      <x:c r="L21" s="3" t="str">
        <x:v>RF-05</x:v>
      </x:c>
      <x:c r="M21" s="3" t="str">
        <x:v>Planificado</x:v>
      </x:c>
      <x:c r="N21" s="627" t="str">
        <x:v>Sprint 6</x:v>
      </x:c>
      <x:c r="O21" s="634" t="n">
        <x:v>46290</x:v>
      </x:c>
      <x:c r="P21" s="634" t="n">
        <x:v>46291</x:v>
      </x:c>
      <x:c r="Q21" s="629" t="str">
        <x:v>Pantalla de Historial</x:v>
      </x:c>
    </x:row>
    <x:row r="22" ht="47" customHeight="1">
      <x:c r="A22" s="2" t="str">
        <x:v>RF-18</x:v>
      </x:c>
      <x:c r="B22" s="3" t="str">
        <x:v>Recibir notificaciones</x:v>
      </x:c>
      <x:c r="C22" s="3" t="str">
        <x:v>El sistema deberá soportar notificaciones definidas en el cronograma mediante email y/o push en la aplicación móvil.</x:v>
      </x:c>
      <x:c r="D22" s="2" t="str">
        <x:v>Funcional</x:v>
      </x:c>
      <x:c r="E22" s="3" t="str">
        <x:v>—</x:v>
      </x:c>
      <x:c r="F22" s="3" t="str">
        <x:v>Administrador / Acopiador</x:v>
      </x:c>
      <x:c r="G22" s="3" t="str">
        <x:v>Cronograma_2026</x:v>
      </x:c>
      <x:c r="H22" s="3" t="str">
        <x:v>Cronograma 110,113</x:v>
      </x:c>
      <x:c r="I22" s="2" t="str">
        <x:v>Could</x:v>
      </x:c>
      <x:c r="J22" s="3" t="str">
        <x:v>Una notificación configurada puede generarse y recibirse por el canal previsto sin afectar el resto de módulos.</x:v>
      </x:c>
      <x:c r="K22" s="3" t="str">
        <x:v>Notificaciones</x:v>
      </x:c>
      <x:c r="L22" s="3" t="str">
        <x:v>RF-16</x:v>
      </x:c>
      <x:c r="M22" s="3" t="str">
        <x:v>Planificado</x:v>
      </x:c>
      <x:c r="N22" s="627" t="str">
        <x:v>Sprint 6</x:v>
      </x:c>
      <x:c r="O22" s="634" t="n">
        <x:v>46289</x:v>
      </x:c>
      <x:c r="P22" s="634" t="n">
        <x:v>46290</x:v>
      </x:c>
      <x:c r="Q22" s="629" t="str">
        <x:v>API de Notificaciones · Notificaciones móvil</x:v>
      </x:c>
    </x:row>
    <x:row r="23" ht="47" customHeight="1">
      <x:c r="A23" s="2" t="str">
        <x:v>RNF-01</x:v>
      </x:c>
      <x:c r="B23" s="3" t="str">
        <x:v>Interfaz intuitiva y responsive</x:v>
      </x:c>
      <x:c r="C23" s="3" t="str">
        <x:v>La plataforma web deberá ser responsive y mantener una interfaz clara e intuitiva para usuarios con distintos niveles de alfabetización digital.</x:v>
      </x:c>
      <x:c r="D23" s="2" t="str">
        <x:v>No funcional</x:v>
      </x:c>
      <x:c r="E23" s="3" t="str">
        <x:v>Usabilidad</x:v>
      </x:c>
      <x:c r="F23" s="3" t="str">
        <x:v>Todos</x:v>
      </x:c>
      <x:c r="G23" s="3" t="str">
        <x:v>Project Charter</x:v>
      </x:c>
      <x:c r="H23" s="3" t="str">
        <x:v>F - Calidad</x:v>
      </x:c>
      <x:c r="I23" s="2" t="str">
        <x:v>Must</x:v>
      </x:c>
      <x:c r="J23" s="3" t="str">
        <x:v>Las funciones principales son legibles y utilizables en resoluciones comunes sin pérdida de controles esenciales.</x:v>
      </x:c>
      <x:c r="K23" s="3" t="str">
        <x:v>Transversal</x:v>
      </x:c>
      <x:c r="L23" s="3" t="str">
        <x:v>—</x:v>
      </x:c>
      <x:c r="M23" s="3" t="str">
        <x:v>Aprobado</x:v>
      </x:c>
      <x:c r="N23" s="627" t="str">
        <x:v>Transversal · Sprint 1–8 + Entrega</x:v>
      </x:c>
      <x:c r="O23" s="634" t="n">
        <x:v>46253</x:v>
      </x:c>
      <x:c r="P23" s="634" t="n">
        <x:v>46309</x:v>
      </x:c>
      <x:c r="Q23" s="629" t="str">
        <x:v>Validación transversal durante diseño, desarrollo, pruebas y entrega</x:v>
      </x:c>
    </x:row>
    <x:row r="24" ht="47" customHeight="1">
      <x:c r="A24" s="2" t="str">
        <x:v>RNF-02</x:v>
      </x:c>
      <x:c r="B24" s="3" t="str">
        <x:v>Seguridad de la información</x:v>
      </x:c>
      <x:c r="C24" s="3" t="str">
        <x:v>La solución deberá usar HTTPS, autenticación JWT y controles de autorización para proteger datos y accesos.</x:v>
      </x:c>
      <x:c r="D24" s="2" t="str">
        <x:v>No funcional</x:v>
      </x:c>
      <x:c r="E24" s="3" t="str">
        <x:v>Seguridad</x:v>
      </x:c>
      <x:c r="F24" s="3" t="str">
        <x:v>Todos</x:v>
      </x:c>
      <x:c r="G24" s="3" t="str">
        <x:v>Project Charter / Cronograma</x:v>
      </x:c>
      <x:c r="H24" s="3" t="str">
        <x:v>F - Calidad · Cronograma 53,59</x:v>
      </x:c>
      <x:c r="I24" s="2" t="str">
        <x:v>Must</x:v>
      </x:c>
      <x:c r="J24" s="3" t="str">
        <x:v>Las funciones protegidas requieren autenticación y las comunicaciones de producción utilizan HTTPS.</x:v>
      </x:c>
      <x:c r="K24" s="3" t="str">
        <x:v>Seguridad</x:v>
      </x:c>
      <x:c r="L24" s="3" t="str">
        <x:v>RF-16</x:v>
      </x:c>
      <x:c r="M24" s="3" t="str">
        <x:v>Aprobado</x:v>
      </x:c>
      <x:c r="N24" s="627" t="str">
        <x:v>Sprint 3</x:v>
      </x:c>
      <x:c r="O24" s="634" t="n">
        <x:v>46269</x:v>
      </x:c>
      <x:c r="P24" s="634" t="n">
        <x:v>46271</x:v>
      </x:c>
      <x:c r="Q24" s="629" t="str">
        <x:v>Módulo de seguridad base · API de autenticación</x:v>
      </x:c>
    </x:row>
    <x:row r="25" ht="47" customHeight="1">
      <x:c r="A25" s="2" t="str">
        <x:v>RNF-03</x:v>
      </x:c>
      <x:c r="B25" s="3" t="str">
        <x:v>Compatibilidad Android</x:v>
      </x:c>
      <x:c r="C25" s="3" t="str">
        <x:v>La aplicación móvil deberá ser compatible con dispositivos Android de gama media y baja y distribuirse mediante APK.</x:v>
      </x:c>
      <x:c r="D25" s="2" t="str">
        <x:v>No funcional</x:v>
      </x:c>
      <x:c r="E25" s="3" t="str">
        <x:v>Compatibilidad</x:v>
      </x:c>
      <x:c r="F25" s="3" t="str">
        <x:v>Acopiador</x:v>
      </x:c>
      <x:c r="G25" s="3" t="str">
        <x:v>Project Charter / Cronograma</x:v>
      </x:c>
      <x:c r="H25" s="3" t="str">
        <x:v>G - Exclusiones/Restricciones · Cronograma 158</x:v>
      </x:c>
      <x:c r="I25" s="2" t="str">
        <x:v>Must</x:v>
      </x:c>
      <x:c r="J25" s="3" t="str">
        <x:v>La APK se instala y permite ejecutar los flujos principales en dispositivos Android compatibles.</x:v>
      </x:c>
      <x:c r="K25" s="3" t="str">
        <x:v>Móvil</x:v>
      </x:c>
      <x:c r="L25" s="3" t="str">
        <x:v>—</x:v>
      </x:c>
      <x:c r="M25" s="3" t="str">
        <x:v>Aprobado</x:v>
      </x:c>
      <x:c r="N25" s="627" t="str">
        <x:v>Sprint 8</x:v>
      </x:c>
      <x:c r="O25" s="634" t="n">
        <x:v>46303</x:v>
      </x:c>
      <x:c r="P25" s="634" t="n">
        <x:v>46303</x:v>
      </x:c>
      <x:c r="Q25" s="629" t="str">
        <x:v>App móvil distribuida</x:v>
      </x:c>
    </x:row>
    <x:row r="26" ht="47" customHeight="1">
      <x:c r="A26" s="2" t="str">
        <x:v>RNF-04</x:v>
      </x:c>
      <x:c r="B26" s="3" t="str">
        <x:v>Compatibilidad web</x:v>
      </x:c>
      <x:c r="C26" s="3" t="str">
        <x:v>La plataforma web deberá funcionar en navegadores modernos Chrome, Firefox y Edge.</x:v>
      </x:c>
      <x:c r="D26" s="2" t="str">
        <x:v>No funcional</x:v>
      </x:c>
      <x:c r="E26" s="3" t="str">
        <x:v>Compatibilidad</x:v>
      </x:c>
      <x:c r="F26" s="3" t="str">
        <x:v>Administrador</x:v>
      </x:c>
      <x:c r="G26" s="3" t="str">
        <x:v>Project Charter</x:v>
      </x:c>
      <x:c r="H26" s="3" t="str">
        <x:v>G - Restricciones 3</x:v>
      </x:c>
      <x:c r="I26" s="2" t="str">
        <x:v>Must</x:v>
      </x:c>
      <x:c r="J26" s="3" t="str">
        <x:v>Las funciones críticas se ejecutan correctamente en los navegadores indicados.</x:v>
      </x:c>
      <x:c r="K26" s="3" t="str">
        <x:v>Web</x:v>
      </x:c>
      <x:c r="L26" s="3" t="str">
        <x:v>—</x:v>
      </x:c>
      <x:c r="M26" s="3" t="str">
        <x:v>Aprobado</x:v>
      </x:c>
      <x:c r="N26" s="627" t="str">
        <x:v>Transversal · Sprint 1–8 + Entrega</x:v>
      </x:c>
      <x:c r="O26" s="634" t="n">
        <x:v>46253</x:v>
      </x:c>
      <x:c r="P26" s="634" t="n">
        <x:v>46309</x:v>
      </x:c>
      <x:c r="Q26" s="629" t="str">
        <x:v>Validación transversal durante diseño, desarrollo, pruebas y entrega</x:v>
      </x:c>
    </x:row>
    <x:row r="27" ht="47" customHeight="1">
      <x:c r="A27" s="2" t="str">
        <x:v>RNF-05</x:v>
      </x:c>
      <x:c r="B27" s="3" t="str">
        <x:v>Rendimiento y estabilidad</x:v>
      </x:c>
      <x:c r="C27" s="3" t="str">
        <x:v>La plataforma deberá ser estable, rápida y mantener un comportamiento consistente durante las operaciones habituales.</x:v>
      </x:c>
      <x:c r="D27" s="2" t="str">
        <x:v>No funcional</x:v>
      </x:c>
      <x:c r="E27" s="3" t="str">
        <x:v>Rendimiento</x:v>
      </x:c>
      <x:c r="F27" s="3" t="str">
        <x:v>Todos</x:v>
      </x:c>
      <x:c r="G27" s="3" t="str">
        <x:v>Project Charter</x:v>
      </x:c>
      <x:c r="H27" s="3" t="str">
        <x:v>F - Calidad · Cronograma 141</x:v>
      </x:c>
      <x:c r="I27" s="2" t="str">
        <x:v>Should</x:v>
      </x:c>
      <x:c r="J27" s="3" t="str">
        <x:v>Los flujos habituales se completan sin bloqueos y las pruebas no funcionales no detectan fallos críticos de rendimiento.</x:v>
      </x:c>
      <x:c r="K27" s="3" t="str">
        <x:v>Transversal</x:v>
      </x:c>
      <x:c r="L27" s="3" t="str">
        <x:v>—</x:v>
      </x:c>
      <x:c r="M27" s="3" t="str">
        <x:v>Aprobado</x:v>
      </x:c>
      <x:c r="N27" s="627" t="str">
        <x:v>Sprint 7</x:v>
      </x:c>
      <x:c r="O27" s="634" t="n">
        <x:v>46295</x:v>
      </x:c>
      <x:c r="P27" s="634" t="n">
        <x:v>46301</x:v>
      </x:c>
      <x:c r="Q27" s="629" t="str">
        <x:v>Pruebas no funcionales (rendimiento y seguridad)</x:v>
      </x:c>
    </x:row>
    <x:row r="28" ht="47" customHeight="1">
      <x:c r="A28" s="2" t="str">
        <x:v>RNF-06</x:v>
      </x:c>
      <x:c r="B28" s="3" t="str">
        <x:v>Persistencia de datos</x:v>
      </x:c>
      <x:c r="C28" s="3" t="str">
        <x:v>El backend deberá usar PostgreSQL y la aplicación móvil SQLite para almacenamiento local offline.</x:v>
      </x:c>
      <x:c r="D28" s="2" t="str">
        <x:v>No funcional</x:v>
      </x:c>
      <x:c r="E28" s="3" t="str">
        <x:v>Datos</x:v>
      </x:c>
      <x:c r="F28" s="3" t="str">
        <x:v>Equipo de desarrollo</x:v>
      </x:c>
      <x:c r="G28" s="3" t="str">
        <x:v>Project Charter / Cronograma</x:v>
      </x:c>
      <x:c r="H28" s="3" t="str">
        <x:v>B/D · Cronograma 48,95</x:v>
      </x:c>
      <x:c r="I28" s="2" t="str">
        <x:v>Must</x:v>
      </x:c>
      <x:c r="J28" s="3" t="str">
        <x:v>Los datos del servidor se almacenan en PostgreSQL y los registros offline en SQLite hasta su sincronización.</x:v>
      </x:c>
      <x:c r="K28" s="3" t="str">
        <x:v>Datos</x:v>
      </x:c>
      <x:c r="L28" s="3" t="str">
        <x:v>RF-10</x:v>
      </x:c>
      <x:c r="M28" s="3" t="str">
        <x:v>Aprobado</x:v>
      </x:c>
      <x:c r="N28" s="627" t="str">
        <x:v>Sprint 3 / Sprint 5</x:v>
      </x:c>
      <x:c r="O28" s="634" t="n">
        <x:v>46269</x:v>
      </x:c>
      <x:c r="P28" s="634" t="n">
        <x:v>46285</x:v>
      </x:c>
      <x:c r="Q28" s="629" t="str">
        <x:v>BD PostgreSQL creada · Módulo de sincronización</x:v>
      </x:c>
    </x:row>
    <x:row r="29" ht="47" customHeight="1">
      <x:c r="A29" s="2" t="str">
        <x:v>RNF-07</x:v>
      </x:c>
      <x:c r="B29" s="3" t="str">
        <x:v>Disponibilidad en producción</x:v>
      </x:c>
      <x:c r="C29" s="3" t="str">
        <x:v>El sistema deberá desplegarse en un servidor de producción con dominio y certificado SSL, buscando funcionamiento continuo.</x:v>
      </x:c>
      <x:c r="D29" s="2" t="str">
        <x:v>No funcional</x:v>
      </x:c>
      <x:c r="E29" s="3" t="str">
        <x:v>Disponibilidad</x:v>
      </x:c>
      <x:c r="F29" s="3" t="str">
        <x:v>Administrador</x:v>
      </x:c>
      <x:c r="G29" s="3" t="str">
        <x:v>Project Charter / Cronograma</x:v>
      </x:c>
      <x:c r="H29" s="3" t="str">
        <x:v>D.2 · Cronograma 153-155</x:v>
      </x:c>
      <x:c r="I29" s="2" t="str">
        <x:v>Should</x:v>
      </x:c>
      <x:c r="J29" s="3" t="str">
        <x:v>El backend y la web quedan accesibles en producción y superan las pruebas de humo posteriores al despliegue.</x:v>
      </x:c>
      <x:c r="K29" s="3" t="str">
        <x:v>Infraestructura</x:v>
      </x:c>
      <x:c r="L29" s="3" t="str">
        <x:v>RNF-02</x:v>
      </x:c>
      <x:c r="M29" s="3" t="str">
        <x:v>Aprobado</x:v>
      </x:c>
      <x:c r="N29" s="627" t="str">
        <x:v>Sprint 8</x:v>
      </x:c>
      <x:c r="O29" s="634" t="n">
        <x:v>46302</x:v>
      </x:c>
      <x:c r="P29" s="634" t="n">
        <x:v>46303</x:v>
      </x:c>
      <x:c r="Q29" s="629" t="str">
        <x:v>Entorno de producción listo · Backend en producción · Web en producción</x:v>
      </x:c>
    </x:row>
    <x:row r="30" ht="47" customHeight="1">
      <x:c r="A30" s="2" t="str">
        <x:v>RNF-08</x:v>
      </x:c>
      <x:c r="B30" s="3" t="str">
        <x:v>Integridad y respaldo</x:v>
      </x:c>
      <x:c r="C30" s="3" t="str">
        <x:v>La implementación deberá contemplar respaldo de datos y validación de la carga/migración inicial para reducir el riesgo de pérdida de información.</x:v>
      </x:c>
      <x:c r="D30" s="2" t="str">
        <x:v>No funcional</x:v>
      </x:c>
      <x:c r="E30" s="3" t="str">
        <x:v>Confiabilidad</x:v>
      </x:c>
      <x:c r="F30" s="3" t="str">
        <x:v>Administrador / Equipo</x:v>
      </x:c>
      <x:c r="G30" s="3" t="str">
        <x:v>Project Charter / Cronograma</x:v>
      </x:c>
      <x:c r="H30" s="3" t="str">
        <x:v>R9 · Cronograma 161,170</x:v>
      </x:c>
      <x:c r="I30" s="2" t="str">
        <x:v>Must</x:v>
      </x:c>
      <x:c r="J30" s="3" t="str">
        <x:v>La carga inicial se valida y existe un procedimiento de respaldo/recuperación documentado para producción.</x:v>
      </x:c>
      <x:c r="K30" s="3" t="str">
        <x:v>Datos / Respaldo</x:v>
      </x:c>
      <x:c r="L30" s="3" t="str">
        <x:v>RNF-06</x:v>
      </x:c>
      <x:c r="M30" s="3" t="str">
        <x:v>Aprobado</x:v>
      </x:c>
      <x:c r="N30" s="627" t="str">
        <x:v>Sprint 8</x:v>
      </x:c>
      <x:c r="O30" s="634" t="n">
        <x:v>46304</x:v>
      </x:c>
      <x:c r="P30" s="634" t="n">
        <x:v>46307</x:v>
      </x:c>
      <x:c r="Q30" s="629" t="str">
        <x:v>Datos maestros cargados · Bitácora de soporte</x:v>
      </x:c>
    </x:row>
    <x:row r="31" ht="47" customHeight="1">
      <x:c r="A31" s="2" t="str">
        <x:v>RNF-09</x:v>
      </x:c>
      <x:c r="B31" s="3" t="str">
        <x:v>Mantenibilidad y documentación</x:v>
      </x:c>
      <x:c r="C31" s="3" t="str">
        <x:v>La solución deberá contar con documentación técnica y de usuario suficiente para facilitar soporte, despliegue y mantenimiento.</x:v>
      </x:c>
      <x:c r="D31" s="2" t="str">
        <x:v>No funcional</x:v>
      </x:c>
      <x:c r="E31" s="3" t="str">
        <x:v>Mantenibilidad</x:v>
      </x:c>
      <x:c r="F31" s="3" t="str">
        <x:v>Equipo de desarrollo</x:v>
      </x:c>
      <x:c r="G31" s="3" t="str">
        <x:v>Project Charter / Cronograma</x:v>
      </x:c>
      <x:c r="H31" s="3" t="str">
        <x:v>G.12 · Cronograma 79,144,145,178</x:v>
      </x:c>
      <x:c r="I31" s="2" t="str">
        <x:v>Should</x:v>
      </x:c>
      <x:c r="J31" s="3" t="str">
        <x:v>Se entregan manual de usuario, manual técnico y documentación de API/código prevista por el cronograma.</x:v>
      </x:c>
      <x:c r="K31" s="3" t="str">
        <x:v>Documentación</x:v>
      </x:c>
      <x:c r="L31" s="3" t="str">
        <x:v>—</x:v>
      </x:c>
      <x:c r="M31" s="3" t="str">
        <x:v>Aprobado</x:v>
      </x:c>
      <x:c r="N31" s="630" t="str">
        <x:v>Sprint 4 / Sprint 7 / Cierre</x:v>
      </x:c>
      <x:c r="O31" s="635" t="n">
        <x:v>46279</x:v>
      </x:c>
      <x:c r="P31" s="635" t="n">
        <x:v>46309</x:v>
      </x:c>
      <x:c r="Q31" s="632" t="str">
        <x:v>Documentación Swagger · Manual de usuario · Manual técnico · Repositorio + documentación entregada</x:v>
      </x:c>
    </x:row>
    <x:row r="32" ht="30" customHeight="1">
      <x:c r="A32" s="2"/>
      <x:c r="B32" s="3"/>
      <x:c r="C32" s="3"/>
      <x:c r="D32" s="2"/>
      <x:c r="E32" s="3"/>
      <x:c r="F32" s="3"/>
      <x:c r="G32" s="3"/>
      <x:c r="H32" s="3"/>
      <x:c r="I32" s="2"/>
      <x:c r="J32" s="3"/>
      <x:c r="K32" s="3"/>
      <x:c r="L32" s="3"/>
      <x:c r="M32" s="3"/>
    </x:row>
    <x:row r="33" ht="30" customHeight="1">
      <x:c r="A33" s="2"/>
      <x:c r="B33" s="3"/>
      <x:c r="C33" s="3"/>
      <x:c r="D33" s="2"/>
      <x:c r="E33" s="3"/>
      <x:c r="F33" s="3"/>
      <x:c r="G33" s="3"/>
      <x:c r="H33" s="3"/>
      <x:c r="I33" s="2"/>
      <x:c r="J33" s="3"/>
      <x:c r="K33" s="3"/>
      <x:c r="L33" s="3"/>
      <x:c r="M33" s="3"/>
    </x:row>
    <x:row r="34" ht="30" customHeight="1">
      <x:c r="A34" s="2"/>
      <x:c r="B34" s="3"/>
      <x:c r="C34" s="3"/>
      <x:c r="D34" s="2"/>
      <x:c r="E34" s="3"/>
      <x:c r="F34" s="3"/>
      <x:c r="G34" s="3"/>
      <x:c r="H34" s="3"/>
      <x:c r="I34" s="2"/>
      <x:c r="J34" s="3"/>
      <x:c r="K34" s="3"/>
      <x:c r="L34" s="3"/>
      <x:c r="M34" s="3"/>
    </x:row>
    <x:row r="35" ht="30" customHeight="1">
      <x:c r="A35" s="2"/>
      <x:c r="B35" s="3"/>
      <x:c r="C35" s="3"/>
      <x:c r="D35" s="2"/>
      <x:c r="E35" s="3"/>
      <x:c r="F35" s="3"/>
      <x:c r="G35" s="3"/>
      <x:c r="H35" s="3"/>
      <x:c r="I35" s="2"/>
      <x:c r="J35" s="3"/>
      <x:c r="K35" s="3"/>
      <x:c r="L35" s="3"/>
      <x:c r="M35" s="3"/>
    </x:row>
    <x:row r="36" ht="30" customHeight="1">
      <x:c r="A36" s="2"/>
      <x:c r="B36" s="3"/>
      <x:c r="C36" s="3"/>
      <x:c r="D36" s="2"/>
      <x:c r="E36" s="3"/>
      <x:c r="F36" s="3"/>
      <x:c r="G36" s="3"/>
      <x:c r="H36" s="3"/>
      <x:c r="I36" s="2"/>
      <x:c r="J36" s="3"/>
      <x:c r="K36" s="3"/>
      <x:c r="L36" s="3"/>
      <x:c r="M36" s="3"/>
    </x:row>
    <x:row r="37" ht="30" customHeight="1">
      <x:c r="A37" s="2"/>
      <x:c r="B37" s="3"/>
      <x:c r="C37" s="3"/>
      <x:c r="D37" s="2"/>
      <x:c r="E37" s="3"/>
      <x:c r="F37" s="3"/>
      <x:c r="G37" s="3"/>
      <x:c r="H37" s="3"/>
      <x:c r="I37" s="2"/>
      <x:c r="J37" s="3"/>
      <x:c r="K37" s="3"/>
      <x:c r="L37" s="3"/>
      <x:c r="M37" s="3"/>
    </x:row>
    <x:row r="38" ht="30" customHeight="1">
      <x:c r="A38" s="2"/>
      <x:c r="B38" s="3"/>
      <x:c r="C38" s="3"/>
      <x:c r="D38" s="2"/>
      <x:c r="E38" s="3"/>
      <x:c r="F38" s="3"/>
      <x:c r="G38" s="3"/>
      <x:c r="H38" s="3"/>
      <x:c r="I38" s="2"/>
      <x:c r="J38" s="3"/>
      <x:c r="K38" s="3"/>
      <x:c r="L38" s="3"/>
      <x:c r="M38" s="3"/>
    </x:row>
    <x:row r="39" ht="30" customHeight="1">
      <x:c r="A39" s="2"/>
      <x:c r="B39" s="3"/>
      <x:c r="C39" s="3"/>
      <x:c r="D39" s="2"/>
      <x:c r="E39" s="3"/>
      <x:c r="F39" s="3"/>
      <x:c r="G39" s="3"/>
      <x:c r="H39" s="3"/>
      <x:c r="I39" s="2"/>
      <x:c r="J39" s="3"/>
      <x:c r="K39" s="3"/>
      <x:c r="L39" s="3"/>
      <x:c r="M39" s="3"/>
    </x:row>
    <x:row r="40" ht="30" customHeight="1">
      <x:c r="A40" s="2"/>
      <x:c r="B40" s="3"/>
      <x:c r="C40" s="3"/>
      <x:c r="D40" s="2"/>
      <x:c r="E40" s="3"/>
      <x:c r="F40" s="3"/>
      <x:c r="G40" s="3"/>
      <x:c r="H40" s="3"/>
      <x:c r="I40" s="2"/>
      <x:c r="J40" s="3"/>
      <x:c r="K40" s="3"/>
      <x:c r="L40" s="3"/>
      <x:c r="M40" s="3"/>
    </x:row>
    <x:row r="41" ht="30" customHeight="1">
      <x:c r="A41" s="2"/>
      <x:c r="B41" s="3"/>
      <x:c r="C41" s="3"/>
      <x:c r="D41" s="2"/>
      <x:c r="E41" s="3"/>
      <x:c r="F41" s="3"/>
      <x:c r="G41" s="3"/>
      <x:c r="H41" s="3"/>
      <x:c r="I41" s="2"/>
      <x:c r="J41" s="3"/>
      <x:c r="K41" s="3"/>
      <x:c r="L41" s="3"/>
      <x:c r="M41" s="3"/>
    </x:row>
    <x:row r="42" ht="30" customHeight="1">
      <x:c r="A42" s="2"/>
      <x:c r="B42" s="3"/>
      <x:c r="C42" s="3"/>
      <x:c r="D42" s="2"/>
      <x:c r="E42" s="3"/>
      <x:c r="F42" s="3"/>
      <x:c r="G42" s="3"/>
      <x:c r="H42" s="3"/>
      <x:c r="I42" s="2"/>
      <x:c r="J42" s="3"/>
      <x:c r="K42" s="3"/>
      <x:c r="L42" s="3"/>
      <x:c r="M42" s="3"/>
    </x:row>
    <x:row r="43" ht="30" customHeight="1">
      <x:c r="A43" s="2"/>
      <x:c r="B43" s="3"/>
      <x:c r="C43" s="3"/>
      <x:c r="D43" s="2"/>
      <x:c r="E43" s="3"/>
      <x:c r="F43" s="3"/>
      <x:c r="G43" s="3"/>
      <x:c r="H43" s="3"/>
      <x:c r="I43" s="2"/>
      <x:c r="J43" s="3"/>
      <x:c r="K43" s="3"/>
      <x:c r="L43" s="3"/>
      <x:c r="M43" s="3"/>
    </x:row>
    <x:row r="44" ht="30" customHeight="1">
      <x:c r="A44" s="2"/>
      <x:c r="B44" s="3"/>
      <x:c r="C44" s="3"/>
      <x:c r="D44" s="2"/>
      <x:c r="E44" s="3"/>
      <x:c r="F44" s="3"/>
      <x:c r="G44" s="3"/>
      <x:c r="H44" s="3"/>
      <x:c r="I44" s="2"/>
      <x:c r="J44" s="3"/>
      <x:c r="K44" s="3"/>
      <x:c r="L44" s="3"/>
      <x:c r="M44" s="3"/>
    </x:row>
    <x:row r="45" ht="30" customHeight="1">
      <x:c r="A45" s="2"/>
      <x:c r="B45" s="3"/>
      <x:c r="C45" s="3"/>
      <x:c r="D45" s="2"/>
      <x:c r="E45" s="3"/>
      <x:c r="F45" s="3"/>
      <x:c r="G45" s="3"/>
      <x:c r="H45" s="3"/>
      <x:c r="I45" s="2"/>
      <x:c r="J45" s="3"/>
      <x:c r="K45" s="3"/>
      <x:c r="L45" s="3"/>
      <x:c r="M45" s="3"/>
    </x:row>
    <x:row r="46" ht="30" customHeight="1">
      <x:c r="A46" s="2"/>
      <x:c r="B46" s="3"/>
      <x:c r="C46" s="3"/>
      <x:c r="D46" s="2"/>
      <x:c r="E46" s="3"/>
      <x:c r="F46" s="3"/>
      <x:c r="G46" s="3"/>
      <x:c r="H46" s="3"/>
      <x:c r="I46" s="2"/>
      <x:c r="J46" s="3"/>
      <x:c r="K46" s="3"/>
      <x:c r="L46" s="3"/>
      <x:c r="M46" s="3"/>
    </x:row>
    <x:row r="47" ht="30" customHeight="1">
      <x:c r="A47" s="2"/>
      <x:c r="B47" s="3"/>
      <x:c r="C47" s="3"/>
      <x:c r="D47" s="2"/>
      <x:c r="E47" s="3"/>
      <x:c r="F47" s="3"/>
      <x:c r="G47" s="3"/>
      <x:c r="H47" s="3"/>
      <x:c r="I47" s="2"/>
      <x:c r="J47" s="3"/>
      <x:c r="K47" s="3"/>
      <x:c r="L47" s="3"/>
      <x:c r="M47" s="3"/>
    </x:row>
    <x:row r="48" ht="30" customHeight="1">
      <x:c r="A48" s="2"/>
      <x:c r="B48" s="3"/>
      <x:c r="C48" s="3"/>
      <x:c r="D48" s="2"/>
      <x:c r="E48" s="3"/>
      <x:c r="F48" s="3"/>
      <x:c r="G48" s="3"/>
      <x:c r="H48" s="3"/>
      <x:c r="I48" s="2"/>
      <x:c r="J48" s="3"/>
      <x:c r="K48" s="3"/>
      <x:c r="L48" s="3"/>
      <x:c r="M48" s="3"/>
    </x:row>
    <x:row r="49" ht="30" customHeight="1">
      <x:c r="A49" s="2"/>
      <x:c r="B49" s="3"/>
      <x:c r="C49" s="3"/>
      <x:c r="D49" s="2"/>
      <x:c r="E49" s="3"/>
      <x:c r="F49" s="3"/>
      <x:c r="G49" s="3"/>
      <x:c r="H49" s="3"/>
      <x:c r="I49" s="2"/>
      <x:c r="J49" s="3"/>
      <x:c r="K49" s="3"/>
      <x:c r="L49" s="3"/>
      <x:c r="M49" s="3"/>
    </x:row>
    <x:row r="50" ht="30" customHeight="1">
      <x:c r="A50" s="2"/>
      <x:c r="B50" s="3"/>
      <x:c r="C50" s="3"/>
      <x:c r="D50" s="2"/>
      <x:c r="E50" s="3"/>
      <x:c r="F50" s="3"/>
      <x:c r="G50" s="3"/>
      <x:c r="H50" s="3"/>
      <x:c r="I50" s="2"/>
      <x:c r="J50" s="3"/>
      <x:c r="K50" s="3"/>
      <x:c r="L50" s="3"/>
      <x:c r="M50" s="3"/>
    </x:row>
    <x:row r="51" ht="30" customHeight="1">
      <x:c r="A51" s="2"/>
      <x:c r="B51" s="3"/>
      <x:c r="C51" s="3"/>
      <x:c r="D51" s="2"/>
      <x:c r="E51" s="3"/>
      <x:c r="F51" s="3"/>
      <x:c r="G51" s="3"/>
      <x:c r="H51" s="3"/>
      <x:c r="I51" s="2"/>
      <x:c r="J51" s="3"/>
      <x:c r="K51" s="3"/>
      <x:c r="L51" s="3"/>
      <x:c r="M51" s="3"/>
    </x:row>
    <x:row r="52" ht="30" customHeight="1">
      <x:c r="A52" s="2"/>
      <x:c r="B52" s="3"/>
      <x:c r="C52" s="3"/>
      <x:c r="D52" s="2"/>
      <x:c r="E52" s="3"/>
      <x:c r="F52" s="3"/>
      <x:c r="G52" s="3"/>
      <x:c r="H52" s="3"/>
      <x:c r="I52" s="2"/>
      <x:c r="J52" s="3"/>
      <x:c r="K52" s="3"/>
      <x:c r="L52" s="3"/>
      <x:c r="M52" s="3"/>
    </x:row>
    <x:row r="53" ht="30" customHeight="1">
      <x:c r="A53" s="2"/>
      <x:c r="B53" s="3"/>
      <x:c r="C53" s="3"/>
      <x:c r="D53" s="2"/>
      <x:c r="E53" s="3"/>
      <x:c r="F53" s="3"/>
      <x:c r="G53" s="3"/>
      <x:c r="H53" s="3"/>
      <x:c r="I53" s="2"/>
      <x:c r="J53" s="3"/>
      <x:c r="K53" s="3"/>
      <x:c r="L53" s="3"/>
      <x:c r="M53" s="3"/>
    </x:row>
    <x:row r="54" ht="30" customHeight="1">
      <x:c r="A54" s="2"/>
      <x:c r="B54" s="3"/>
      <x:c r="C54" s="3"/>
      <x:c r="D54" s="2"/>
      <x:c r="E54" s="3"/>
      <x:c r="F54" s="3"/>
      <x:c r="G54" s="3"/>
      <x:c r="H54" s="3"/>
      <x:c r="I54" s="2"/>
      <x:c r="J54" s="3"/>
      <x:c r="K54" s="3"/>
      <x:c r="L54" s="3"/>
      <x:c r="M54" s="3"/>
    </x:row>
    <x:row r="55" ht="30" customHeight="1">
      <x:c r="A55" s="2"/>
      <x:c r="B55" s="3"/>
      <x:c r="C55" s="3"/>
      <x:c r="D55" s="2"/>
      <x:c r="E55" s="3"/>
      <x:c r="F55" s="3"/>
      <x:c r="G55" s="3"/>
      <x:c r="H55" s="3"/>
      <x:c r="I55" s="2"/>
      <x:c r="J55" s="3"/>
      <x:c r="K55" s="3"/>
      <x:c r="L55" s="3"/>
      <x:c r="M55" s="3"/>
    </x:row>
    <x:row r="56" ht="30" customHeight="1">
      <x:c r="A56" s="2"/>
      <x:c r="B56" s="3"/>
      <x:c r="C56" s="3"/>
      <x:c r="D56" s="2"/>
      <x:c r="E56" s="3"/>
      <x:c r="F56" s="3"/>
      <x:c r="G56" s="3"/>
      <x:c r="H56" s="3"/>
      <x:c r="I56" s="2"/>
      <x:c r="J56" s="3"/>
      <x:c r="K56" s="3"/>
      <x:c r="L56" s="3"/>
      <x:c r="M56" s="3"/>
    </x:row>
    <x:row r="57" ht="30" customHeight="1">
      <x:c r="A57" s="2"/>
      <x:c r="B57" s="3"/>
      <x:c r="C57" s="3"/>
      <x:c r="D57" s="2"/>
      <x:c r="E57" s="3"/>
      <x:c r="F57" s="3"/>
      <x:c r="G57" s="3"/>
      <x:c r="H57" s="3"/>
      <x:c r="I57" s="2"/>
      <x:c r="J57" s="3"/>
      <x:c r="K57" s="3"/>
      <x:c r="L57" s="3"/>
      <x:c r="M57" s="3"/>
    </x:row>
    <x:row r="58" ht="30" customHeight="1">
      <x:c r="A58" s="2"/>
      <x:c r="B58" s="3"/>
      <x:c r="C58" s="3"/>
      <x:c r="D58" s="2"/>
      <x:c r="E58" s="3"/>
      <x:c r="F58" s="3"/>
      <x:c r="G58" s="3"/>
      <x:c r="H58" s="3"/>
      <x:c r="I58" s="2"/>
      <x:c r="J58" s="3"/>
      <x:c r="K58" s="3"/>
      <x:c r="L58" s="3"/>
      <x:c r="M58" s="3"/>
    </x:row>
    <x:row r="59" ht="30" customHeight="1">
      <x:c r="A59" s="2"/>
      <x:c r="B59" s="3"/>
      <x:c r="C59" s="3"/>
      <x:c r="D59" s="2"/>
      <x:c r="E59" s="3"/>
      <x:c r="F59" s="3"/>
      <x:c r="G59" s="3"/>
      <x:c r="H59" s="3"/>
      <x:c r="I59" s="2"/>
      <x:c r="J59" s="3"/>
      <x:c r="K59" s="3"/>
      <x:c r="L59" s="3"/>
      <x:c r="M59" s="3"/>
    </x:row>
    <x:row r="60" ht="30" customHeight="1">
      <x:c r="A60" s="2"/>
      <x:c r="B60" s="3"/>
      <x:c r="C60" s="3"/>
      <x:c r="D60" s="2"/>
      <x:c r="E60" s="3"/>
      <x:c r="F60" s="3"/>
      <x:c r="G60" s="3"/>
      <x:c r="H60" s="3"/>
      <x:c r="I60" s="2"/>
      <x:c r="J60" s="3"/>
      <x:c r="K60" s="3"/>
      <x:c r="L60" s="3"/>
      <x:c r="M60" s="3"/>
    </x:row>
  </x:sheetData>
  <x:mergeCells>
    <x:mergeCell ref="A1:Q1"/>
    <x:mergeCell ref="A2:Q2"/>
  </x:mergeCells>
  <x:conditionalFormatting sqref="A5:M60">
    <x:cfRule type="expression" dxfId="8" priority="5">
      <x:formula>AND($A5&lt;&gt;"",$J5="")</x:formula>
    </x:cfRule>
  </x:conditionalFormatting>
  <x:conditionalFormatting sqref="I5:I60">
    <x:cfRule type="cellIs" dxfId="7" priority="2" operator="equal">
      <x:formula>"Must"</x:formula>
    </x:cfRule>
    <x:cfRule type="cellIs" dxfId="6" priority="3" operator="equal">
      <x:formula>"Should"</x:formula>
    </x:cfRule>
    <x:cfRule type="cellIs" dxfId="5" priority="4" operator="equal">
      <x:formula>"Could"</x:formula>
    </x:cfRule>
  </x:conditionalFormatting>
  <x:dataValidations count="7">
    <x:dataValidation type="list" allowBlank="1" errorTitle="Valor no permitido" error="Seleccione un valor de la lista desplegable." sqref="M5:M60 K5:K60 I5:I60 G5:G60 D5:E60">
      <x:formula1>#REF!</x:formula1>
      <x:formula2>0</x:formula2>
    </x:dataValidation>
    <x:dataValidation type="list" sqref="D5:D21">
      <x:formula1>"Funcional,No funcional"</x:formula1>
    </x:dataValidation>
    <x:dataValidation type="list" sqref="E5:E21">
      <x:formula1>"—,Usabilidad,Rendimiento,Seguridad,Confiabilidad,Mantenibilidad"</x:formula1>
    </x:dataValidation>
    <x:dataValidation type="list" sqref="G5:G21">
      <x:formula1>"Entrevista,Proceso de negocio,Regla de negocio,Evidencia de campo,Registros actuales,Necesidad del proyecto,Necesidad operativa,Restricción técnica,Plan del proyecto"</x:formula1>
    </x:dataValidation>
    <x:dataValidation type="list" sqref="I5:I21">
      <x:formula1>"Must,Should,Could"</x:formula1>
    </x:dataValidation>
    <x:dataValidation type="list" sqref="K5:K21">
      <x:formula1>"Proveedores,Rendimiento / Acopio,Acopio / Pagos,Calidad,Calidad / Proveedores,Proveedores / Calidad,Pagos,Dashboard,ResumenZonas,Quesos,Excel / Datos,Reportes,Transversal,Seguridad,Datos / Respaldo"</x:formula1>
    </x:dataValidation>
    <x:dataValidation type="list" sqref="M5:M21">
      <x:formula1>"Propuesto,Aprobado,En desarrollo,Implementado,En mantenimiento"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3A66"/>
  </x:sheetPr>
  <x:sheetViews>
    <x:sheetView showGridLines="0" workbookViewId="0"/>
  </x:sheetViews>
  <x:sheetFormatPr defaultColWidth="8.7109375" defaultRowHeight="15"/>
  <x:cols>
    <x:col min="1" max="1" width="9" hidden="0" customWidth="1"/>
    <x:col min="2" max="2" width="16" hidden="0" customWidth="1"/>
    <x:col min="3" max="3" width="42" hidden="0" customWidth="1"/>
    <x:col min="4" max="4" width="38" hidden="0" customWidth="1"/>
    <x:col min="5" max="5" width="48" hidden="0" customWidth="1"/>
    <x:col min="6" max="6" width="25" hidden="0" customWidth="1"/>
    <x:col min="7" max="7" width="13" hidden="0" customWidth="1"/>
    <x:col min="8" max="8" width="18" hidden="0" customWidth="1"/>
  </x:cols>
  <x:sheetData>
    <x:row r="1" ht="30" customHeight="1">
      <x:c r="A1" s="8" t="str">
        <x:v>CASOS DE PRUEBA - HUATA LÁCTEOS</x:v>
      </x:c>
      <x:c r="B1" s="8"/>
      <x:c r="C1" s="8"/>
      <x:c r="D1" s="8"/>
      <x:c r="E1" s="8"/>
      <x:c r="F1" s="8"/>
      <x:c r="G1" s="8"/>
      <x:c r="H1"/>
    </x:row>
    <x:row r="2" ht="18" customHeight="1">
      <x:c r="A2" s="9" t="str">
        <x:v>Casos mínimos de validación derivados de los requerimientos corregidos.</x:v>
      </x:c>
      <x:c r="B2" s="9"/>
      <x:c r="C2" s="9"/>
      <x:c r="D2" s="9"/>
      <x:c r="E2" s="9"/>
      <x:c r="F2" s="9"/>
      <x:c r="G2" s="9"/>
      <x:c r="H2"/>
    </x:row>
    <x:row r="3">
      <x:c r="A3"/>
      <x:c r="B3"/>
      <x:c r="C3"/>
      <x:c r="D3"/>
      <x:c r="E3"/>
      <x:c r="F3"/>
      <x:c r="G3"/>
      <x:c r="H3"/>
    </x:row>
    <x:row r="4" ht="30" customHeight="1">
      <x:c r="A4" s="5" t="str">
        <x:v>ID</x:v>
      </x:c>
      <x:c r="B4" s="5" t="str">
        <x:v>Requisito</x:v>
      </x:c>
      <x:c r="C4" s="5" t="str">
        <x:v>Escenario</x:v>
      </x:c>
      <x:c r="D4" s="5" t="str">
        <x:v>Datos / precondición</x:v>
      </x:c>
      <x:c r="E4" s="5" t="str">
        <x:v>Resultado esperado</x:v>
      </x:c>
      <x:c r="F4" s="5" t="str">
        <x:v>Resultado obtenido</x:v>
      </x:c>
      <x:c r="G4" s="5" t="str">
        <x:v>Estado</x:v>
      </x:c>
      <x:c r="H4" t="str">
        <x:v>Sprint</x:v>
      </x:c>
    </x:row>
    <x:row r="5" ht="42" customHeight="1">
      <x:c r="A5" s="2" t="str">
        <x:v>CP-01</x:v>
      </x:c>
      <x:c r="B5" s="2" t="str">
        <x:v>RF-01</x:v>
      </x:c>
      <x:c r="C5" s="3" t="str">
        <x:v>Validar: gestionar productores.</x:v>
      </x:c>
      <x:c r="D5" s="3" t="str">
        <x:v>Datos válidos del flujo y usuario con permisos correspondientes.</x:v>
      </x:c>
      <x:c r="E5" s="3" t="str">
        <x:v>Se puede crear, consultar y actualizar un productor; la información queda disponible para recojos y reportes.</x:v>
      </x:c>
      <x:c r="F5" s="3"/>
      <x:c r="G5" s="2" t="str">
        <x:v>Pendiente</x:v>
      </x:c>
      <x:c r="H5" t="str">
        <x:v>Sprint 4</x:v>
      </x:c>
    </x:row>
    <x:row r="6" ht="42" customHeight="1">
      <x:c r="A6" s="2" t="str">
        <x:v>CP-02</x:v>
      </x:c>
      <x:c r="B6" s="2" t="str">
        <x:v>RF-02</x:v>
      </x:c>
      <x:c r="C6" s="3" t="str">
        <x:v>Validar: gestionar acopiadores.</x:v>
      </x:c>
      <x:c r="D6" s="3" t="str">
        <x:v>Datos válidos del flujo y usuario con permisos correspondientes.</x:v>
      </x:c>
      <x:c r="E6" s="3" t="str">
        <x:v>El administrador puede registrar y consultar acopiadores y asociarlos a la operación correspondiente.</x:v>
      </x:c>
      <x:c r="F6" s="3"/>
      <x:c r="G6" s="2" t="str">
        <x:v>Pendiente</x:v>
      </x:c>
      <x:c r="H6" t="str">
        <x:v>Sprint 4</x:v>
      </x:c>
    </x:row>
    <x:row r="7" ht="42" customHeight="1">
      <x:c r="A7" s="2" t="str">
        <x:v>CP-03</x:v>
      </x:c>
      <x:c r="B7" s="2" t="str">
        <x:v>RF-03</x:v>
      </x:c>
      <x:c r="C7" s="3" t="str">
        <x:v>Validar: gestionar rutas.</x:v>
      </x:c>
      <x:c r="D7" s="3" t="str">
        <x:v>Datos válidos del flujo y usuario con permisos correspondientes.</x:v>
      </x:c>
      <x:c r="E7" s="3" t="str">
        <x:v>Las rutas pueden registrarse y consultarse; el acopiador puede visualizar la ruta del día.</x:v>
      </x:c>
      <x:c r="F7" s="3"/>
      <x:c r="G7" s="2" t="str">
        <x:v>Pendiente</x:v>
      </x:c>
      <x:c r="H7" t="str">
        <x:v>Sprint 4</x:v>
      </x:c>
    </x:row>
    <x:row r="8" ht="42" customHeight="1">
      <x:c r="A8" s="2" t="str">
        <x:v>CP-04</x:v>
      </x:c>
      <x:c r="B8" s="2" t="str">
        <x:v>RF-04</x:v>
      </x:c>
      <x:c r="C8" s="3" t="str">
        <x:v>Validar: gestionar centros de acopio.</x:v>
      </x:c>
      <x:c r="D8" s="3" t="str">
        <x:v>Datos válidos del flujo y usuario con permisos correspondientes.</x:v>
      </x:c>
      <x:c r="E8" s="3" t="str">
        <x:v>Los centros de acopio pueden crearse, consultarse y usarse en la gestión operativa.</x:v>
      </x:c>
      <x:c r="F8" s="3"/>
      <x:c r="G8" s="2" t="str">
        <x:v>Pendiente</x:v>
      </x:c>
      <x:c r="H8" t="str">
        <x:v>Sprint 4</x:v>
      </x:c>
    </x:row>
    <x:row r="9" ht="42" customHeight="1">
      <x:c r="A9" s="2" t="str">
        <x:v>CP-05</x:v>
      </x:c>
      <x:c r="B9" s="2" t="str">
        <x:v>RF-05</x:v>
      </x:c>
      <x:c r="C9" s="3" t="str">
        <x:v>Validar: registrar recojo de leche.</x:v>
      </x:c>
      <x:c r="D9" s="3" t="str">
        <x:v>Datos válidos del flujo y usuario con permisos correspondientes.</x:v>
      </x:c>
      <x:c r="E9" s="3" t="str">
        <x:v>Un recojo válido queda persistido con productor, cantidad, calidad y fecha y puede consultarse posteriormente.</x:v>
      </x:c>
      <x:c r="F9" s="3"/>
      <x:c r="G9" s="2" t="str">
        <x:v>Pendiente</x:v>
      </x:c>
      <x:c r="H9" t="str">
        <x:v>Sprint 5</x:v>
      </x:c>
    </x:row>
    <x:row r="10" ht="42" customHeight="1">
      <x:c r="A10" s="2" t="str">
        <x:v>CP-06</x:v>
      </x:c>
      <x:c r="B10" s="2" t="str">
        <x:v>RF-06</x:v>
      </x:c>
      <x:c r="C10" s="3" t="str">
        <x:v>Validar: registrar control de calidad.</x:v>
      </x:c>
      <x:c r="D10" s="3" t="str">
        <x:v>Datos válidos del flujo y usuario con permisos correspondientes.</x:v>
      </x:c>
      <x:c r="E10" s="3" t="str">
        <x:v>El control queda asociado al recojo y conserva densidad, acidez, temperatura y observaciones disponibles.</x:v>
      </x:c>
      <x:c r="F10" s="3"/>
      <x:c r="G10" s="2" t="str">
        <x:v>Pendiente</x:v>
      </x:c>
      <x:c r="H10" t="str">
        <x:v>Sprint 5</x:v>
      </x:c>
    </x:row>
    <x:row r="11" ht="42" customHeight="1">
      <x:c r="A11" s="2" t="str">
        <x:v>CP-07</x:v>
      </x:c>
      <x:c r="B11" s="2" t="str">
        <x:v>RF-07</x:v>
      </x:c>
      <x:c r="C11" s="3" t="str">
        <x:v>Validar: calcular liquidación.</x:v>
      </x:c>
      <x:c r="D11" s="3" t="str">
        <x:v>Datos válidos del flujo y usuario con permisos correspondientes.</x:v>
      </x:c>
      <x:c r="E11" s="3" t="str">
        <x:v>El sistema genera una liquidación consistente con los datos de cantidad y calidad del recojo y permite su consulta.</x:v>
      </x:c>
      <x:c r="F11" s="3"/>
      <x:c r="G11" s="2" t="str">
        <x:v>Pendiente</x:v>
      </x:c>
      <x:c r="H11" t="str">
        <x:v>Sprint 5</x:v>
      </x:c>
    </x:row>
    <x:row r="12" ht="42" customHeight="1">
      <x:c r="A12" s="2" t="str">
        <x:v>CP-08</x:v>
      </x:c>
      <x:c r="B12" s="2" t="str">
        <x:v>RF-08</x:v>
      </x:c>
      <x:c r="C12" s="3" t="str">
        <x:v>Validar: consultar liquidaciones por productor y fecha.</x:v>
      </x:c>
      <x:c r="D12" s="3" t="str">
        <x:v>Datos válidos del flujo y usuario con permisos correspondientes.</x:v>
      </x:c>
      <x:c r="E12" s="3" t="str">
        <x:v>El filtro por productor y fecha devuelve únicamente las liquidaciones correspondientes.</x:v>
      </x:c>
      <x:c r="F12" s="3"/>
      <x:c r="G12" s="2" t="str">
        <x:v>Pendiente</x:v>
      </x:c>
      <x:c r="H12" t="str">
        <x:v>Sprint 5</x:v>
      </x:c>
    </x:row>
    <x:row r="13" ht="42" customHeight="1">
      <x:c r="A13" s="2" t="str">
        <x:v>CP-09</x:v>
      </x:c>
      <x:c r="B13" s="2" t="str">
        <x:v>RF-09</x:v>
      </x:c>
      <x:c r="C13" s="3" t="str">
        <x:v>Validar: registrar recojo sin conexión.</x:v>
      </x:c>
      <x:c r="D13" s="3" t="str">
        <x:v>Datos válidos del flujo y usuario con permisos correspondientes.</x:v>
      </x:c>
      <x:c r="E13" s="3" t="str">
        <x:v>El acopiador puede completar y guardar un recojo en modo offline sin perder los datos capturados.</x:v>
      </x:c>
      <x:c r="F13" s="3"/>
      <x:c r="G13" s="2" t="str">
        <x:v>Pendiente</x:v>
      </x:c>
      <x:c r="H13" t="str">
        <x:v>Sprint 5</x:v>
      </x:c>
    </x:row>
    <x:row r="14" ht="42" customHeight="1">
      <x:c r="A14" s="2" t="str">
        <x:v>CP-10</x:v>
      </x:c>
      <x:c r="B14" s="2" t="str">
        <x:v>RF-10</x:v>
      </x:c>
      <x:c r="C14" s="3" t="str">
        <x:v>Validar: sincronizar datos offline.</x:v>
      </x:c>
      <x:c r="D14" s="3" t="str">
        <x:v>Datos válidos del flujo y usuario con permisos correspondientes.</x:v>
      </x:c>
      <x:c r="E14" s="3" t="str">
        <x:v>Los registros pendientes se sincronizan posteriormente sin duplicarse y quedan disponibles en el servidor.</x:v>
      </x:c>
      <x:c r="F14" s="3"/>
      <x:c r="G14" s="2" t="str">
        <x:v>Pendiente</x:v>
      </x:c>
      <x:c r="H14" t="str">
        <x:v>Sprint 5</x:v>
      </x:c>
    </x:row>
    <x:row r="15" ht="42" customHeight="1">
      <x:c r="A15" s="2" t="str">
        <x:v>CP-11</x:v>
      </x:c>
      <x:c r="B15" s="2" t="str">
        <x:v>RF-11</x:v>
      </x:c>
      <x:c r="C15" s="3" t="str">
        <x:v>Validar: consultar productores asignados.</x:v>
      </x:c>
      <x:c r="D15" s="3" t="str">
        <x:v>Datos válidos del flujo y usuario con permisos correspondientes.</x:v>
      </x:c>
      <x:c r="E15" s="3" t="str">
        <x:v>El acopiador visualiza la lista de productores asignados y puede seleccionar uno durante el recojo.</x:v>
      </x:c>
      <x:c r="F15" s="3"/>
      <x:c r="G15" s="2" t="str">
        <x:v>Pendiente</x:v>
      </x:c>
      <x:c r="H15" t="str">
        <x:v>Sprint 4</x:v>
      </x:c>
    </x:row>
    <x:row r="16" ht="42" customHeight="1">
      <x:c r="A16" s="2" t="str">
        <x:v>CP-12</x:v>
      </x:c>
      <x:c r="B16" s="2" t="str">
        <x:v>RF-12</x:v>
      </x:c>
      <x:c r="C16" s="3" t="str">
        <x:v>Validar: gestionar ruta del día.</x:v>
      </x:c>
      <x:c r="D16" s="3" t="str">
        <x:v>Datos válidos del flujo y usuario con permisos correspondientes.</x:v>
      </x:c>
      <x:c r="E16" s="3" t="str">
        <x:v>La app muestra la ruta vigente y los elementos necesarios para ejecutar el recojo planificado.</x:v>
      </x:c>
      <x:c r="F16" s="3"/>
      <x:c r="G16" s="2" t="str">
        <x:v>Pendiente</x:v>
      </x:c>
      <x:c r="H16" t="str">
        <x:v>Sprint 4</x:v>
      </x:c>
    </x:row>
    <x:row r="17" ht="42" customHeight="1">
      <x:c r="A17" s="2" t="str">
        <x:v>CP-13</x:v>
      </x:c>
      <x:c r="B17" s="2" t="str">
        <x:v>RF-13</x:v>
      </x:c>
      <x:c r="C17" s="3" t="str">
        <x:v>Validar: capturar evidencia por recojo.</x:v>
      </x:c>
      <x:c r="D17" s="3" t="str">
        <x:v>Datos válidos del flujo y usuario con permisos correspondientes.</x:v>
      </x:c>
      <x:c r="E17" s="3" t="str">
        <x:v>La evidencia seleccionada queda vinculada al recojo correspondiente y puede recuperarse con él.</x:v>
      </x:c>
      <x:c r="F17" s="3"/>
      <x:c r="G17" s="2" t="str">
        <x:v>Pendiente</x:v>
      </x:c>
      <x:c r="H17" t="str">
        <x:v>Sprint 5</x:v>
      </x:c>
    </x:row>
    <x:row r="18" ht="42" customHeight="1">
      <x:c r="A18" s="2" t="str">
        <x:v>CP-14</x:v>
      </x:c>
      <x:c r="B18" s="2" t="str">
        <x:v>RF-14</x:v>
      </x:c>
      <x:c r="C18" s="3" t="str">
        <x:v>Validar: generar reportes y dashboard.</x:v>
      </x:c>
      <x:c r="D18" s="3" t="str">
        <x:v>Datos válidos del flujo y usuario con permisos correspondientes.</x:v>
      </x:c>
      <x:c r="E18" s="3" t="str">
        <x:v>Los totales del dashboard y reportes coinciden con los recojos almacenados y pueden filtrarse por los criterios definidos.</x:v>
      </x:c>
      <x:c r="F18" s="3"/>
      <x:c r="G18" s="2" t="str">
        <x:v>Pendiente</x:v>
      </x:c>
      <x:c r="H18" t="str">
        <x:v>Sprint 6</x:v>
      </x:c>
    </x:row>
    <x:row r="19" ht="42" customHeight="1">
      <x:c r="A19" s="2" t="str">
        <x:v>CP-15</x:v>
      </x:c>
      <x:c r="B19" s="2" t="str">
        <x:v>RF-15</x:v>
      </x:c>
      <x:c r="C19" s="3" t="str">
        <x:v>Validar: administrar usuarios y roles.</x:v>
      </x:c>
      <x:c r="D19" s="3" t="str">
        <x:v>Datos válidos del flujo y usuario con permisos correspondientes.</x:v>
      </x:c>
      <x:c r="E19" s="3" t="str">
        <x:v>Un administrador puede crear/actualizar usuarios y asignar roles; los permisos se aplican al iniciar sesión.</x:v>
      </x:c>
      <x:c r="F19" s="3"/>
      <x:c r="G19" s="2" t="str">
        <x:v>Pendiente</x:v>
      </x:c>
      <x:c r="H19" t="str">
        <x:v>Sprint 6</x:v>
      </x:c>
    </x:row>
    <x:row r="20" ht="42" customHeight="1">
      <x:c r="A20" s="2" t="str">
        <x:v>CP-16</x:v>
      </x:c>
      <x:c r="B20" s="2" t="str">
        <x:v>RF-16</x:v>
      </x:c>
      <x:c r="C20" s="3" t="str">
        <x:v>Validar: autenticar usuarios con jwt.</x:v>
      </x:c>
      <x:c r="D20" s="3" t="str">
        <x:v>Datos válidos del flujo y usuario con permisos correspondientes.</x:v>
      </x:c>
      <x:c r="E20" s="3" t="str">
        <x:v>Un usuario válido obtiene acceso autenticado y un usuario sin credenciales válidas no accede a funciones protegidas.</x:v>
      </x:c>
      <x:c r="F20" s="3"/>
      <x:c r="G20" s="2" t="str">
        <x:v>Pendiente</x:v>
      </x:c>
      <x:c r="H20" t="str">
        <x:v>Sprint 3</x:v>
      </x:c>
    </x:row>
    <x:row r="21" ht="42" customHeight="1">
      <x:c r="A21" s="2" t="str">
        <x:v>CP-17</x:v>
      </x:c>
      <x:c r="B21" s="2" t="str">
        <x:v>RF-17</x:v>
      </x:c>
      <x:c r="C21" s="3" t="str">
        <x:v>Validar: consultar historial personal de recojos.</x:v>
      </x:c>
      <x:c r="D21" s="3" t="str">
        <x:v>Datos válidos del flujo y usuario con permisos correspondientes.</x:v>
      </x:c>
      <x:c r="E21" s="3" t="str">
        <x:v>El acopiador puede revisar sus recojos registrados y el historial mostrado corresponde a sus datos.</x:v>
      </x:c>
      <x:c r="F21" s="3"/>
      <x:c r="G21" s="2" t="str">
        <x:v>Pendiente</x:v>
      </x:c>
      <x:c r="H21" t="str">
        <x:v>Sprint 6</x:v>
      </x:c>
    </x:row>
    <x:row r="22" ht="42" customHeight="1">
      <x:c r="A22" s="2" t="str">
        <x:v>CP-18</x:v>
      </x:c>
      <x:c r="B22" s="2" t="str">
        <x:v>RF-18</x:v>
      </x:c>
      <x:c r="C22" s="3" t="str">
        <x:v>Validar: recibir notificaciones.</x:v>
      </x:c>
      <x:c r="D22" s="3" t="str">
        <x:v>Datos válidos del flujo y usuario con permisos correspondientes.</x:v>
      </x:c>
      <x:c r="E22" s="3" t="str">
        <x:v>Una notificación configurada puede generarse y recibirse por el canal previsto sin afectar el resto de módulos.</x:v>
      </x:c>
      <x:c r="F22" s="3"/>
      <x:c r="G22" s="2" t="str">
        <x:v>Pendiente</x:v>
      </x:c>
      <x:c r="H22" t="str">
        <x:v>Sprint 6</x:v>
      </x:c>
    </x:row>
    <x:row r="23" ht="42" customHeight="1">
      <x:c r="A23" s="2" t="str">
        <x:v>CP-19</x:v>
      </x:c>
      <x:c r="B23" s="2" t="str">
        <x:v>RNF-01</x:v>
      </x:c>
      <x:c r="C23" s="3" t="str">
        <x:v>Verificar requisito no funcional: interfaz intuitiva y responsive.</x:v>
      </x:c>
      <x:c r="D23" s="3" t="str">
        <x:v>Ambiente de prueba configurado y datos representativos.</x:v>
      </x:c>
      <x:c r="E23" s="3" t="str">
        <x:v>Las funciones principales son legibles y utilizables en resoluciones comunes sin pérdida de controles esenciales.</x:v>
      </x:c>
      <x:c r="F23" s="3"/>
      <x:c r="G23" s="2" t="str">
        <x:v>Pendiente</x:v>
      </x:c>
      <x:c r="H23" t="str">
        <x:v>Transversal</x:v>
      </x:c>
    </x:row>
    <x:row r="24" ht="42" customHeight="1">
      <x:c r="A24" s="2" t="str">
        <x:v>CP-20</x:v>
      </x:c>
      <x:c r="B24" s="2" t="str">
        <x:v>RNF-02</x:v>
      </x:c>
      <x:c r="C24" s="3" t="str">
        <x:v>Verificar requisito no funcional: seguridad de la información.</x:v>
      </x:c>
      <x:c r="D24" s="3" t="str">
        <x:v>Ambiente de prueba configurado y datos representativos.</x:v>
      </x:c>
      <x:c r="E24" s="3" t="str">
        <x:v>Las funciones protegidas requieren autenticación y las comunicaciones de producción utilizan HTTPS.</x:v>
      </x:c>
      <x:c r="F24" s="3"/>
      <x:c r="G24" s="2" t="str">
        <x:v>Pendiente</x:v>
      </x:c>
      <x:c r="H24" t="str">
        <x:v>Sprint 3 / 8</x:v>
      </x:c>
    </x:row>
    <x:row r="25" ht="42" customHeight="1">
      <x:c r="A25" s="2" t="str">
        <x:v>CP-21</x:v>
      </x:c>
      <x:c r="B25" s="2" t="str">
        <x:v>RNF-03</x:v>
      </x:c>
      <x:c r="C25" s="3" t="str">
        <x:v>Verificar requisito no funcional: compatibilidad android.</x:v>
      </x:c>
      <x:c r="D25" s="3" t="str">
        <x:v>Ambiente de prueba configurado y datos representativos.</x:v>
      </x:c>
      <x:c r="E25" s="3" t="str">
        <x:v>La APK se instala y permite ejecutar los flujos principales en dispositivos Android compatibles.</x:v>
      </x:c>
      <x:c r="F25" s="3"/>
      <x:c r="G25" s="2" t="str">
        <x:v>Pendiente</x:v>
      </x:c>
      <x:c r="H25" t="str">
        <x:v>Sprint 8</x:v>
      </x:c>
    </x:row>
    <x:row r="26" ht="42" customHeight="1">
      <x:c r="A26" s="2" t="str">
        <x:v>CP-22</x:v>
      </x:c>
      <x:c r="B26" s="2" t="str">
        <x:v>RNF-04</x:v>
      </x:c>
      <x:c r="C26" s="3" t="str">
        <x:v>Verificar requisito no funcional: compatibilidad web.</x:v>
      </x:c>
      <x:c r="D26" s="3" t="str">
        <x:v>Ambiente de prueba configurado y datos representativos.</x:v>
      </x:c>
      <x:c r="E26" s="3" t="str">
        <x:v>Las funciones críticas se ejecutan correctamente en los navegadores indicados.</x:v>
      </x:c>
      <x:c r="F26" s="3"/>
      <x:c r="G26" s="2" t="str">
        <x:v>Pendiente</x:v>
      </x:c>
      <x:c r="H26" t="str">
        <x:v>Transversal</x:v>
      </x:c>
    </x:row>
    <x:row r="27" ht="42" customHeight="1">
      <x:c r="A27" s="2" t="str">
        <x:v>CP-23</x:v>
      </x:c>
      <x:c r="B27" s="2" t="str">
        <x:v>RNF-05</x:v>
      </x:c>
      <x:c r="C27" s="3" t="str">
        <x:v>Verificar requisito no funcional: rendimiento y estabilidad.</x:v>
      </x:c>
      <x:c r="D27" s="3" t="str">
        <x:v>Ambiente de prueba configurado y datos representativos.</x:v>
      </x:c>
      <x:c r="E27" s="3" t="str">
        <x:v>Los flujos habituales se completan sin bloqueos y las pruebas no funcionales no detectan fallos críticos de rendimiento.</x:v>
      </x:c>
      <x:c r="F27" s="3"/>
      <x:c r="G27" s="2" t="str">
        <x:v>Pendiente</x:v>
      </x:c>
      <x:c r="H27" t="str">
        <x:v>Sprint 7</x:v>
      </x:c>
    </x:row>
    <x:row r="28" ht="42" customHeight="1">
      <x:c r="A28" s="2" t="str">
        <x:v>CP-24</x:v>
      </x:c>
      <x:c r="B28" s="2" t="str">
        <x:v>RNF-06</x:v>
      </x:c>
      <x:c r="C28" s="3" t="str">
        <x:v>Verificar requisito no funcional: persistencia de datos.</x:v>
      </x:c>
      <x:c r="D28" s="3" t="str">
        <x:v>Ambiente de prueba configurado y datos representativos.</x:v>
      </x:c>
      <x:c r="E28" s="3" t="str">
        <x:v>Los datos del servidor se almacenan en PostgreSQL y los registros offline en SQLite hasta su sincronización.</x:v>
      </x:c>
      <x:c r="F28" s="3"/>
      <x:c r="G28" s="2" t="str">
        <x:v>Pendiente</x:v>
      </x:c>
      <x:c r="H28" t="str">
        <x:v>Sprint 3 / 5</x:v>
      </x:c>
    </x:row>
    <x:row r="29" ht="42" customHeight="1">
      <x:c r="A29" s="2" t="str">
        <x:v>CP-25</x:v>
      </x:c>
      <x:c r="B29" s="2" t="str">
        <x:v>RNF-07</x:v>
      </x:c>
      <x:c r="C29" s="3" t="str">
        <x:v>Verificar requisito no funcional: disponibilidad en producción.</x:v>
      </x:c>
      <x:c r="D29" s="3" t="str">
        <x:v>Ambiente de prueba configurado y datos representativos.</x:v>
      </x:c>
      <x:c r="E29" s="3" t="str">
        <x:v>El backend y la web quedan accesibles en producción y superan las pruebas de humo posteriores al despliegue.</x:v>
      </x:c>
      <x:c r="F29" s="3"/>
      <x:c r="G29" s="2" t="str">
        <x:v>Pendiente</x:v>
      </x:c>
      <x:c r="H29" t="str">
        <x:v>Sprint 8</x:v>
      </x:c>
    </x:row>
    <x:row r="30" ht="42" customHeight="1">
      <x:c r="A30" s="2" t="str">
        <x:v>CP-26</x:v>
      </x:c>
      <x:c r="B30" s="2" t="str">
        <x:v>RNF-08</x:v>
      </x:c>
      <x:c r="C30" s="3" t="str">
        <x:v>Verificar requisito no funcional: integridad y respaldo.</x:v>
      </x:c>
      <x:c r="D30" s="3" t="str">
        <x:v>Ambiente de prueba configurado y datos representativos.</x:v>
      </x:c>
      <x:c r="E30" s="3" t="str">
        <x:v>La carga inicial se valida y existe un procedimiento de respaldo/recuperación documentado para producción.</x:v>
      </x:c>
      <x:c r="F30" s="3"/>
      <x:c r="G30" s="2" t="str">
        <x:v>Pendiente</x:v>
      </x:c>
      <x:c r="H30" t="str">
        <x:v>Sprint 8</x:v>
      </x:c>
    </x:row>
    <x:row r="31" ht="42" customHeight="1">
      <x:c r="A31" s="2" t="str">
        <x:v>CP-27</x:v>
      </x:c>
      <x:c r="B31" s="2" t="str">
        <x:v>RNF-09</x:v>
      </x:c>
      <x:c r="C31" s="3" t="str">
        <x:v>Verificar requisito no funcional: mantenibilidad y documentación.</x:v>
      </x:c>
      <x:c r="D31" s="3" t="str">
        <x:v>Ambiente de prueba configurado y datos representativos.</x:v>
      </x:c>
      <x:c r="E31" s="3" t="str">
        <x:v>Se entregan manual de usuario, manual técnico y documentación de API/código prevista por el cronograma.</x:v>
      </x:c>
      <x:c r="F31" s="3"/>
      <x:c r="G31" s="2" t="str">
        <x:v>Pendiente</x:v>
      </x:c>
      <x:c r="H31" t="str">
        <x:v>Sprint 4 / 7 / Cierre</x:v>
      </x:c>
    </x:row>
    <x:row r="32" ht="27.75" customHeight="1">
      <x:c r="A32" s="2"/>
      <x:c r="B32" s="2"/>
      <x:c r="C32" s="3"/>
      <x:c r="D32" s="3"/>
      <x:c r="E32" s="3"/>
      <x:c r="F32" s="3"/>
      <x:c r="G32" s="2"/>
    </x:row>
    <x:row r="33" ht="27.75" customHeight="1">
      <x:c r="A33" s="2"/>
      <x:c r="B33" s="2"/>
      <x:c r="C33" s="3"/>
      <x:c r="D33" s="3"/>
      <x:c r="E33" s="3"/>
      <x:c r="F33" s="3"/>
      <x:c r="G33" s="2"/>
    </x:row>
    <x:row r="34" ht="27.75" customHeight="1">
      <x:c r="A34" s="2"/>
      <x:c r="B34" s="2"/>
      <x:c r="C34" s="3"/>
      <x:c r="D34" s="3"/>
      <x:c r="E34" s="3"/>
      <x:c r="F34" s="3"/>
      <x:c r="G34" s="2"/>
    </x:row>
    <x:row r="35" ht="27.75" customHeight="1">
      <x:c r="A35" s="2"/>
      <x:c r="B35" s="2"/>
      <x:c r="C35" s="3"/>
      <x:c r="D35" s="3"/>
      <x:c r="E35" s="3"/>
      <x:c r="F35" s="3"/>
      <x:c r="G35" s="2"/>
    </x:row>
    <x:row r="36" ht="27.75" customHeight="1">
      <x:c r="A36" s="2"/>
      <x:c r="B36" s="2"/>
      <x:c r="C36" s="3"/>
      <x:c r="D36" s="3"/>
      <x:c r="E36" s="3"/>
      <x:c r="F36" s="3"/>
      <x:c r="G36" s="2"/>
    </x:row>
    <x:row r="37" ht="27.75" customHeight="1">
      <x:c r="A37" s="2"/>
      <x:c r="B37" s="2"/>
      <x:c r="C37" s="3"/>
      <x:c r="D37" s="3"/>
      <x:c r="E37" s="3"/>
      <x:c r="F37" s="3"/>
      <x:c r="G37" s="2"/>
    </x:row>
    <x:row r="38" ht="27.75" customHeight="1">
      <x:c r="A38" s="2"/>
      <x:c r="B38" s="2"/>
      <x:c r="C38" s="3"/>
      <x:c r="D38" s="3"/>
      <x:c r="E38" s="3"/>
      <x:c r="F38" s="3"/>
      <x:c r="G38" s="2"/>
    </x:row>
    <x:row r="39" ht="27.75" customHeight="1">
      <x:c r="A39" s="2"/>
      <x:c r="B39" s="2"/>
      <x:c r="C39" s="3"/>
      <x:c r="D39" s="3"/>
      <x:c r="E39" s="3"/>
      <x:c r="F39" s="3"/>
      <x:c r="G39" s="2"/>
    </x:row>
    <x:row r="40" ht="27.75" customHeight="1">
      <x:c r="A40" s="2"/>
      <x:c r="B40" s="2"/>
      <x:c r="C40" s="3"/>
      <x:c r="D40" s="3"/>
      <x:c r="E40" s="3"/>
      <x:c r="F40" s="3"/>
      <x:c r="G40" s="2"/>
    </x:row>
  </x:sheetData>
  <x:mergeCells>
    <x:mergeCell ref="A1:G1"/>
    <x:mergeCell ref="A2:G2"/>
  </x:mergeCells>
  <x:conditionalFormatting sqref="G5:G40">
    <x:cfRule type="cellIs" dxfId="4" priority="2" operator="equal">
      <x:formula>"Aprobado"</x:formula>
    </x:cfRule>
    <x:cfRule type="cellIs" dxfId="3" priority="3" operator="equal">
      <x:formula>"Fallido"</x:formula>
    </x:cfRule>
  </x:conditionalFormatting>
  <x:dataValidations count="2">
    <x:dataValidation type="list" allowBlank="1" errorTitle="Valor no permitido" error="Seleccione un valor de la lista desplegable." sqref="G5:G40">
      <x:formula1>#REF!</x:formula1>
      <x:formula2>0</x:formula2>
    </x:dataValidation>
    <x:dataValidation type="list" sqref="G5:G21">
      <x:formula1>"Pendiente,Aprobado,Fallido,Bloqueado"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B98600"/>
  </x:sheetPr>
  <x:sheetViews>
    <x:sheetView showGridLines="0" workbookViewId="0"/>
  </x:sheetViews>
  <x:sheetFormatPr defaultColWidth="8.7109375" defaultRowHeight="15"/>
  <x:cols>
    <x:col min="1" max="1" width="12" hidden="0" customWidth="1"/>
    <x:col min="2" max="2" width="27" hidden="0" customWidth="1"/>
    <x:col min="3" max="3" width="15" hidden="0" customWidth="1"/>
    <x:col min="4" max="4" width="22" hidden="0" customWidth="1"/>
    <x:col min="5" max="5" width="18" hidden="0" customWidth="1"/>
    <x:col min="6" max="6" width="22" hidden="0" customWidth="1"/>
    <x:col min="7" max="7" width="16" hidden="0" customWidth="1"/>
    <x:col min="8" max="8" width="38" hidden="0" customWidth="1"/>
    <x:col min="9" max="9" width="14" hidden="0" customWidth="1"/>
    <x:col min="10" max="10" width="16" hidden="0" customWidth="1"/>
  </x:cols>
  <x:sheetData>
    <x:row r="1" ht="30" customHeight="1">
      <x:c r="A1" s="8" t="str">
        <x:v>MATRIZ DE TRAZABILIDAD - HUATA LÁCTEOS</x:v>
      </x:c>
      <x:c r="B1" s="8"/>
      <x:c r="C1" s="8"/>
      <x:c r="D1" s="8"/>
      <x:c r="E1" s="8"/>
      <x:c r="F1" s="8"/>
      <x:c r="G1" s="8"/>
      <x:c r="H1" s="8"/>
      <x:c r="I1" s="8"/>
      <x:c r="J1"/>
    </x:row>
    <x:row r="2" ht="18" customHeight="1">
      <x:c r="A2" s="9" t="str">
        <x:v>Relación requisito -&gt; fuente -&gt; cronograma -&gt; prueba -&gt; componente.</x:v>
      </x:c>
      <x:c r="B2" s="9"/>
      <x:c r="C2" s="9"/>
      <x:c r="D2" s="9"/>
      <x:c r="E2" s="9"/>
      <x:c r="F2" s="9"/>
      <x:c r="G2" s="9"/>
      <x:c r="H2" s="9"/>
      <x:c r="I2" s="9"/>
      <x:c r="J2"/>
    </x:row>
    <x:row r="3">
      <x:c r="A3"/>
      <x:c r="B3"/>
      <x:c r="C3"/>
      <x:c r="D3"/>
      <x:c r="E3"/>
      <x:c r="F3"/>
      <x:c r="G3"/>
      <x:c r="H3"/>
      <x:c r="I3"/>
      <x:c r="J3"/>
    </x:row>
    <x:row r="4" ht="33.75" customHeight="1">
      <x:c r="A4" s="5" t="str">
        <x:v>ID requisito</x:v>
      </x:c>
      <x:c r="B4" s="5" t="str">
        <x:v>Nombre</x:v>
      </x:c>
      <x:c r="C4" s="5" t="str">
        <x:v>Fuente Charter</x:v>
      </x:c>
      <x:c r="D4" s="5" t="str">
        <x:v>IDs Cronograma_2026</x:v>
      </x:c>
      <x:c r="E4" s="5" t="str">
        <x:v>Sprint</x:v>
      </x:c>
      <x:c r="F4" s="5" t="str">
        <x:v>Componente</x:v>
      </x:c>
      <x:c r="G4" s="5" t="str">
        <x:v>Caso de prueba</x:v>
      </x:c>
      <x:c r="H4" s="5" t="str">
        <x:v>Entregable / evidencia</x:v>
      </x:c>
      <x:c r="I4" s="5" t="str">
        <x:v>Estado</x:v>
      </x:c>
      <x:c r="J4" t="str">
        <x:v>Trazabilidad</x:v>
      </x:c>
    </x:row>
    <x:row r="5" ht="36" customHeight="1">
      <x:c r="A5" s="6" t="str">
        <x:v>RF-01</x:v>
      </x:c>
      <x:c r="B5" s="7" t="str">
        <x:v>Gestionar productores</x:v>
      </x:c>
      <x:c r="C5" s="7" t="str">
        <x:v>Sí</x:v>
      </x:c>
      <x:c r="D5" s="6" t="str">
        <x:v>68,71</x:v>
      </x:c>
      <x:c r="E5" s="7" t="str">
        <x:v>Sprint 4</x:v>
      </x:c>
      <x:c r="F5" s="6" t="str">
        <x:v>Productores</x:v>
      </x:c>
      <x:c r="G5" s="3" t="str">
        <x:v>CP-01</x:v>
      </x:c>
      <x:c r="H5" s="3" t="str">
        <x:v>Prueba funcional / evidencia del módulo</x:v>
      </x:c>
      <x:c r="I5" s="6" t="str">
        <x:f t="shared" ref="I5:I36" si="0">IF(A5="","",IF(AND(C5&lt;&gt;"",E5&lt;&gt;"",F5&lt;&gt;"SIN PRUEBA",G5&lt;&gt;""),"Completa","Incompleta"))</x:f>
        <x:v>Aprobado</x:v>
      </x:c>
      <x:c r="J5" t="str">
        <x:v>Completa</x:v>
      </x:c>
    </x:row>
    <x:row r="6" ht="36" customHeight="1">
      <x:c r="A6" s="6" t="str">
        <x:v>RF-02</x:v>
      </x:c>
      <x:c r="B6" s="7" t="str">
        <x:v>Gestionar acopiadores</x:v>
      </x:c>
      <x:c r="C6" s="7" t="str">
        <x:v>Sí</x:v>
      </x:c>
      <x:c r="D6" s="6" t="str">
        <x:v>69</x:v>
      </x:c>
      <x:c r="E6" s="7" t="str">
        <x:v>Sprint 4</x:v>
      </x:c>
      <x:c r="F6" s="6" t="str">
        <x:v>Acopiadores</x:v>
      </x:c>
      <x:c r="G6" s="3" t="str">
        <x:v>CP-02</x:v>
      </x:c>
      <x:c r="H6" s="3" t="str">
        <x:v>Prueba funcional / evidencia del módulo</x:v>
      </x:c>
      <x:c r="I6" s="6" t="str">
        <x:f t="shared" si="0"/>
        <x:v>Aprobado</x:v>
      </x:c>
      <x:c r="J6" t="str">
        <x:v>Completa</x:v>
      </x:c>
    </x:row>
    <x:row r="7" ht="36" customHeight="1">
      <x:c r="A7" s="6" t="str">
        <x:v>RF-03</x:v>
      </x:c>
      <x:c r="B7" s="7" t="str">
        <x:v>Gestionar rutas</x:v>
      </x:c>
      <x:c r="C7" s="7" t="str">
        <x:v>Sí</x:v>
      </x:c>
      <x:c r="D7" s="6" t="str">
        <x:v>69,72,74</x:v>
      </x:c>
      <x:c r="E7" s="7" t="str">
        <x:v>Sprint 4</x:v>
      </x:c>
      <x:c r="F7" s="6" t="str">
        <x:v>Rutas</x:v>
      </x:c>
      <x:c r="G7" s="3" t="str">
        <x:v>CP-03</x:v>
      </x:c>
      <x:c r="H7" s="3" t="str">
        <x:v>Prueba funcional / evidencia del módulo</x:v>
      </x:c>
      <x:c r="I7" s="6" t="str">
        <x:f t="shared" si="0"/>
        <x:v>Aprobado</x:v>
      </x:c>
      <x:c r="J7" t="str">
        <x:v>Completa</x:v>
      </x:c>
    </x:row>
    <x:row r="8" ht="36" customHeight="1">
      <x:c r="A8" s="6" t="str">
        <x:v>RF-04</x:v>
      </x:c>
      <x:c r="B8" s="7" t="str">
        <x:v>Gestionar centros de acopio</x:v>
      </x:c>
      <x:c r="C8" s="7" t="str">
        <x:v>Sí</x:v>
      </x:c>
      <x:c r="D8" s="6" t="str">
        <x:v>70,72</x:v>
      </x:c>
      <x:c r="E8" s="7" t="str">
        <x:v>Sprint 4</x:v>
      </x:c>
      <x:c r="F8" s="6" t="str">
        <x:v>Centros de acopio</x:v>
      </x:c>
      <x:c r="G8" s="3" t="str">
        <x:v>CP-04</x:v>
      </x:c>
      <x:c r="H8" s="3" t="str">
        <x:v>Prueba funcional / evidencia del módulo</x:v>
      </x:c>
      <x:c r="I8" s="6" t="str">
        <x:f t="shared" si="0"/>
        <x:v>Aprobado</x:v>
      </x:c>
      <x:c r="J8" t="str">
        <x:v>Completa</x:v>
      </x:c>
    </x:row>
    <x:row r="9" ht="36" customHeight="1">
      <x:c r="A9" s="6" t="str">
        <x:v>RF-05</x:v>
      </x:c>
      <x:c r="B9" s="7" t="str">
        <x:v>Registrar recojo de leche</x:v>
      </x:c>
      <x:c r="C9" s="7" t="str">
        <x:v>Sí</x:v>
      </x:c>
      <x:c r="D9" s="6" t="str">
        <x:v>87,93,94</x:v>
      </x:c>
      <x:c r="E9" s="7" t="str">
        <x:v>Sprint 5</x:v>
      </x:c>
      <x:c r="F9" s="6" t="str">
        <x:v>Recojo</x:v>
      </x:c>
      <x:c r="G9" s="3" t="str">
        <x:v>CP-05</x:v>
      </x:c>
      <x:c r="H9" s="3" t="str">
        <x:v>Prueba funcional / evidencia del módulo</x:v>
      </x:c>
      <x:c r="I9" s="6" t="str">
        <x:f t="shared" si="0"/>
        <x:v>Aprobado</x:v>
      </x:c>
      <x:c r="J9" t="str">
        <x:v>Completa</x:v>
      </x:c>
    </x:row>
    <x:row r="10" ht="36" customHeight="1">
      <x:c r="A10" s="6" t="str">
        <x:v>RF-06</x:v>
      </x:c>
      <x:c r="B10" s="7" t="str">
        <x:v>Registrar control de calidad</x:v>
      </x:c>
      <x:c r="C10" s="7" t="str">
        <x:v>Sí</x:v>
      </x:c>
      <x:c r="D10" s="6" t="str">
        <x:v>91</x:v>
      </x:c>
      <x:c r="E10" s="7" t="str">
        <x:v>Sprint 5</x:v>
      </x:c>
      <x:c r="F10" s="6" t="str">
        <x:v>Calidad</x:v>
      </x:c>
      <x:c r="G10" s="3" t="str">
        <x:v>CP-06</x:v>
      </x:c>
      <x:c r="H10" s="3" t="str">
        <x:v>Prueba funcional / evidencia del módulo</x:v>
      </x:c>
      <x:c r="I10" s="6" t="str">
        <x:f t="shared" si="0"/>
        <x:v>Aprobado</x:v>
      </x:c>
      <x:c r="J10" t="str">
        <x:v>Completa</x:v>
      </x:c>
    </x:row>
    <x:row r="11" ht="36" customHeight="1">
      <x:c r="A11" s="6" t="str">
        <x:v>RF-07</x:v>
      </x:c>
      <x:c r="B11" s="7" t="str">
        <x:v>Calcular liquidación</x:v>
      </x:c>
      <x:c r="C11" s="7" t="str">
        <x:v>Sí</x:v>
      </x:c>
      <x:c r="D11" s="6" t="str">
        <x:v>92</x:v>
      </x:c>
      <x:c r="E11" s="7" t="str">
        <x:v>Sprint 5</x:v>
      </x:c>
      <x:c r="F11" s="6" t="str">
        <x:v>Liquidaciones</x:v>
      </x:c>
      <x:c r="G11" s="3" t="str">
        <x:v>CP-07</x:v>
      </x:c>
      <x:c r="H11" s="3" t="str">
        <x:v>Prueba funcional / evidencia del módulo</x:v>
      </x:c>
      <x:c r="I11" s="6" t="str">
        <x:f t="shared" si="0"/>
        <x:v>Aprobado</x:v>
      </x:c>
      <x:c r="J11" t="str">
        <x:v>Completa</x:v>
      </x:c>
    </x:row>
    <x:row r="12" ht="36" customHeight="1">
      <x:c r="A12" s="6" t="str">
        <x:v>RF-08</x:v>
      </x:c>
      <x:c r="B12" s="7" t="str">
        <x:v>Consultar liquidaciones por productor y fecha</x:v>
      </x:c>
      <x:c r="C12" s="7" t="str">
        <x:v>No</x:v>
      </x:c>
      <x:c r="D12" s="6" t="str">
        <x:v>88</x:v>
      </x:c>
      <x:c r="E12" s="7" t="str">
        <x:v>Sprint 5</x:v>
      </x:c>
      <x:c r="F12" s="6" t="str">
        <x:v>Liquidaciones / Web</x:v>
      </x:c>
      <x:c r="G12" s="3" t="str">
        <x:v>CP-08</x:v>
      </x:c>
      <x:c r="H12" s="3" t="str">
        <x:v>Prueba funcional / evidencia del módulo</x:v>
      </x:c>
      <x:c r="I12" s="6" t="str">
        <x:f t="shared" si="0"/>
        <x:v>Planificado</x:v>
      </x:c>
      <x:c r="J12" t="str">
        <x:v>Completa</x:v>
      </x:c>
    </x:row>
    <x:row r="13" ht="36" customHeight="1">
      <x:c r="A13" s="6" t="str">
        <x:v>RF-09</x:v>
      </x:c>
      <x:c r="B13" s="7" t="str">
        <x:v>Registrar recojo sin conexión</x:v>
      </x:c>
      <x:c r="C13" s="7" t="str">
        <x:v>Sí</x:v>
      </x:c>
      <x:c r="D13" s="6" t="str">
        <x:v>94</x:v>
      </x:c>
      <x:c r="E13" s="7" t="str">
        <x:v>Sprint 5</x:v>
      </x:c>
      <x:c r="F13" s="6" t="str">
        <x:v>Móvil</x:v>
      </x:c>
      <x:c r="G13" s="3" t="str">
        <x:v>CP-09</x:v>
      </x:c>
      <x:c r="H13" s="3" t="str">
        <x:v>Prueba funcional / evidencia del módulo</x:v>
      </x:c>
      <x:c r="I13" s="6" t="str">
        <x:f t="shared" si="0"/>
        <x:v>Aprobado</x:v>
      </x:c>
      <x:c r="J13" t="str">
        <x:v>Completa</x:v>
      </x:c>
    </x:row>
    <x:row r="14" ht="36" customHeight="1">
      <x:c r="A14" s="6" t="str">
        <x:v>RF-10</x:v>
      </x:c>
      <x:c r="B14" s="7" t="str">
        <x:v>Sincronizar datos offline</x:v>
      </x:c>
      <x:c r="C14" s="7" t="str">
        <x:v>Sí</x:v>
      </x:c>
      <x:c r="D14" s="6" t="str">
        <x:v>95</x:v>
      </x:c>
      <x:c r="E14" s="7" t="str">
        <x:v>Sprint 5</x:v>
      </x:c>
      <x:c r="F14" s="6" t="str">
        <x:v>Sincronización</x:v>
      </x:c>
      <x:c r="G14" s="3" t="str">
        <x:v>CP-10</x:v>
      </x:c>
      <x:c r="H14" s="3" t="str">
        <x:v>Prueba funcional / evidencia del módulo</x:v>
      </x:c>
      <x:c r="I14" s="6" t="str">
        <x:f t="shared" si="0"/>
        <x:v>Aprobado</x:v>
      </x:c>
      <x:c r="J14" t="str">
        <x:v>Completa</x:v>
      </x:c>
    </x:row>
    <x:row r="15" ht="36" customHeight="1">
      <x:c r="A15" s="6" t="str">
        <x:v>RF-11</x:v>
      </x:c>
      <x:c r="B15" s="7" t="str">
        <x:v>Consultar productores asignados</x:v>
      </x:c>
      <x:c r="C15" s="7" t="str">
        <x:v>No</x:v>
      </x:c>
      <x:c r="D15" s="6" t="str">
        <x:v>73</x:v>
      </x:c>
      <x:c r="E15" s="7" t="str">
        <x:v>Sprint 4</x:v>
      </x:c>
      <x:c r="F15" s="6" t="str">
        <x:v>Móvil / Productores</x:v>
      </x:c>
      <x:c r="G15" s="3" t="str">
        <x:v>CP-11</x:v>
      </x:c>
      <x:c r="H15" s="3" t="str">
        <x:v>Prueba funcional / evidencia del módulo</x:v>
      </x:c>
      <x:c r="I15" s="6" t="str">
        <x:f t="shared" si="0"/>
        <x:v>Planificado</x:v>
      </x:c>
      <x:c r="J15" t="str">
        <x:v>Completa</x:v>
      </x:c>
    </x:row>
    <x:row r="16" ht="36" customHeight="1">
      <x:c r="A16" s="6" t="str">
        <x:v>RF-12</x:v>
      </x:c>
      <x:c r="B16" s="7" t="str">
        <x:v>Gestionar ruta del día</x:v>
      </x:c>
      <x:c r="C16" s="7" t="str">
        <x:v>No</x:v>
      </x:c>
      <x:c r="D16" s="6" t="str">
        <x:v>74</x:v>
      </x:c>
      <x:c r="E16" s="7" t="str">
        <x:v>Sprint 4</x:v>
      </x:c>
      <x:c r="F16" s="6" t="str">
        <x:v>Móvil / Rutas</x:v>
      </x:c>
      <x:c r="G16" s="3" t="str">
        <x:v>CP-12</x:v>
      </x:c>
      <x:c r="H16" s="3" t="str">
        <x:v>Prueba funcional / evidencia del módulo</x:v>
      </x:c>
      <x:c r="I16" s="6" t="str">
        <x:f t="shared" si="0"/>
        <x:v>Planificado</x:v>
      </x:c>
      <x:c r="J16" t="str">
        <x:v>Completa</x:v>
      </x:c>
    </x:row>
    <x:row r="17" ht="36" customHeight="1">
      <x:c r="A17" s="6" t="str">
        <x:v>RF-13</x:v>
      </x:c>
      <x:c r="B17" s="7" t="str">
        <x:v>Capturar evidencia por recojo</x:v>
      </x:c>
      <x:c r="C17" s="7" t="str">
        <x:v>No</x:v>
      </x:c>
      <x:c r="D17" s="6" t="str">
        <x:v>99</x:v>
      </x:c>
      <x:c r="E17" s="7" t="str">
        <x:v>Sprint 5</x:v>
      </x:c>
      <x:c r="F17" s="6" t="str">
        <x:v>Móvil / Evidencias</x:v>
      </x:c>
      <x:c r="G17" s="3" t="str">
        <x:v>CP-13</x:v>
      </x:c>
      <x:c r="H17" s="3" t="str">
        <x:v>Prueba funcional / evidencia del módulo</x:v>
      </x:c>
      <x:c r="I17" s="6" t="str">
        <x:f t="shared" si="0"/>
        <x:v>Planificado</x:v>
      </x:c>
      <x:c r="J17" t="str">
        <x:v>Completa</x:v>
      </x:c>
    </x:row>
    <x:row r="18" ht="36" customHeight="1">
      <x:c r="A18" s="6" t="str">
        <x:v>RF-14</x:v>
      </x:c>
      <x:c r="B18" s="7" t="str">
        <x:v>Generar reportes y dashboard</x:v>
      </x:c>
      <x:c r="C18" s="7" t="str">
        <x:v>Sí</x:v>
      </x:c>
      <x:c r="D18" s="6" t="str">
        <x:v>107,111</x:v>
      </x:c>
      <x:c r="E18" s="7" t="str">
        <x:v>Sprint 6</x:v>
      </x:c>
      <x:c r="F18" s="6" t="str">
        <x:v>Reportes / Dashboard</x:v>
      </x:c>
      <x:c r="G18" s="3" t="str">
        <x:v>CP-14</x:v>
      </x:c>
      <x:c r="H18" s="3" t="str">
        <x:v>Prueba funcional / evidencia del módulo</x:v>
      </x:c>
      <x:c r="I18" s="6" t="str">
        <x:f t="shared" si="0"/>
        <x:v>Aprobado</x:v>
      </x:c>
      <x:c r="J18" t="str">
        <x:v>Completa</x:v>
      </x:c>
    </x:row>
    <x:row r="19" ht="36" customHeight="1">
      <x:c r="A19" s="6" t="str">
        <x:v>RF-15</x:v>
      </x:c>
      <x:c r="B19" s="7" t="str">
        <x:v>Administrar usuarios y roles</x:v>
      </x:c>
      <x:c r="C19" s="7" t="str">
        <x:v>Sí</x:v>
      </x:c>
      <x:c r="D19" s="6" t="str">
        <x:v>112</x:v>
      </x:c>
      <x:c r="E19" s="7" t="str">
        <x:v>Sprint 6</x:v>
      </x:c>
      <x:c r="F19" s="6" t="str">
        <x:v>Usuarios / Roles</x:v>
      </x:c>
      <x:c r="G19" s="3" t="str">
        <x:v>CP-15</x:v>
      </x:c>
      <x:c r="H19" s="3" t="str">
        <x:v>Prueba funcional / evidencia del módulo</x:v>
      </x:c>
      <x:c r="I19" s="6" t="str">
        <x:f t="shared" si="0"/>
        <x:v>Aprobado</x:v>
      </x:c>
      <x:c r="J19" t="str">
        <x:v>Completa</x:v>
      </x:c>
    </x:row>
    <x:row r="20" ht="36" customHeight="1">
      <x:c r="A20" s="6" t="str">
        <x:v>RF-16</x:v>
      </x:c>
      <x:c r="B20" s="7" t="str">
        <x:v>Autenticar usuarios con JWT</x:v>
      </x:c>
      <x:c r="C20" s="7" t="str">
        <x:v>Sí</x:v>
      </x:c>
      <x:c r="D20" s="6" t="str">
        <x:v>53,59</x:v>
      </x:c>
      <x:c r="E20" s="7" t="str">
        <x:v>Sprint 3</x:v>
      </x:c>
      <x:c r="F20" s="6" t="str">
        <x:v>Seguridad</x:v>
      </x:c>
      <x:c r="G20" s="3" t="str">
        <x:v>CP-16</x:v>
      </x:c>
      <x:c r="H20" s="3" t="str">
        <x:v>Prueba funcional / evidencia del módulo</x:v>
      </x:c>
      <x:c r="I20" s="6" t="str">
        <x:f t="shared" si="0"/>
        <x:v>Aprobado</x:v>
      </x:c>
      <x:c r="J20" t="str">
        <x:v>Completa</x:v>
      </x:c>
    </x:row>
    <x:row r="21" ht="36" customHeight="1">
      <x:c r="A21" s="6" t="str">
        <x:v>RF-17</x:v>
      </x:c>
      <x:c r="B21" s="7" t="str">
        <x:v>Consultar historial personal de recojos</x:v>
      </x:c>
      <x:c r="C21" s="7" t="str">
        <x:v>No</x:v>
      </x:c>
      <x:c r="D21" s="6" t="str">
        <x:v>117</x:v>
      </x:c>
      <x:c r="E21" s="7" t="str">
        <x:v>Sprint 6</x:v>
      </x:c>
      <x:c r="F21" s="6" t="str">
        <x:v>Móvil / Historial</x:v>
      </x:c>
      <x:c r="G21" s="3" t="str">
        <x:v>CP-17</x:v>
      </x:c>
      <x:c r="H21" s="3" t="str">
        <x:v>Prueba funcional / evidencia del módulo</x:v>
      </x:c>
      <x:c r="I21" s="6" t="str">
        <x:f t="shared" si="0"/>
        <x:v>Planificado</x:v>
      </x:c>
      <x:c r="J21" t="str">
        <x:v>Completa</x:v>
      </x:c>
    </x:row>
    <x:row r="22" ht="36" customHeight="1">
      <x:c r="A22" s="6" t="str">
        <x:v>RF-18</x:v>
      </x:c>
      <x:c r="B22" s="7" t="str">
        <x:v>Recibir notificaciones</x:v>
      </x:c>
      <x:c r="C22" s="7" t="str">
        <x:v>No</x:v>
      </x:c>
      <x:c r="D22" s="6" t="str">
        <x:v>110,113</x:v>
      </x:c>
      <x:c r="E22" s="7" t="str">
        <x:v>Sprint 6</x:v>
      </x:c>
      <x:c r="F22" s="6" t="str">
        <x:v>Notificaciones</x:v>
      </x:c>
      <x:c r="G22" s="3" t="str">
        <x:v>CP-18</x:v>
      </x:c>
      <x:c r="H22" s="3" t="str">
        <x:v>Prueba funcional / evidencia del módulo</x:v>
      </x:c>
      <x:c r="I22" s="6" t="str">
        <x:f t="shared" si="0"/>
        <x:v>Planificado</x:v>
      </x:c>
      <x:c r="J22" t="str">
        <x:v>Completa</x:v>
      </x:c>
    </x:row>
    <x:row r="23" ht="36" customHeight="1">
      <x:c r="A23" s="6" t="str">
        <x:v>RNF-01</x:v>
      </x:c>
      <x:c r="B23" s="7" t="str">
        <x:v>Interfaz intuitiva y responsive</x:v>
      </x:c>
      <x:c r="C23" s="7" t="str">
        <x:v>Sí</x:v>
      </x:c>
      <x:c r="D23" s="6"/>
      <x:c r="E23" s="7" t="str">
        <x:v>Transversal</x:v>
      </x:c>
      <x:c r="F23" s="6" t="str">
        <x:v>Transversal</x:v>
      </x:c>
      <x:c r="G23" s="3" t="str">
        <x:v>CP-19</x:v>
      </x:c>
      <x:c r="H23" s="3" t="str">
        <x:v>Prueba no funcional / documentación</x:v>
      </x:c>
      <x:c r="I23" s="6" t="str">
        <x:f t="shared" si="0"/>
        <x:v>Aprobado</x:v>
      </x:c>
      <x:c r="J23" t="str">
        <x:v>Completa</x:v>
      </x:c>
    </x:row>
    <x:row r="24" ht="36" customHeight="1">
      <x:c r="A24" s="6" t="str">
        <x:v>RNF-02</x:v>
      </x:c>
      <x:c r="B24" s="7" t="str">
        <x:v>Seguridad de la información</x:v>
      </x:c>
      <x:c r="C24" s="7" t="str">
        <x:v>Sí</x:v>
      </x:c>
      <x:c r="D24" s="6" t="str">
        <x:v>53,59</x:v>
      </x:c>
      <x:c r="E24" s="7" t="str">
        <x:v>Sprint 3 / 8</x:v>
      </x:c>
      <x:c r="F24" s="6" t="str">
        <x:v>Seguridad</x:v>
      </x:c>
      <x:c r="G24" s="3" t="str">
        <x:v>CP-20</x:v>
      </x:c>
      <x:c r="H24" s="3" t="str">
        <x:v>Prueba no funcional / documentación</x:v>
      </x:c>
      <x:c r="I24" s="6" t="str">
        <x:f t="shared" si="0"/>
        <x:v>Aprobado</x:v>
      </x:c>
      <x:c r="J24" t="str">
        <x:v>Completa</x:v>
      </x:c>
    </x:row>
    <x:row r="25" ht="36" customHeight="1">
      <x:c r="A25" s="6" t="str">
        <x:v>RNF-03</x:v>
      </x:c>
      <x:c r="B25" s="7" t="str">
        <x:v>Compatibilidad Android</x:v>
      </x:c>
      <x:c r="C25" s="7" t="str">
        <x:v>Sí</x:v>
      </x:c>
      <x:c r="D25" s="6" t="str">
        <x:v>158</x:v>
      </x:c>
      <x:c r="E25" s="7" t="str">
        <x:v>Sprint 8</x:v>
      </x:c>
      <x:c r="F25" s="6" t="str">
        <x:v>Móvil</x:v>
      </x:c>
      <x:c r="G25" s="3" t="str">
        <x:v>CP-21</x:v>
      </x:c>
      <x:c r="H25" s="3" t="str">
        <x:v>Prueba no funcional / documentación</x:v>
      </x:c>
      <x:c r="I25" s="6" t="str">
        <x:f t="shared" si="0"/>
        <x:v>Aprobado</x:v>
      </x:c>
      <x:c r="J25" t="str">
        <x:v>Completa</x:v>
      </x:c>
    </x:row>
    <x:row r="26" ht="36" customHeight="1">
      <x:c r="A26" s="6" t="str">
        <x:v>RNF-04</x:v>
      </x:c>
      <x:c r="B26" s="7" t="str">
        <x:v>Compatibilidad web</x:v>
      </x:c>
      <x:c r="C26" s="7" t="str">
        <x:v>Sí</x:v>
      </x:c>
      <x:c r="D26" s="6"/>
      <x:c r="E26" s="7" t="str">
        <x:v>Transversal</x:v>
      </x:c>
      <x:c r="F26" s="6" t="str">
        <x:v>Web</x:v>
      </x:c>
      <x:c r="G26" s="3" t="str">
        <x:v>CP-22</x:v>
      </x:c>
      <x:c r="H26" s="3" t="str">
        <x:v>Prueba no funcional / documentación</x:v>
      </x:c>
      <x:c r="I26" s="6" t="str">
        <x:f t="shared" si="0"/>
        <x:v>Aprobado</x:v>
      </x:c>
      <x:c r="J26" t="str">
        <x:v>Completa</x:v>
      </x:c>
    </x:row>
    <x:row r="27" ht="36" customHeight="1">
      <x:c r="A27" s="6" t="str">
        <x:v>RNF-05</x:v>
      </x:c>
      <x:c r="B27" s="7" t="str">
        <x:v>Rendimiento y estabilidad</x:v>
      </x:c>
      <x:c r="C27" s="7" t="str">
        <x:v>Sí</x:v>
      </x:c>
      <x:c r="D27" s="6" t="str">
        <x:v>141</x:v>
      </x:c>
      <x:c r="E27" s="7" t="str">
        <x:v>Sprint 7</x:v>
      </x:c>
      <x:c r="F27" s="6" t="str">
        <x:v>Transversal</x:v>
      </x:c>
      <x:c r="G27" s="3" t="str">
        <x:v>CP-23</x:v>
      </x:c>
      <x:c r="H27" s="3" t="str">
        <x:v>Pruebas no funcionales de rendimiento y seguridad</x:v>
      </x:c>
      <x:c r="I27" s="6" t="str">
        <x:f t="shared" si="0"/>
        <x:v>Aprobado</x:v>
      </x:c>
      <x:c r="J27" t="str">
        <x:v>Completa</x:v>
      </x:c>
    </x:row>
    <x:row r="28" ht="36" customHeight="1">
      <x:c r="A28" s="6" t="str">
        <x:v>RNF-06</x:v>
      </x:c>
      <x:c r="B28" s="7" t="str">
        <x:v>Persistencia de datos</x:v>
      </x:c>
      <x:c r="C28" s="7" t="str">
        <x:v>Sí</x:v>
      </x:c>
      <x:c r="D28" s="6" t="str">
        <x:v>48,95</x:v>
      </x:c>
      <x:c r="E28" s="7" t="str">
        <x:v>Sprint 3 / 5</x:v>
      </x:c>
      <x:c r="F28" s="6" t="str">
        <x:v>Datos</x:v>
      </x:c>
      <x:c r="G28" s="3" t="str">
        <x:v>CP-24</x:v>
      </x:c>
      <x:c r="H28" s="3" t="str">
        <x:v>Prueba no funcional / documentación</x:v>
      </x:c>
      <x:c r="I28" s="6" t="str">
        <x:f t="shared" si="0"/>
        <x:v>Aprobado</x:v>
      </x:c>
      <x:c r="J28" t="str">
        <x:v>Completa</x:v>
      </x:c>
    </x:row>
    <x:row r="29" ht="36" customHeight="1">
      <x:c r="A29" s="6" t="str">
        <x:v>RNF-07</x:v>
      </x:c>
      <x:c r="B29" s="7" t="str">
        <x:v>Disponibilidad en producción</x:v>
      </x:c>
      <x:c r="C29" s="7" t="str">
        <x:v>Sí</x:v>
      </x:c>
      <x:c r="D29" s="6" t="str">
        <x:v>153-155</x:v>
      </x:c>
      <x:c r="E29" s="7" t="str">
        <x:v>Sprint 8</x:v>
      </x:c>
      <x:c r="F29" s="6" t="str">
        <x:v>Infraestructura</x:v>
      </x:c>
      <x:c r="G29" s="3" t="str">
        <x:v>CP-25</x:v>
      </x:c>
      <x:c r="H29" s="3" t="str">
        <x:v>Prueba no funcional / documentación</x:v>
      </x:c>
      <x:c r="I29" s="6" t="str">
        <x:f t="shared" si="0"/>
        <x:v>Aprobado</x:v>
      </x:c>
      <x:c r="J29" t="str">
        <x:v>Completa</x:v>
      </x:c>
    </x:row>
    <x:row r="30" ht="36" customHeight="1">
      <x:c r="A30" s="6" t="str">
        <x:v>RNF-08</x:v>
      </x:c>
      <x:c r="B30" s="7" t="str">
        <x:v>Integridad y respaldo</x:v>
      </x:c>
      <x:c r="C30" s="7" t="str">
        <x:v>Sí</x:v>
      </x:c>
      <x:c r="D30" s="6" t="str">
        <x:v>161,170</x:v>
      </x:c>
      <x:c r="E30" s="7" t="str">
        <x:v>Sprint 8</x:v>
      </x:c>
      <x:c r="F30" s="6" t="str">
        <x:v>Datos / Respaldo</x:v>
      </x:c>
      <x:c r="G30" s="3" t="str">
        <x:v>CP-26</x:v>
      </x:c>
      <x:c r="H30" s="3" t="str">
        <x:v>Prueba no funcional / documentación</x:v>
      </x:c>
      <x:c r="I30" s="6" t="str">
        <x:f t="shared" si="0"/>
        <x:v>Aprobado</x:v>
      </x:c>
      <x:c r="J30" t="str">
        <x:v>Completa</x:v>
      </x:c>
    </x:row>
    <x:row r="31" ht="36" customHeight="1">
      <x:c r="A31" s="6" t="str">
        <x:v>RNF-09</x:v>
      </x:c>
      <x:c r="B31" s="7" t="str">
        <x:v>Mantenibilidad y documentación</x:v>
      </x:c>
      <x:c r="C31" s="7" t="str">
        <x:v>Sí</x:v>
      </x:c>
      <x:c r="D31" s="6" t="str">
        <x:v>79,144,145,178</x:v>
      </x:c>
      <x:c r="E31" s="7" t="str">
        <x:v>Sprint 4 / 7 / Cierre</x:v>
      </x:c>
      <x:c r="F31" s="6" t="str">
        <x:v>Documentación</x:v>
      </x:c>
      <x:c r="G31" s="3" t="str">
        <x:v>CP-27</x:v>
      </x:c>
      <x:c r="H31" s="3" t="str">
        <x:v>Prueba no funcional / documentación</x:v>
      </x:c>
      <x:c r="I31" s="6" t="str">
        <x:f t="shared" si="0"/>
        <x:v>Aprobado</x:v>
      </x:c>
      <x:c r="J31" t="str">
        <x:v>Completa</x:v>
      </x:c>
    </x:row>
    <x:row r="32" ht="25.5" customHeight="1">
      <x:c r="A32" s="6"/>
      <x:c r="B32" s="7"/>
      <x:c r="C32" s="7"/>
      <x:c r="D32" s="6"/>
      <x:c r="E32" s="7"/>
      <x:c r="F32" s="6"/>
      <x:c r="G32" s="3"/>
      <x:c r="H32" s="3"/>
      <x:c r="I32" s="6">
        <x:f t="shared" si="0"/>
      </x:c>
    </x:row>
    <x:row r="33" ht="25.5" customHeight="1">
      <x:c r="A33" s="6"/>
      <x:c r="B33" s="7"/>
      <x:c r="C33" s="7"/>
      <x:c r="D33" s="6"/>
      <x:c r="E33" s="7"/>
      <x:c r="F33" s="6"/>
      <x:c r="G33" s="3"/>
      <x:c r="H33" s="3"/>
      <x:c r="I33" s="6">
        <x:f t="shared" si="0"/>
      </x:c>
    </x:row>
    <x:row r="34" ht="25.5" customHeight="1">
      <x:c r="A34" s="6"/>
      <x:c r="B34" s="7"/>
      <x:c r="C34" s="7"/>
      <x:c r="D34" s="6"/>
      <x:c r="E34" s="7"/>
      <x:c r="F34" s="6"/>
      <x:c r="G34" s="3"/>
      <x:c r="H34" s="3"/>
      <x:c r="I34" s="6">
        <x:f t="shared" si="0"/>
      </x:c>
    </x:row>
    <x:row r="35" ht="25.5" customHeight="1">
      <x:c r="A35" s="6"/>
      <x:c r="B35" s="7"/>
      <x:c r="C35" s="7"/>
      <x:c r="D35" s="6"/>
      <x:c r="E35" s="7"/>
      <x:c r="F35" s="6"/>
      <x:c r="G35" s="3"/>
      <x:c r="H35" s="3"/>
      <x:c r="I35" s="6">
        <x:f t="shared" si="0"/>
      </x:c>
    </x:row>
    <x:row r="36" ht="25.5" customHeight="1">
      <x:c r="A36" s="6"/>
      <x:c r="B36" s="7"/>
      <x:c r="C36" s="7"/>
      <x:c r="D36" s="6"/>
      <x:c r="E36" s="7"/>
      <x:c r="F36" s="6"/>
      <x:c r="G36" s="3"/>
      <x:c r="H36" s="3"/>
      <x:c r="I36" s="6">
        <x:f t="shared" si="0"/>
      </x:c>
    </x:row>
    <x:row r="37" ht="25.5" customHeight="1">
      <x:c r="A37" s="6"/>
      <x:c r="B37" s="7"/>
      <x:c r="C37" s="7"/>
      <x:c r="D37" s="6"/>
      <x:c r="E37" s="7"/>
      <x:c r="F37" s="6"/>
      <x:c r="G37" s="3"/>
      <x:c r="H37" s="3"/>
      <x:c r="I37" s="6">
        <x:f t="shared" ref="I37:I60" si="1">IF(A37="","",IF(AND(C37&lt;&gt;"",E37&lt;&gt;"",F37&lt;&gt;"SIN PRUEBA",G37&lt;&gt;""),"Completa","Incompleta"))</x:f>
      </x:c>
    </x:row>
    <x:row r="38" ht="25.5" customHeight="1">
      <x:c r="A38" s="6"/>
      <x:c r="B38" s="7"/>
      <x:c r="C38" s="7"/>
      <x:c r="D38" s="6"/>
      <x:c r="E38" s="7"/>
      <x:c r="F38" s="6"/>
      <x:c r="G38" s="3"/>
      <x:c r="H38" s="3"/>
      <x:c r="I38" s="6">
        <x:f t="shared" si="1"/>
      </x:c>
    </x:row>
    <x:row r="39" ht="25.5" customHeight="1">
      <x:c r="A39" s="6"/>
      <x:c r="B39" s="7"/>
      <x:c r="C39" s="7"/>
      <x:c r="D39" s="6"/>
      <x:c r="E39" s="7"/>
      <x:c r="F39" s="6"/>
      <x:c r="G39" s="3"/>
      <x:c r="H39" s="3"/>
      <x:c r="I39" s="6">
        <x:f t="shared" si="1"/>
      </x:c>
    </x:row>
    <x:row r="40" ht="25.5" customHeight="1">
      <x:c r="A40" s="6"/>
      <x:c r="B40" s="7"/>
      <x:c r="C40" s="7"/>
      <x:c r="D40" s="6"/>
      <x:c r="E40" s="7"/>
      <x:c r="F40" s="6"/>
      <x:c r="G40" s="3"/>
      <x:c r="H40" s="3"/>
      <x:c r="I40" s="6">
        <x:f t="shared" si="1"/>
      </x:c>
    </x:row>
    <x:row r="41" ht="25.5" customHeight="1">
      <x:c r="A41" s="6" t="str">
        <x:f>IF('Matriz Requerimientos'!A41="","",'Matriz Requerimientos'!A41)</x:f>
      </x:c>
      <x:c r="B41" s="7" t="str">
        <x:f>IF('Matriz Requerimientos'!A41="","",'Matriz Requerimientos'!B41)</x:f>
      </x:c>
      <x:c r="C41" s="7" t="str">
        <x:f>IF('Matriz Requerimientos'!A41="","",'Matriz Requerimientos'!H41)</x:f>
      </x:c>
      <x:c r="D41" s="6" t="str">
        <x:f>IF('Matriz Requerimientos'!A41="","",'Matriz Requerimientos'!I41)</x:f>
      </x:c>
      <x:c r="E41" s="7" t="str">
        <x:f>IF('Matriz Requerimientos'!A41="","",'Matriz Requerimientos'!K41)</x:f>
      </x:c>
      <x:c r="F41" s="6" t="str">
        <x:f>IF('Matriz Requerimientos'!A41="","",IF(COUNTIF('Casos de Prueba'!$B$5:$B$40,'Matriz Requerimientos'!A41)=0,"SIN PRUEBA",COUNTIF('Casos de Prueba'!$B$5:$B$40,'Matriz Requerimientos'!A41)&amp;" caso(s)"))</x:f>
      </x:c>
      <x:c r="G41" s="3"/>
      <x:c r="H41" s="3"/>
      <x:c r="I41" s="6" t="str">
        <x:f t="shared" si="1"/>
      </x:c>
    </x:row>
    <x:row r="42" ht="25.5" customHeight="1">
      <x:c r="A42" s="6" t="str">
        <x:f>IF('Matriz Requerimientos'!A42="","",'Matriz Requerimientos'!A42)</x:f>
      </x:c>
      <x:c r="B42" s="7" t="str">
        <x:f>IF('Matriz Requerimientos'!A42="","",'Matriz Requerimientos'!B42)</x:f>
      </x:c>
      <x:c r="C42" s="7" t="str">
        <x:f>IF('Matriz Requerimientos'!A42="","",'Matriz Requerimientos'!H42)</x:f>
      </x:c>
      <x:c r="D42" s="6" t="str">
        <x:f>IF('Matriz Requerimientos'!A42="","",'Matriz Requerimientos'!I42)</x:f>
      </x:c>
      <x:c r="E42" s="7" t="str">
        <x:f>IF('Matriz Requerimientos'!A42="","",'Matriz Requerimientos'!K42)</x:f>
      </x:c>
      <x:c r="F42" s="6" t="str">
        <x:f>IF('Matriz Requerimientos'!A42="","",IF(COUNTIF('Casos de Prueba'!$B$5:$B$40,'Matriz Requerimientos'!A42)=0,"SIN PRUEBA",COUNTIF('Casos de Prueba'!$B$5:$B$40,'Matriz Requerimientos'!A42)&amp;" caso(s)"))</x:f>
      </x:c>
      <x:c r="G42" s="3"/>
      <x:c r="H42" s="3"/>
      <x:c r="I42" s="6" t="str">
        <x:f t="shared" si="1"/>
      </x:c>
    </x:row>
    <x:row r="43" ht="25.5" customHeight="1">
      <x:c r="A43" s="6" t="str">
        <x:f>IF('Matriz Requerimientos'!A43="","",'Matriz Requerimientos'!A43)</x:f>
      </x:c>
      <x:c r="B43" s="7" t="str">
        <x:f>IF('Matriz Requerimientos'!A43="","",'Matriz Requerimientos'!B43)</x:f>
      </x:c>
      <x:c r="C43" s="7" t="str">
        <x:f>IF('Matriz Requerimientos'!A43="","",'Matriz Requerimientos'!H43)</x:f>
      </x:c>
      <x:c r="D43" s="6" t="str">
        <x:f>IF('Matriz Requerimientos'!A43="","",'Matriz Requerimientos'!I43)</x:f>
      </x:c>
      <x:c r="E43" s="7" t="str">
        <x:f>IF('Matriz Requerimientos'!A43="","",'Matriz Requerimientos'!K43)</x:f>
      </x:c>
      <x:c r="F43" s="6" t="str">
        <x:f>IF('Matriz Requerimientos'!A43="","",IF(COUNTIF('Casos de Prueba'!$B$5:$B$40,'Matriz Requerimientos'!A43)=0,"SIN PRUEBA",COUNTIF('Casos de Prueba'!$B$5:$B$40,'Matriz Requerimientos'!A43)&amp;" caso(s)"))</x:f>
      </x:c>
      <x:c r="G43" s="3"/>
      <x:c r="H43" s="3"/>
      <x:c r="I43" s="6" t="str">
        <x:f t="shared" si="1"/>
      </x:c>
    </x:row>
    <x:row r="44" ht="25.5" customHeight="1">
      <x:c r="A44" s="6" t="str">
        <x:f>IF('Matriz Requerimientos'!A44="","",'Matriz Requerimientos'!A44)</x:f>
      </x:c>
      <x:c r="B44" s="7" t="str">
        <x:f>IF('Matriz Requerimientos'!A44="","",'Matriz Requerimientos'!B44)</x:f>
      </x:c>
      <x:c r="C44" s="7" t="str">
        <x:f>IF('Matriz Requerimientos'!A44="","",'Matriz Requerimientos'!H44)</x:f>
      </x:c>
      <x:c r="D44" s="6" t="str">
        <x:f>IF('Matriz Requerimientos'!A44="","",'Matriz Requerimientos'!I44)</x:f>
      </x:c>
      <x:c r="E44" s="7" t="str">
        <x:f>IF('Matriz Requerimientos'!A44="","",'Matriz Requerimientos'!K44)</x:f>
      </x:c>
      <x:c r="F44" s="6" t="str">
        <x:f>IF('Matriz Requerimientos'!A44="","",IF(COUNTIF('Casos de Prueba'!$B$5:$B$40,'Matriz Requerimientos'!A44)=0,"SIN PRUEBA",COUNTIF('Casos de Prueba'!$B$5:$B$40,'Matriz Requerimientos'!A44)&amp;" caso(s)"))</x:f>
      </x:c>
      <x:c r="G44" s="3"/>
      <x:c r="H44" s="3"/>
      <x:c r="I44" s="6" t="str">
        <x:f t="shared" si="1"/>
      </x:c>
    </x:row>
    <x:row r="45" ht="25.5" customHeight="1">
      <x:c r="A45" s="6" t="str">
        <x:f>IF('Matriz Requerimientos'!A45="","",'Matriz Requerimientos'!A45)</x:f>
      </x:c>
      <x:c r="B45" s="7" t="str">
        <x:f>IF('Matriz Requerimientos'!A45="","",'Matriz Requerimientos'!B45)</x:f>
      </x:c>
      <x:c r="C45" s="7" t="str">
        <x:f>IF('Matriz Requerimientos'!A45="","",'Matriz Requerimientos'!H45)</x:f>
      </x:c>
      <x:c r="D45" s="6" t="str">
        <x:f>IF('Matriz Requerimientos'!A45="","",'Matriz Requerimientos'!I45)</x:f>
      </x:c>
      <x:c r="E45" s="7" t="str">
        <x:f>IF('Matriz Requerimientos'!A45="","",'Matriz Requerimientos'!K45)</x:f>
      </x:c>
      <x:c r="F45" s="6" t="str">
        <x:f>IF('Matriz Requerimientos'!A45="","",IF(COUNTIF('Casos de Prueba'!$B$5:$B$40,'Matriz Requerimientos'!A45)=0,"SIN PRUEBA",COUNTIF('Casos de Prueba'!$B$5:$B$40,'Matriz Requerimientos'!A45)&amp;" caso(s)"))</x:f>
      </x:c>
      <x:c r="G45" s="3"/>
      <x:c r="H45" s="3"/>
      <x:c r="I45" s="6" t="str">
        <x:f t="shared" si="1"/>
      </x:c>
    </x:row>
    <x:row r="46" ht="25.5" customHeight="1">
      <x:c r="A46" s="6" t="str">
        <x:f>IF('Matriz Requerimientos'!A46="","",'Matriz Requerimientos'!A46)</x:f>
      </x:c>
      <x:c r="B46" s="7" t="str">
        <x:f>IF('Matriz Requerimientos'!A46="","",'Matriz Requerimientos'!B46)</x:f>
      </x:c>
      <x:c r="C46" s="7" t="str">
        <x:f>IF('Matriz Requerimientos'!A46="","",'Matriz Requerimientos'!H46)</x:f>
      </x:c>
      <x:c r="D46" s="6" t="str">
        <x:f>IF('Matriz Requerimientos'!A46="","",'Matriz Requerimientos'!I46)</x:f>
      </x:c>
      <x:c r="E46" s="7" t="str">
        <x:f>IF('Matriz Requerimientos'!A46="","",'Matriz Requerimientos'!K46)</x:f>
      </x:c>
      <x:c r="F46" s="6" t="str">
        <x:f>IF('Matriz Requerimientos'!A46="","",IF(COUNTIF('Casos de Prueba'!$B$5:$B$40,'Matriz Requerimientos'!A46)=0,"SIN PRUEBA",COUNTIF('Casos de Prueba'!$B$5:$B$40,'Matriz Requerimientos'!A46)&amp;" caso(s)"))</x:f>
      </x:c>
      <x:c r="G46" s="3"/>
      <x:c r="H46" s="3"/>
      <x:c r="I46" s="6" t="str">
        <x:f t="shared" si="1"/>
      </x:c>
    </x:row>
    <x:row r="47" ht="25.5" customHeight="1">
      <x:c r="A47" s="6" t="str">
        <x:f>IF('Matriz Requerimientos'!A47="","",'Matriz Requerimientos'!A47)</x:f>
      </x:c>
      <x:c r="B47" s="7" t="str">
        <x:f>IF('Matriz Requerimientos'!A47="","",'Matriz Requerimientos'!B47)</x:f>
      </x:c>
      <x:c r="C47" s="7" t="str">
        <x:f>IF('Matriz Requerimientos'!A47="","",'Matriz Requerimientos'!H47)</x:f>
      </x:c>
      <x:c r="D47" s="6" t="str">
        <x:f>IF('Matriz Requerimientos'!A47="","",'Matriz Requerimientos'!I47)</x:f>
      </x:c>
      <x:c r="E47" s="7" t="str">
        <x:f>IF('Matriz Requerimientos'!A47="","",'Matriz Requerimientos'!K47)</x:f>
      </x:c>
      <x:c r="F47" s="6" t="str">
        <x:f>IF('Matriz Requerimientos'!A47="","",IF(COUNTIF('Casos de Prueba'!$B$5:$B$40,'Matriz Requerimientos'!A47)=0,"SIN PRUEBA",COUNTIF('Casos de Prueba'!$B$5:$B$40,'Matriz Requerimientos'!A47)&amp;" caso(s)"))</x:f>
      </x:c>
      <x:c r="G47" s="3"/>
      <x:c r="H47" s="3"/>
      <x:c r="I47" s="6" t="str">
        <x:f t="shared" si="1"/>
      </x:c>
    </x:row>
    <x:row r="48" ht="25.5" customHeight="1">
      <x:c r="A48" s="6" t="str">
        <x:f>IF('Matriz Requerimientos'!A48="","",'Matriz Requerimientos'!A48)</x:f>
      </x:c>
      <x:c r="B48" s="7" t="str">
        <x:f>IF('Matriz Requerimientos'!A48="","",'Matriz Requerimientos'!B48)</x:f>
      </x:c>
      <x:c r="C48" s="7" t="str">
        <x:f>IF('Matriz Requerimientos'!A48="","",'Matriz Requerimientos'!H48)</x:f>
      </x:c>
      <x:c r="D48" s="6" t="str">
        <x:f>IF('Matriz Requerimientos'!A48="","",'Matriz Requerimientos'!I48)</x:f>
      </x:c>
      <x:c r="E48" s="7" t="str">
        <x:f>IF('Matriz Requerimientos'!A48="","",'Matriz Requerimientos'!K48)</x:f>
      </x:c>
      <x:c r="F48" s="6" t="str">
        <x:f>IF('Matriz Requerimientos'!A48="","",IF(COUNTIF('Casos de Prueba'!$B$5:$B$40,'Matriz Requerimientos'!A48)=0,"SIN PRUEBA",COUNTIF('Casos de Prueba'!$B$5:$B$40,'Matriz Requerimientos'!A48)&amp;" caso(s)"))</x:f>
      </x:c>
      <x:c r="G48" s="3"/>
      <x:c r="H48" s="3"/>
      <x:c r="I48" s="6" t="str">
        <x:f t="shared" si="1"/>
      </x:c>
    </x:row>
    <x:row r="49" ht="25.5" customHeight="1">
      <x:c r="A49" s="6" t="str">
        <x:f>IF('Matriz Requerimientos'!A49="","",'Matriz Requerimientos'!A49)</x:f>
      </x:c>
      <x:c r="B49" s="7" t="str">
        <x:f>IF('Matriz Requerimientos'!A49="","",'Matriz Requerimientos'!B49)</x:f>
      </x:c>
      <x:c r="C49" s="7" t="str">
        <x:f>IF('Matriz Requerimientos'!A49="","",'Matriz Requerimientos'!H49)</x:f>
      </x:c>
      <x:c r="D49" s="6" t="str">
        <x:f>IF('Matriz Requerimientos'!A49="","",'Matriz Requerimientos'!I49)</x:f>
      </x:c>
      <x:c r="E49" s="7" t="str">
        <x:f>IF('Matriz Requerimientos'!A49="","",'Matriz Requerimientos'!K49)</x:f>
      </x:c>
      <x:c r="F49" s="6" t="str">
        <x:f>IF('Matriz Requerimientos'!A49="","",IF(COUNTIF('Casos de Prueba'!$B$5:$B$40,'Matriz Requerimientos'!A49)=0,"SIN PRUEBA",COUNTIF('Casos de Prueba'!$B$5:$B$40,'Matriz Requerimientos'!A49)&amp;" caso(s)"))</x:f>
      </x:c>
      <x:c r="G49" s="3"/>
      <x:c r="H49" s="3"/>
      <x:c r="I49" s="6" t="str">
        <x:f t="shared" si="1"/>
      </x:c>
    </x:row>
    <x:row r="50" ht="25.5" customHeight="1">
      <x:c r="A50" s="6" t="str">
        <x:f>IF('Matriz Requerimientos'!A50="","",'Matriz Requerimientos'!A50)</x:f>
      </x:c>
      <x:c r="B50" s="7" t="str">
        <x:f>IF('Matriz Requerimientos'!A50="","",'Matriz Requerimientos'!B50)</x:f>
      </x:c>
      <x:c r="C50" s="7" t="str">
        <x:f>IF('Matriz Requerimientos'!A50="","",'Matriz Requerimientos'!H50)</x:f>
      </x:c>
      <x:c r="D50" s="6" t="str">
        <x:f>IF('Matriz Requerimientos'!A50="","",'Matriz Requerimientos'!I50)</x:f>
      </x:c>
      <x:c r="E50" s="7" t="str">
        <x:f>IF('Matriz Requerimientos'!A50="","",'Matriz Requerimientos'!K50)</x:f>
      </x:c>
      <x:c r="F50" s="6" t="str">
        <x:f>IF('Matriz Requerimientos'!A50="","",IF(COUNTIF('Casos de Prueba'!$B$5:$B$40,'Matriz Requerimientos'!A50)=0,"SIN PRUEBA",COUNTIF('Casos de Prueba'!$B$5:$B$40,'Matriz Requerimientos'!A50)&amp;" caso(s)"))</x:f>
      </x:c>
      <x:c r="G50" s="3"/>
      <x:c r="H50" s="3"/>
      <x:c r="I50" s="6" t="str">
        <x:f t="shared" si="1"/>
      </x:c>
    </x:row>
    <x:row r="51" ht="25.5" customHeight="1">
      <x:c r="A51" s="6" t="str">
        <x:f>IF('Matriz Requerimientos'!A51="","",'Matriz Requerimientos'!A51)</x:f>
      </x:c>
      <x:c r="B51" s="7" t="str">
        <x:f>IF('Matriz Requerimientos'!A51="","",'Matriz Requerimientos'!B51)</x:f>
      </x:c>
      <x:c r="C51" s="7" t="str">
        <x:f>IF('Matriz Requerimientos'!A51="","",'Matriz Requerimientos'!H51)</x:f>
      </x:c>
      <x:c r="D51" s="6" t="str">
        <x:f>IF('Matriz Requerimientos'!A51="","",'Matriz Requerimientos'!I51)</x:f>
      </x:c>
      <x:c r="E51" s="7" t="str">
        <x:f>IF('Matriz Requerimientos'!A51="","",'Matriz Requerimientos'!K51)</x:f>
      </x:c>
      <x:c r="F51" s="6" t="str">
        <x:f>IF('Matriz Requerimientos'!A51="","",IF(COUNTIF('Casos de Prueba'!$B$5:$B$40,'Matriz Requerimientos'!A51)=0,"SIN PRUEBA",COUNTIF('Casos de Prueba'!$B$5:$B$40,'Matriz Requerimientos'!A51)&amp;" caso(s)"))</x:f>
      </x:c>
      <x:c r="G51" s="3"/>
      <x:c r="H51" s="3"/>
      <x:c r="I51" s="6" t="str">
        <x:f t="shared" si="1"/>
      </x:c>
    </x:row>
    <x:row r="52" ht="25.5" customHeight="1">
      <x:c r="A52" s="6" t="str">
        <x:f>IF('Matriz Requerimientos'!A52="","",'Matriz Requerimientos'!A52)</x:f>
      </x:c>
      <x:c r="B52" s="7" t="str">
        <x:f>IF('Matriz Requerimientos'!A52="","",'Matriz Requerimientos'!B52)</x:f>
      </x:c>
      <x:c r="C52" s="7" t="str">
        <x:f>IF('Matriz Requerimientos'!A52="","",'Matriz Requerimientos'!H52)</x:f>
      </x:c>
      <x:c r="D52" s="6" t="str">
        <x:f>IF('Matriz Requerimientos'!A52="","",'Matriz Requerimientos'!I52)</x:f>
      </x:c>
      <x:c r="E52" s="7" t="str">
        <x:f>IF('Matriz Requerimientos'!A52="","",'Matriz Requerimientos'!K52)</x:f>
      </x:c>
      <x:c r="F52" s="6" t="str">
        <x:f>IF('Matriz Requerimientos'!A52="","",IF(COUNTIF('Casos de Prueba'!$B$5:$B$40,'Matriz Requerimientos'!A52)=0,"SIN PRUEBA",COUNTIF('Casos de Prueba'!$B$5:$B$40,'Matriz Requerimientos'!A52)&amp;" caso(s)"))</x:f>
      </x:c>
      <x:c r="G52" s="3"/>
      <x:c r="H52" s="3"/>
      <x:c r="I52" s="6" t="str">
        <x:f t="shared" si="1"/>
      </x:c>
    </x:row>
    <x:row r="53" ht="25.5" customHeight="1">
      <x:c r="A53" s="6" t="str">
        <x:f>IF('Matriz Requerimientos'!A53="","",'Matriz Requerimientos'!A53)</x:f>
      </x:c>
      <x:c r="B53" s="7" t="str">
        <x:f>IF('Matriz Requerimientos'!A53="","",'Matriz Requerimientos'!B53)</x:f>
      </x:c>
      <x:c r="C53" s="7" t="str">
        <x:f>IF('Matriz Requerimientos'!A53="","",'Matriz Requerimientos'!H53)</x:f>
      </x:c>
      <x:c r="D53" s="6" t="str">
        <x:f>IF('Matriz Requerimientos'!A53="","",'Matriz Requerimientos'!I53)</x:f>
      </x:c>
      <x:c r="E53" s="7" t="str">
        <x:f>IF('Matriz Requerimientos'!A53="","",'Matriz Requerimientos'!K53)</x:f>
      </x:c>
      <x:c r="F53" s="6" t="str">
        <x:f>IF('Matriz Requerimientos'!A53="","",IF(COUNTIF('Casos de Prueba'!$B$5:$B$40,'Matriz Requerimientos'!A53)=0,"SIN PRUEBA",COUNTIF('Casos de Prueba'!$B$5:$B$40,'Matriz Requerimientos'!A53)&amp;" caso(s)"))</x:f>
      </x:c>
      <x:c r="G53" s="3"/>
      <x:c r="H53" s="3"/>
      <x:c r="I53" s="6" t="str">
        <x:f t="shared" si="1"/>
      </x:c>
    </x:row>
    <x:row r="54" ht="25.5" customHeight="1">
      <x:c r="A54" s="6" t="str">
        <x:f>IF('Matriz Requerimientos'!A54="","",'Matriz Requerimientos'!A54)</x:f>
      </x:c>
      <x:c r="B54" s="7" t="str">
        <x:f>IF('Matriz Requerimientos'!A54="","",'Matriz Requerimientos'!B54)</x:f>
      </x:c>
      <x:c r="C54" s="7" t="str">
        <x:f>IF('Matriz Requerimientos'!A54="","",'Matriz Requerimientos'!H54)</x:f>
      </x:c>
      <x:c r="D54" s="6" t="str">
        <x:f>IF('Matriz Requerimientos'!A54="","",'Matriz Requerimientos'!I54)</x:f>
      </x:c>
      <x:c r="E54" s="7" t="str">
        <x:f>IF('Matriz Requerimientos'!A54="","",'Matriz Requerimientos'!K54)</x:f>
      </x:c>
      <x:c r="F54" s="6" t="str">
        <x:f>IF('Matriz Requerimientos'!A54="","",IF(COUNTIF('Casos de Prueba'!$B$5:$B$40,'Matriz Requerimientos'!A54)=0,"SIN PRUEBA",COUNTIF('Casos de Prueba'!$B$5:$B$40,'Matriz Requerimientos'!A54)&amp;" caso(s)"))</x:f>
      </x:c>
      <x:c r="G54" s="3"/>
      <x:c r="H54" s="3"/>
      <x:c r="I54" s="6" t="str">
        <x:f t="shared" si="1"/>
      </x:c>
    </x:row>
    <x:row r="55" ht="25.5" customHeight="1">
      <x:c r="A55" s="6" t="str">
        <x:f>IF('Matriz Requerimientos'!A55="","",'Matriz Requerimientos'!A55)</x:f>
      </x:c>
      <x:c r="B55" s="7" t="str">
        <x:f>IF('Matriz Requerimientos'!A55="","",'Matriz Requerimientos'!B55)</x:f>
      </x:c>
      <x:c r="C55" s="7" t="str">
        <x:f>IF('Matriz Requerimientos'!A55="","",'Matriz Requerimientos'!H55)</x:f>
      </x:c>
      <x:c r="D55" s="6" t="str">
        <x:f>IF('Matriz Requerimientos'!A55="","",'Matriz Requerimientos'!I55)</x:f>
      </x:c>
      <x:c r="E55" s="7" t="str">
        <x:f>IF('Matriz Requerimientos'!A55="","",'Matriz Requerimientos'!K55)</x:f>
      </x:c>
      <x:c r="F55" s="6" t="str">
        <x:f>IF('Matriz Requerimientos'!A55="","",IF(COUNTIF('Casos de Prueba'!$B$5:$B$40,'Matriz Requerimientos'!A55)=0,"SIN PRUEBA",COUNTIF('Casos de Prueba'!$B$5:$B$40,'Matriz Requerimientos'!A55)&amp;" caso(s)"))</x:f>
      </x:c>
      <x:c r="G55" s="3"/>
      <x:c r="H55" s="3"/>
      <x:c r="I55" s="6" t="str">
        <x:f t="shared" si="1"/>
      </x:c>
    </x:row>
    <x:row r="56" ht="25.5" customHeight="1">
      <x:c r="A56" s="6" t="str">
        <x:f>IF('Matriz Requerimientos'!A56="","",'Matriz Requerimientos'!A56)</x:f>
      </x:c>
      <x:c r="B56" s="7" t="str">
        <x:f>IF('Matriz Requerimientos'!A56="","",'Matriz Requerimientos'!B56)</x:f>
      </x:c>
      <x:c r="C56" s="7" t="str">
        <x:f>IF('Matriz Requerimientos'!A56="","",'Matriz Requerimientos'!H56)</x:f>
      </x:c>
      <x:c r="D56" s="6" t="str">
        <x:f>IF('Matriz Requerimientos'!A56="","",'Matriz Requerimientos'!I56)</x:f>
      </x:c>
      <x:c r="E56" s="7" t="str">
        <x:f>IF('Matriz Requerimientos'!A56="","",'Matriz Requerimientos'!K56)</x:f>
      </x:c>
      <x:c r="F56" s="6" t="str">
        <x:f>IF('Matriz Requerimientos'!A56="","",IF(COUNTIF('Casos de Prueba'!$B$5:$B$40,'Matriz Requerimientos'!A56)=0,"SIN PRUEBA",COUNTIF('Casos de Prueba'!$B$5:$B$40,'Matriz Requerimientos'!A56)&amp;" caso(s)"))</x:f>
      </x:c>
      <x:c r="G56" s="3"/>
      <x:c r="H56" s="3"/>
      <x:c r="I56" s="6" t="str">
        <x:f t="shared" si="1"/>
      </x:c>
    </x:row>
    <x:row r="57" ht="25.5" customHeight="1">
      <x:c r="A57" s="6" t="str">
        <x:f>IF('Matriz Requerimientos'!A57="","",'Matriz Requerimientos'!A57)</x:f>
      </x:c>
      <x:c r="B57" s="7" t="str">
        <x:f>IF('Matriz Requerimientos'!A57="","",'Matriz Requerimientos'!B57)</x:f>
      </x:c>
      <x:c r="C57" s="7" t="str">
        <x:f>IF('Matriz Requerimientos'!A57="","",'Matriz Requerimientos'!H57)</x:f>
      </x:c>
      <x:c r="D57" s="6" t="str">
        <x:f>IF('Matriz Requerimientos'!A57="","",'Matriz Requerimientos'!I57)</x:f>
      </x:c>
      <x:c r="E57" s="7" t="str">
        <x:f>IF('Matriz Requerimientos'!A57="","",'Matriz Requerimientos'!K57)</x:f>
      </x:c>
      <x:c r="F57" s="6" t="str">
        <x:f>IF('Matriz Requerimientos'!A57="","",IF(COUNTIF('Casos de Prueba'!$B$5:$B$40,'Matriz Requerimientos'!A57)=0,"SIN PRUEBA",COUNTIF('Casos de Prueba'!$B$5:$B$40,'Matriz Requerimientos'!A57)&amp;" caso(s)"))</x:f>
      </x:c>
      <x:c r="G57" s="3"/>
      <x:c r="H57" s="3"/>
      <x:c r="I57" s="6" t="str">
        <x:f t="shared" si="1"/>
      </x:c>
    </x:row>
    <x:row r="58" ht="25.5" customHeight="1">
      <x:c r="A58" s="6" t="str">
        <x:f>IF('Matriz Requerimientos'!A58="","",'Matriz Requerimientos'!A58)</x:f>
      </x:c>
      <x:c r="B58" s="7" t="str">
        <x:f>IF('Matriz Requerimientos'!A58="","",'Matriz Requerimientos'!B58)</x:f>
      </x:c>
      <x:c r="C58" s="7" t="str">
        <x:f>IF('Matriz Requerimientos'!A58="","",'Matriz Requerimientos'!H58)</x:f>
      </x:c>
      <x:c r="D58" s="6" t="str">
        <x:f>IF('Matriz Requerimientos'!A58="","",'Matriz Requerimientos'!I58)</x:f>
      </x:c>
      <x:c r="E58" s="7" t="str">
        <x:f>IF('Matriz Requerimientos'!A58="","",'Matriz Requerimientos'!K58)</x:f>
      </x:c>
      <x:c r="F58" s="6" t="str">
        <x:f>IF('Matriz Requerimientos'!A58="","",IF(COUNTIF('Casos de Prueba'!$B$5:$B$40,'Matriz Requerimientos'!A58)=0,"SIN PRUEBA",COUNTIF('Casos de Prueba'!$B$5:$B$40,'Matriz Requerimientos'!A58)&amp;" caso(s)"))</x:f>
      </x:c>
      <x:c r="G58" s="3"/>
      <x:c r="H58" s="3"/>
      <x:c r="I58" s="6" t="str">
        <x:f t="shared" si="1"/>
      </x:c>
    </x:row>
    <x:row r="59" ht="25.5" customHeight="1">
      <x:c r="A59" s="6" t="str">
        <x:f>IF('Matriz Requerimientos'!A59="","",'Matriz Requerimientos'!A59)</x:f>
      </x:c>
      <x:c r="B59" s="7" t="str">
        <x:f>IF('Matriz Requerimientos'!A59="","",'Matriz Requerimientos'!B59)</x:f>
      </x:c>
      <x:c r="C59" s="7" t="str">
        <x:f>IF('Matriz Requerimientos'!A59="","",'Matriz Requerimientos'!H59)</x:f>
      </x:c>
      <x:c r="D59" s="6" t="str">
        <x:f>IF('Matriz Requerimientos'!A59="","",'Matriz Requerimientos'!I59)</x:f>
      </x:c>
      <x:c r="E59" s="7" t="str">
        <x:f>IF('Matriz Requerimientos'!A59="","",'Matriz Requerimientos'!K59)</x:f>
      </x:c>
      <x:c r="F59" s="6" t="str">
        <x:f>IF('Matriz Requerimientos'!A59="","",IF(COUNTIF('Casos de Prueba'!$B$5:$B$40,'Matriz Requerimientos'!A59)=0,"SIN PRUEBA",COUNTIF('Casos de Prueba'!$B$5:$B$40,'Matriz Requerimientos'!A59)&amp;" caso(s)"))</x:f>
      </x:c>
      <x:c r="G59" s="3"/>
      <x:c r="H59" s="3"/>
      <x:c r="I59" s="6" t="str">
        <x:f t="shared" si="1"/>
      </x:c>
    </x:row>
    <x:row r="60" ht="25.5" customHeight="1">
      <x:c r="A60" s="6" t="str">
        <x:f>IF('Matriz Requerimientos'!A60="","",'Matriz Requerimientos'!A60)</x:f>
      </x:c>
      <x:c r="B60" s="7" t="str">
        <x:f>IF('Matriz Requerimientos'!A60="","",'Matriz Requerimientos'!B60)</x:f>
      </x:c>
      <x:c r="C60" s="7" t="str">
        <x:f>IF('Matriz Requerimientos'!A60="","",'Matriz Requerimientos'!H60)</x:f>
      </x:c>
      <x:c r="D60" s="6" t="str">
        <x:f>IF('Matriz Requerimientos'!A60="","",'Matriz Requerimientos'!I60)</x:f>
      </x:c>
      <x:c r="E60" s="7" t="str">
        <x:f>IF('Matriz Requerimientos'!A60="","",'Matriz Requerimientos'!K60)</x:f>
      </x:c>
      <x:c r="F60" s="6" t="str">
        <x:f>IF('Matriz Requerimientos'!A60="","",IF(COUNTIF('Casos de Prueba'!$B$5:$B$40,'Matriz Requerimientos'!A60)=0,"SIN PRUEBA",COUNTIF('Casos de Prueba'!$B$5:$B$40,'Matriz Requerimientos'!A60)&amp;" caso(s)"))</x:f>
      </x:c>
      <x:c r="G60" s="3"/>
      <x:c r="H60" s="3"/>
      <x:c r="I60" s="6" t="str">
        <x:f t="shared" si="1"/>
      </x:c>
    </x:row>
  </x:sheetData>
  <x:mergeCells>
    <x:mergeCell ref="A1:I1"/>
    <x:mergeCell ref="A2:I2"/>
  </x:mergeCells>
  <x:conditionalFormatting sqref="F5:F60">
    <x:cfRule type="cellIs" dxfId="2" priority="2" operator="equal">
      <x:formula>"SIN PRUEBA"</x:formula>
    </x:cfRule>
  </x:conditionalFormatting>
  <x:conditionalFormatting sqref="I5:I60">
    <x:cfRule type="cellIs" dxfId="1" priority="3" operator="equal">
      <x:formula>"Completa"</x:formula>
    </x:cfRule>
    <x:cfRule type="cellIs" dxfId="0" priority="4" operator="equal">
      <x:formula>"Incompleta"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7" hidden="0" customWidth="1"/>
    <x:col min="3" max="3" width="43" hidden="0" customWidth="1"/>
    <x:col min="4" max="4" width="38" hidden="0" customWidth="1"/>
    <x:col min="5" max="5" width="24" hidden="0" customWidth="1"/>
    <x:col min="6" max="6" width="10" hidden="0" customWidth="1"/>
    <x:col min="7" max="7" width="14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9" hidden="0" customWidth="1"/>
    <x:col min="17" max="17" width="9" hidden="0" customWidth="1"/>
    <x:col min="18" max="18" width="2" hidden="0" customWidth="1"/>
    <x:col min="19" max="19" width="2" hidden="0" customWidth="1"/>
  </x:cols>
  <x:sheetData>
    <x:row r="1" ht="25" customHeight="1">
      <x:c r="A1" s="460" t="str">
        <x:v>CRONOGRAMA DEL PROYECTO · HUATA LÁCTEOS</x:v>
      </x:c>
      <x:c r="B1" s="460"/>
      <x:c r="C1" s="460"/>
      <x:c r="D1" s="460"/>
      <x:c r="E1" s="460"/>
      <x:c r="F1" s="460"/>
      <x:c r="G1" s="460"/>
      <x:c r="H1" s="460"/>
      <x:c r="I1" s="460"/>
      <x:c r="J1" s="460"/>
      <x:c r="K1" s="460"/>
      <x:c r="L1" s="460"/>
      <x:c r="M1" s="460"/>
      <x:c r="N1" s="460"/>
      <x:c r="O1" s="460"/>
      <x:c r="P1" s="460"/>
      <x:c r="Q1" s="460"/>
      <x:c r="R1" s="460"/>
      <x:c r="S1" s="460"/>
    </x:row>
    <x:row r="2" ht="22" customHeight="1">
      <x:c r="A2" s="637" t="str">
        <x:v>Cronograma oficial alineado a Cronograma_2026-2: Sprint 1–8, entrega y cierre · 19/08/2026 al 15/10/2026.</x:v>
      </x:c>
      <x:c r="B2" s="637"/>
      <x:c r="C2" s="637"/>
      <x:c r="D2" s="637"/>
      <x:c r="E2" s="637"/>
      <x:c r="F2" s="637"/>
      <x:c r="G2" s="637"/>
      <x:c r="H2" s="637"/>
      <x:c r="I2" s="637"/>
      <x:c r="J2" s="637"/>
      <x:c r="K2" s="637"/>
      <x:c r="L2" s="637"/>
      <x:c r="M2" s="637"/>
      <x:c r="N2" s="637"/>
      <x:c r="O2" s="637"/>
      <x:c r="P2" s="637"/>
      <x:c r="Q2" s="637"/>
      <x:c r="R2" s="637"/>
      <x:c r="S2" s="637"/>
    </x:row>
    <x:row r="4" ht="48" customHeight="1">
      <x:c r="A4" s="466" t="str">
        <x:v>DURACIÓN TOTAL
19/08/2026 – 15/10/2026</x:v>
      </x:c>
      <x:c r="B4" s="467"/>
      <x:c r="C4" s="468"/>
      <x:c r="D4" s="472"/>
      <x:c r="E4" s="476" t="str">
        <x:v>PLAN DE TRABAJO
8 Sprints + Entrega + Cierre</x:v>
      </x:c>
      <x:c r="F4" s="477"/>
      <x:c r="G4" s="478"/>
      <x:c r="H4" s="487" t="str">
        <x:v>FASE 1
Definición y arquitectura</x:v>
      </x:c>
      <x:c r="I4" s="483"/>
      <x:c r="J4" s="484"/>
      <x:c r="K4" s="491" t="str">
        <x:v>FASE 2
Desarrollo funcional</x:v>
      </x:c>
      <x:c r="L4" s="496"/>
      <x:c r="M4" s="493"/>
      <x:c r="N4" s="499" t="str">
        <x:v>FASE 3
Calidad y despliegue</x:v>
      </x:c>
      <x:c r="O4" s="500"/>
      <x:c r="P4" s="507" t="str">
        <x:v>CIERRE
14–15/10/2026</x:v>
      </x:c>
      <x:c r="Q4" s="504"/>
      <x:c r="R4" s="510" t="str">
        <x:v>BASE OFICIAL
Cronograma_2026-2</x:v>
      </x:c>
      <x:c r="S4" s="511"/>
    </x:row>
    <x:row r="6" ht="32" customHeight="1">
      <x:c r="H6" s="512" t="str">
        <x:v>SPRINTS 1–3 · DEFINICIÓN Y ARQUITECTURA</x:v>
      </x:c>
      <x:c r="I6" s="513"/>
      <x:c r="J6" s="513"/>
      <x:c r="K6" s="514" t="str">
        <x:v>SPRINTS 4–6 · DESARROLLO FUNCIONAL</x:v>
      </x:c>
      <x:c r="L6" s="515"/>
      <x:c r="M6" s="516"/>
      <x:c r="N6" s="517" t="str">
        <x:v>SPRINT 7 · CALIDAD</x:v>
      </x:c>
      <x:c r="O6" s="518" t="str">
        <x:v>SPRINT 8 · DESPLIEGUE</x:v>
      </x:c>
      <x:c r="P6" s="519" t="str">
        <x:v>ENTREGA / CIERRE</x:v>
      </x:c>
      <x:c r="Q6" s="520"/>
      <x:c r="R6" s="521" t="str">
        <x:v>FECHAS OFICIALES</x:v>
      </x:c>
      <x:c r="S6" s="522"/>
    </x:row>
    <x:row r="7" ht="30" customHeight="1">
      <x:c r="A7" s="571" t="str">
        <x:v>ID</x:v>
      </x:c>
      <x:c r="B7" s="572" t="str">
        <x:v>Sprint / periodo</x:v>
      </x:c>
      <x:c r="C7" s="572" t="str">
        <x:v>Objetivo / actividad</x:v>
      </x:c>
      <x:c r="D7" s="572" t="str">
        <x:v>Entregable principal</x:v>
      </x:c>
      <x:c r="E7" s="572" t="str">
        <x:v>Fechas</x:v>
      </x:c>
      <x:c r="F7" s="572" t="str">
        <x:v>Duración
(días)</x:v>
      </x:c>
      <x:c r="G7" s="572" t="str">
        <x:v>Estado</x:v>
      </x:c>
      <x:c r="H7" s="572" t="str">
        <x:v>SP1</x:v>
      </x:c>
      <x:c r="I7" s="572" t="str">
        <x:v>SP2</x:v>
      </x:c>
      <x:c r="J7" s="572" t="str">
        <x:v>SP3</x:v>
      </x:c>
      <x:c r="K7" s="572" t="str">
        <x:v>SP4</x:v>
      </x:c>
      <x:c r="L7" s="572" t="str">
        <x:v>SP5</x:v>
      </x:c>
      <x:c r="M7" s="572" t="str">
        <x:v>SP6</x:v>
      </x:c>
      <x:c r="N7" s="572" t="str">
        <x:v>SP7</x:v>
      </x:c>
      <x:c r="O7" s="572" t="str">
        <x:v>SP8</x:v>
      </x:c>
      <x:c r="P7" s="572" t="str">
        <x:v>Entrega</x:v>
      </x:c>
      <x:c r="Q7" s="573" t="str">
        <x:v>Cierre</x:v>
      </x:c>
      <x:c r="R7" s="527" t="str"/>
      <x:c r="S7" s="528" t="str"/>
    </x:row>
    <x:row r="8" ht="52" customHeight="1">
      <x:c r="A8" s="574" t="str">
        <x:v>CR-01</x:v>
      </x:c>
      <x:c r="B8" s="547" t="str">
        <x:v>Sprint 1</x:v>
      </x:c>
      <x:c r="C8" s="540" t="str">
        <x:v>Definir y documentar el proyecto: Charter, alcance, stakeholders, RF/RNF, backlog y plan de gestión.</x:v>
      </x:c>
      <x:c r="D8" s="540" t="str">
        <x:v>Project Charter + RF/RNF + Product Backlog + documentos consolidados</x:v>
      </x:c>
      <x:c r="E8" s="540" t="str">
        <x:v>19/08/2026 – 25/08/2026</x:v>
      </x:c>
      <x:c r="F8" s="541" t="n">
        <x:v>7</x:v>
      </x:c>
      <x:c r="G8" s="541" t="str">
        <x:v>Cerrado</x:v>
      </x:c>
      <x:c r="H8" s="561" t="str">
        <x:v>●</x:v>
      </x:c>
      <x:c r="I8" s="562"/>
      <x:c r="J8" s="562"/>
      <x:c r="K8" s="563"/>
      <x:c r="L8" s="563"/>
      <x:c r="M8" s="563"/>
      <x:c r="N8" s="563"/>
      <x:c r="O8" s="563"/>
      <x:c r="P8" s="563"/>
      <x:c r="Q8" s="575"/>
      <x:c r="R8" s="394"/>
      <x:c r="S8" s="395"/>
    </x:row>
    <x:row r="9" ht="52" customHeight="1">
      <x:c r="A9" s="576" t="str">
        <x:v>CR-02</x:v>
      </x:c>
      <x:c r="B9" s="577" t="str">
        <x:v>Sprint 2</x:v>
      </x:c>
      <x:c r="C9" s="578" t="str">
        <x:v>Validar requerimientos y diseño de experiencia de usuario mediante reuniones, ajustes y prototipos.</x:v>
      </x:c>
      <x:c r="D9" s="578" t="str">
        <x:v>RF/RNF v2 + acta de aprobación + prototipos Figma/HTML</x:v>
      </x:c>
      <x:c r="E9" s="578" t="str">
        <x:v>26/08/2026 – 01/09/2026</x:v>
      </x:c>
      <x:c r="F9" s="579" t="n">
        <x:v>7</x:v>
      </x:c>
      <x:c r="G9" s="579" t="str">
        <x:v>Planificado</x:v>
      </x:c>
      <x:c r="H9" s="561"/>
      <x:c r="I9" s="561" t="str">
        <x:v>●</x:v>
      </x:c>
      <x:c r="J9" s="580"/>
      <x:c r="K9" s="581"/>
      <x:c r="L9" s="581"/>
      <x:c r="M9" s="581"/>
      <x:c r="N9" s="581"/>
      <x:c r="O9" s="581"/>
      <x:c r="P9" s="581"/>
      <x:c r="Q9" s="582"/>
      <x:c r="R9" s="396"/>
      <x:c r="S9" s="397"/>
    </x:row>
    <x:row r="10" ht="52" customHeight="1">
      <x:c r="A10" s="576" t="str">
        <x:v>CR-03</x:v>
      </x:c>
      <x:c r="B10" s="577" t="str">
        <x:v>Sprint 3</x:v>
      </x:c>
      <x:c r="C10" s="578" t="str">
        <x:v>Preparar arquitectura, base de datos, repositorios, entornos web/móvil y autenticación segura.</x:v>
      </x:c>
      <x:c r="D10" s="578" t="str">
        <x:v>Arquitectura base + PostgreSQL + entornos + autenticación JWT</x:v>
      </x:c>
      <x:c r="E10" s="578" t="str">
        <x:v>02/09/2026 – 08/09/2026</x:v>
      </x:c>
      <x:c r="F10" s="579" t="n">
        <x:v>7</x:v>
      </x:c>
      <x:c r="G10" s="579" t="str">
        <x:v>Planificado</x:v>
      </x:c>
      <x:c r="H10" s="561"/>
      <x:c r="I10" s="561"/>
      <x:c r="J10" s="580" t="str">
        <x:v>●</x:v>
      </x:c>
      <x:c r="K10" s="581"/>
      <x:c r="L10" s="581"/>
      <x:c r="M10" s="581"/>
      <x:c r="N10" s="581"/>
      <x:c r="O10" s="581"/>
      <x:c r="P10" s="581"/>
      <x:c r="Q10" s="582"/>
      <x:c r="R10" s="396"/>
      <x:c r="S10" s="397"/>
    </x:row>
    <x:row r="11" ht="52" customHeight="1">
      <x:c r="A11" s="576" t="str">
        <x:v>CR-04</x:v>
      </x:c>
      <x:c r="B11" s="583" t="str">
        <x:v>Sprint 4</x:v>
      </x:c>
      <x:c r="C11" s="578" t="str">
        <x:v>Construir la gestión operativa de productores, acopiadores, rutas y centros de acopio en web y móvil.</x:v>
      </x:c>
      <x:c r="D11" s="578" t="str">
        <x:v>Módulos operativos + pantallas web/móvil + documentación Swagger</x:v>
      </x:c>
      <x:c r="E11" s="578" t="str">
        <x:v>09/09/2026 – 15/09/2026</x:v>
      </x:c>
      <x:c r="F11" s="579" t="n">
        <x:v>7</x:v>
      </x:c>
      <x:c r="G11" s="579" t="str">
        <x:v>Planificado</x:v>
      </x:c>
      <x:c r="H11" s="581"/>
      <x:c r="I11" s="533"/>
      <x:c r="J11" s="533"/>
      <x:c r="K11" s="584" t="str">
        <x:v>●</x:v>
      </x:c>
      <x:c r="L11" s="584"/>
      <x:c r="M11" s="584"/>
      <x:c r="N11" s="581"/>
      <x:c r="O11" s="581"/>
      <x:c r="P11" s="581"/>
      <x:c r="Q11" s="582"/>
      <x:c r="R11" s="396"/>
      <x:c r="S11" s="397"/>
    </x:row>
    <x:row r="12" ht="52" customHeight="1">
      <x:c r="A12" s="576" t="str">
        <x:v>CR-05</x:v>
      </x:c>
      <x:c r="B12" s="583" t="str">
        <x:v>Sprint 5</x:v>
      </x:c>
      <x:c r="C12" s="578" t="str">
        <x:v>Implementar recojo de leche, control de calidad, liquidaciones, operación offline y sincronización.</x:v>
      </x:c>
      <x:c r="D12" s="578" t="str">
        <x:v>Recojo + calidad + liquidaciones + SQLite/sincronización + evidencias + pruebas</x:v>
      </x:c>
      <x:c r="E12" s="578" t="str">
        <x:v>16/09/2026 – 22/09/2026</x:v>
      </x:c>
      <x:c r="F12" s="579" t="n">
        <x:v>7</x:v>
      </x:c>
      <x:c r="G12" s="579" t="str">
        <x:v>Planificado</x:v>
      </x:c>
      <x:c r="H12" s="581"/>
      <x:c r="I12" s="581"/>
      <x:c r="J12" s="533"/>
      <x:c r="K12" s="584"/>
      <x:c r="L12" s="584" t="str">
        <x:v>●</x:v>
      </x:c>
      <x:c r="M12" s="584"/>
      <x:c r="N12" s="581"/>
      <x:c r="O12" s="581"/>
      <x:c r="P12" s="581"/>
      <x:c r="Q12" s="582"/>
      <x:c r="R12" s="396"/>
      <x:c r="S12" s="397"/>
    </x:row>
    <x:row r="13" ht="52" customHeight="1">
      <x:c r="A13" s="576" t="str">
        <x:v>CR-06</x:v>
      </x:c>
      <x:c r="B13" s="583" t="str">
        <x:v>Sprint 6</x:v>
      </x:c>
      <x:c r="C13" s="578" t="str">
        <x:v>Implementar reportes gerenciales, dashboard, usuarios/roles, notificaciones e historial móvil.</x:v>
      </x:c>
      <x:c r="D13" s="578" t="str">
        <x:v>Reportes + dashboard + administración de usuarios + notificaciones</x:v>
      </x:c>
      <x:c r="E13" s="578" t="str">
        <x:v>23/09/2026 – 29/09/2026</x:v>
      </x:c>
      <x:c r="F13" s="579" t="n">
        <x:v>7</x:v>
      </x:c>
      <x:c r="G13" s="579" t="str">
        <x:v>Planificado</x:v>
      </x:c>
      <x:c r="H13" s="581"/>
      <x:c r="I13" s="581"/>
      <x:c r="J13" s="533"/>
      <x:c r="K13" s="567"/>
      <x:c r="L13" s="584"/>
      <x:c r="M13" s="584" t="str">
        <x:v>●</x:v>
      </x:c>
      <x:c r="N13" s="581"/>
      <x:c r="O13" s="581"/>
      <x:c r="P13" s="581"/>
      <x:c r="Q13" s="582"/>
      <x:c r="R13" s="396"/>
      <x:c r="S13" s="397"/>
    </x:row>
    <x:row r="14" ht="52" customHeight="1">
      <x:c r="A14" s="576" t="str">
        <x:v>CR-07</x:v>
      </x:c>
      <x:c r="B14" s="585" t="str">
        <x:v>Sprint 7</x:v>
      </x:c>
      <x:c r="C14" s="578" t="str">
        <x:v>Ejecutar pruebas integrales, UAT, regresión y pruebas no funcionales; corregir incidencias y documentar.</x:v>
      </x:c>
      <x:c r="D14" s="578" t="str">
        <x:v>Versión estabilizada + reportes de pruebas + manual de usuario + manual técnico</x:v>
      </x:c>
      <x:c r="E14" s="578" t="str">
        <x:v>30/09/2026 – 06/10/2026</x:v>
      </x:c>
      <x:c r="F14" s="579" t="n">
        <x:v>7</x:v>
      </x:c>
      <x:c r="G14" s="579" t="str">
        <x:v>Planificado</x:v>
      </x:c>
      <x:c r="H14" s="581"/>
      <x:c r="I14" s="581"/>
      <x:c r="J14" s="581"/>
      <x:c r="K14" s="581"/>
      <x:c r="L14" s="533"/>
      <x:c r="M14" s="581"/>
      <x:c r="N14" s="586" t="str">
        <x:v>●</x:v>
      </x:c>
      <x:c r="O14" s="581"/>
      <x:c r="P14" s="581"/>
      <x:c r="Q14" s="582"/>
      <x:c r="R14" s="396"/>
      <x:c r="S14" s="397"/>
    </x:row>
    <x:row r="15" ht="52" customHeight="1">
      <x:c r="A15" s="576" t="str">
        <x:v>CR-08</x:v>
      </x:c>
      <x:c r="B15" s="587" t="str">
        <x:v>Sprint 8</x:v>
      </x:c>
      <x:c r="C15" s="578" t="str">
        <x:v>Preparar producción, desplegar backend/web, distribuir APK, migrar datos, capacitar y brindar hipercare.</x:v>
      </x:c>
      <x:c r="D15" s="578" t="str">
        <x:v>Sistema desplegado + APK + datos maestros + capacitación + smoke testing + soporte</x:v>
      </x:c>
      <x:c r="E15" s="578" t="str">
        <x:v>07/10/2026 – 13/10/2026</x:v>
      </x:c>
      <x:c r="F15" s="579" t="n">
        <x:v>7</x:v>
      </x:c>
      <x:c r="G15" s="579" t="str">
        <x:v>Planificado</x:v>
      </x:c>
      <x:c r="H15" s="581"/>
      <x:c r="I15" s="581"/>
      <x:c r="J15" s="581"/>
      <x:c r="K15" s="581"/>
      <x:c r="L15" s="533"/>
      <x:c r="M15" s="533"/>
      <x:c r="N15" s="581"/>
      <x:c r="O15" s="588" t="str">
        <x:v>●</x:v>
      </x:c>
      <x:c r="P15" s="581"/>
      <x:c r="Q15" s="582"/>
      <x:c r="R15" s="396"/>
      <x:c r="S15" s="397"/>
    </x:row>
    <x:row r="16" ht="52" customHeight="1">
      <x:c r="A16" s="576" t="str">
        <x:v>CR-09</x:v>
      </x:c>
      <x:c r="B16" s="589" t="str">
        <x:v>Entrega</x:v>
      </x:c>
      <x:c r="C16" s="578" t="str">
        <x:v>Realizar la entrega documental final y preparar el cierre formal del proyecto.</x:v>
      </x:c>
      <x:c r="D16" s="578" t="str">
        <x:v>Acta de cierre + repositorio + documentación final</x:v>
      </x:c>
      <x:c r="E16" s="578" t="str">
        <x:v>14/10/2026</x:v>
      </x:c>
      <x:c r="F16" s="579" t="n">
        <x:v>1</x:v>
      </x:c>
      <x:c r="G16" s="579" t="str">
        <x:v>Planificado</x:v>
      </x:c>
      <x:c r="H16" s="581"/>
      <x:c r="I16" s="581"/>
      <x:c r="J16" s="581"/>
      <x:c r="K16" s="581"/>
      <x:c r="L16" s="581"/>
      <x:c r="M16" s="533"/>
      <x:c r="N16" s="581"/>
      <x:c r="O16" s="581"/>
      <x:c r="P16" s="590" t="str">
        <x:v>●</x:v>
      </x:c>
      <x:c r="Q16" s="591"/>
      <x:c r="R16" s="396"/>
      <x:c r="S16" s="397"/>
    </x:row>
    <x:row r="17" ht="52" customHeight="1">
      <x:c r="A17" s="592" t="str">
        <x:v>CR-10</x:v>
      </x:c>
      <x:c r="B17" s="593" t="str">
        <x:v>Cierre</x:v>
      </x:c>
      <x:c r="C17" s="594" t="str">
        <x:v>Obtener la conformidad final y realizar la reunión de cierre con stakeholders.</x:v>
      </x:c>
      <x:c r="D17" s="594" t="str">
        <x:v>Firma de conformidad + reunión de cierre</x:v>
      </x:c>
      <x:c r="E17" s="594" t="str">
        <x:v>15/10/2026</x:v>
      </x:c>
      <x:c r="F17" s="595" t="n">
        <x:v>1</x:v>
      </x:c>
      <x:c r="G17" s="595" t="str">
        <x:v>Planificado</x:v>
      </x:c>
      <x:c r="H17" s="596"/>
      <x:c r="I17" s="596"/>
      <x:c r="J17" s="596"/>
      <x:c r="K17" s="596"/>
      <x:c r="L17" s="596"/>
      <x:c r="M17" s="597"/>
      <x:c r="N17" s="597"/>
      <x:c r="O17" s="596"/>
      <x:c r="P17" s="598"/>
      <x:c r="Q17" s="599" t="str">
        <x:v>●</x:v>
      </x:c>
      <x:c r="R17" s="396"/>
      <x:c r="S17" s="397"/>
    </x:row>
    <x:row r="18" ht="42" customHeight="1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</x:row>
    <x:row r="19" ht="28" customHeight="1">
      <x:c r="A19" s="608" t="str">
        <x:v>Hitos: Sprint 1–3 definición/arquitectura · Sprint 4–6 desarrollo funcional · Sprint 7 estabilización · Sprint 8 despliegue · entrega 14/10/2026 · cierre administrativo 15/10/2026.</x:v>
      </x:c>
      <x:c r="B19" s="608"/>
      <x:c r="C19" s="608"/>
      <x:c r="D19" s="608"/>
      <x:c r="E19" s="608"/>
      <x:c r="F19" s="608"/>
      <x:c r="G19" s="608"/>
      <x:c r="H19" s="608"/>
      <x:c r="I19" s="608"/>
      <x:c r="J19" s="608"/>
      <x:c r="K19" s="608"/>
      <x:c r="L19" s="608"/>
      <x:c r="M19" s="608"/>
      <x:c r="N19" s="608"/>
      <x:c r="O19" s="608"/>
      <x:c r="P19" s="608"/>
      <x:c r="Q19" s="608"/>
      <x:c r="R19" s="608"/>
      <x:c r="S19" s="608"/>
    </x:row>
    <x:row r="20" ht="42" customHeight="1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</x:row>
    <x:row r="21" ht="42" customHeight="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</x:row>
    <x:row r="22" ht="42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</x:row>
    <x:row r="23" ht="42" customHeight="1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</x:row>
    <x:row r="25" ht="28" customHeight="1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</x:row>
  </x:sheetData>
  <x:mergeCells>
    <x:mergeCell ref="A25:S25"/>
    <x:mergeCell ref="A4:D4"/>
    <x:mergeCell ref="E4:G4"/>
    <x:mergeCell ref="H4:J4"/>
    <x:mergeCell ref="K4:M4"/>
    <x:mergeCell ref="N4:O4"/>
    <x:mergeCell ref="P4:Q4"/>
    <x:mergeCell ref="R4:S4"/>
    <x:mergeCell ref="H6:J6"/>
    <x:mergeCell ref="K6:M6"/>
    <x:mergeCell ref="P6:Q6"/>
    <x:mergeCell ref="R6:S6"/>
    <x:mergeCell ref="A2:S2"/>
    <x:mergeCell ref="A19:S19"/>
  </x:mergeCells>
  <x:conditionalFormatting sqref="G8:G23">
    <x:cfRule type="expression" dxfId="9" priority="1">
      <x:formula>G8="Completado"</x:formula>
    </x:cfRule>
    <x:cfRule type="expression" dxfId="10" priority="2">
      <x:formula>G8="En curso"</x:formula>
    </x:cfRule>
    <x:cfRule type="expression" dxfId="11" priority="3">
      <x:formula>G8="Bloqueado"</x:formula>
    </x:cfRule>
  </x:conditionalFormatting>
  <x:conditionalFormatting sqref="G8:G17">
    <x:cfRule type="expression" dxfId="12" priority="4">
      <x:formula>G8="Cerrado"</x:formula>
    </x:cfRule>
    <x:cfRule type="expression" dxfId="13" priority="5">
      <x:formula>G8="En progreso"</x:formula>
    </x:cfRule>
    <x:cfRule type="expression" dxfId="14" priority="6">
      <x:formula>G8="Bloqueado"</x:formula>
    </x:cfRule>
  </x:conditionalFormatting>
  <x:dataValidations count="2">
    <x:dataValidation type="list" sqref="G8:G23">
      <x:formula1>"Planificado,En curso,Completado,Bloqueado"</x:formula1>
    </x:dataValidation>
    <x:dataValidation type="list" sqref="G8:G17">
      <x:formula1>"Cerrado,Planificado,En progreso,Bloqueado"</x:formula1>
    </x:dataValidation>
  </x:dataValidations>
  <x:pageMargins left="0.7" right="0.7" top="0.75" bottom="0.75" header="0.3" footer="0.3"/>
</x:worksheet>
</file>